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c76fb860dcad5/Meus documentos/UFG/Artigos/Artigos em elaboracao/Artigo sobre fissuração no concreto/Análises e relatórios/"/>
    </mc:Choice>
  </mc:AlternateContent>
  <xr:revisionPtr revIDLastSave="496" documentId="8_{C65A9DC9-1639-435F-95F0-5CF652CDD0AA}" xr6:coauthVersionLast="47" xr6:coauthVersionMax="47" xr10:uidLastSave="{ABB91835-C2B7-44E2-AAED-10715FBF9138}"/>
  <bookViews>
    <workbookView xWindow="22932" yWindow="-108" windowWidth="20376" windowHeight="12096" firstSheet="2" activeTab="3" xr2:uid="{8E10BD23-366B-40CE-B2AD-A424DFB88603}"/>
  </bookViews>
  <sheets>
    <sheet name="Dataset com TS variável MC2010" sheetId="1" r:id="rId1"/>
    <sheet name="Dataset sem TS MC2010" sheetId="3" r:id="rId2"/>
    <sheet name="Dataset com TS variável MC2020" sheetId="6" r:id="rId3"/>
    <sheet name="Dataset sem TS MC2020" sheetId="5" r:id="rId4"/>
    <sheet name="Modelos normativos e empíric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5" l="1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" i="5"/>
  <c r="Q351" i="6" l="1"/>
  <c r="U351" i="6" s="1"/>
  <c r="V351" i="6" s="1"/>
  <c r="Q350" i="6"/>
  <c r="U350" i="6" s="1"/>
  <c r="V350" i="6" s="1"/>
  <c r="Q349" i="6"/>
  <c r="X349" i="6" s="1"/>
  <c r="Y349" i="6" s="1"/>
  <c r="Q348" i="6"/>
  <c r="U348" i="6" s="1"/>
  <c r="V348" i="6" s="1"/>
  <c r="Q347" i="6"/>
  <c r="X347" i="6" s="1"/>
  <c r="Y347" i="6" s="1"/>
  <c r="Q346" i="6"/>
  <c r="Q345" i="6"/>
  <c r="U345" i="6" s="1"/>
  <c r="V345" i="6" s="1"/>
  <c r="Q344" i="6"/>
  <c r="X344" i="6" s="1"/>
  <c r="Y344" i="6" s="1"/>
  <c r="Q343" i="6"/>
  <c r="X343" i="6" s="1"/>
  <c r="Y343" i="6" s="1"/>
  <c r="Q342" i="6"/>
  <c r="U342" i="6" s="1"/>
  <c r="V342" i="6" s="1"/>
  <c r="Q341" i="6"/>
  <c r="X341" i="6" s="1"/>
  <c r="Y341" i="6" s="1"/>
  <c r="Q340" i="6"/>
  <c r="U340" i="6" s="1"/>
  <c r="V340" i="6" s="1"/>
  <c r="Q339" i="6"/>
  <c r="X339" i="6" s="1"/>
  <c r="Y339" i="6" s="1"/>
  <c r="Q338" i="6"/>
  <c r="Q337" i="6"/>
  <c r="X337" i="6" s="1"/>
  <c r="Y337" i="6" s="1"/>
  <c r="Q336" i="6"/>
  <c r="X336" i="6" s="1"/>
  <c r="Y336" i="6" s="1"/>
  <c r="Q335" i="6"/>
  <c r="X335" i="6" s="1"/>
  <c r="Y335" i="6" s="1"/>
  <c r="Q334" i="6"/>
  <c r="U334" i="6" s="1"/>
  <c r="V334" i="6" s="1"/>
  <c r="Q333" i="6"/>
  <c r="X333" i="6" s="1"/>
  <c r="Y333" i="6" s="1"/>
  <c r="Q332" i="6"/>
  <c r="U332" i="6" s="1"/>
  <c r="V332" i="6" s="1"/>
  <c r="Q331" i="6"/>
  <c r="X331" i="6" s="1"/>
  <c r="Y331" i="6" s="1"/>
  <c r="Q330" i="6"/>
  <c r="Q329" i="6"/>
  <c r="X329" i="6" s="1"/>
  <c r="Y329" i="6" s="1"/>
  <c r="Q328" i="6"/>
  <c r="X328" i="6" s="1"/>
  <c r="Y328" i="6" s="1"/>
  <c r="Q327" i="6"/>
  <c r="X327" i="6" s="1"/>
  <c r="Y327" i="6" s="1"/>
  <c r="Q326" i="6"/>
  <c r="U326" i="6" s="1"/>
  <c r="V326" i="6" s="1"/>
  <c r="Q325" i="6"/>
  <c r="X325" i="6" s="1"/>
  <c r="Y325" i="6" s="1"/>
  <c r="Q324" i="6"/>
  <c r="U324" i="6" s="1"/>
  <c r="V324" i="6" s="1"/>
  <c r="Q323" i="6"/>
  <c r="X323" i="6" s="1"/>
  <c r="Y323" i="6" s="1"/>
  <c r="Q322" i="6"/>
  <c r="Q321" i="6"/>
  <c r="U321" i="6" s="1"/>
  <c r="V321" i="6" s="1"/>
  <c r="Q320" i="6"/>
  <c r="X320" i="6" s="1"/>
  <c r="Y320" i="6" s="1"/>
  <c r="Q319" i="6"/>
  <c r="X319" i="6" s="1"/>
  <c r="Y319" i="6" s="1"/>
  <c r="Q318" i="6"/>
  <c r="U318" i="6" s="1"/>
  <c r="V318" i="6" s="1"/>
  <c r="Q317" i="6"/>
  <c r="X317" i="6" s="1"/>
  <c r="Y317" i="6" s="1"/>
  <c r="Q316" i="6"/>
  <c r="U316" i="6" s="1"/>
  <c r="V316" i="6" s="1"/>
  <c r="Q315" i="6"/>
  <c r="X315" i="6" s="1"/>
  <c r="Y315" i="6" s="1"/>
  <c r="Q314" i="6"/>
  <c r="Q313" i="6"/>
  <c r="X313" i="6" s="1"/>
  <c r="Y313" i="6" s="1"/>
  <c r="Q312" i="6"/>
  <c r="X312" i="6" s="1"/>
  <c r="Y312" i="6" s="1"/>
  <c r="Q311" i="6"/>
  <c r="U311" i="6" s="1"/>
  <c r="V311" i="6" s="1"/>
  <c r="Q310" i="6"/>
  <c r="U310" i="6" s="1"/>
  <c r="V310" i="6" s="1"/>
  <c r="Q309" i="6"/>
  <c r="Q308" i="6"/>
  <c r="U308" i="6" s="1"/>
  <c r="V308" i="6" s="1"/>
  <c r="Q307" i="6"/>
  <c r="U307" i="6" s="1"/>
  <c r="V307" i="6" s="1"/>
  <c r="Q306" i="6"/>
  <c r="Q305" i="6"/>
  <c r="X305" i="6" s="1"/>
  <c r="Y305" i="6" s="1"/>
  <c r="Q304" i="6"/>
  <c r="X304" i="6" s="1"/>
  <c r="Y304" i="6" s="1"/>
  <c r="Q303" i="6"/>
  <c r="X303" i="6" s="1"/>
  <c r="Y303" i="6" s="1"/>
  <c r="Q302" i="6"/>
  <c r="U302" i="6" s="1"/>
  <c r="V302" i="6" s="1"/>
  <c r="Q301" i="6"/>
  <c r="X301" i="6" s="1"/>
  <c r="Y301" i="6" s="1"/>
  <c r="Q300" i="6"/>
  <c r="U300" i="6" s="1"/>
  <c r="V300" i="6" s="1"/>
  <c r="Q299" i="6"/>
  <c r="X299" i="6" s="1"/>
  <c r="Y299" i="6" s="1"/>
  <c r="Q298" i="6"/>
  <c r="Q297" i="6"/>
  <c r="U297" i="6" s="1"/>
  <c r="V297" i="6" s="1"/>
  <c r="Q296" i="6"/>
  <c r="X296" i="6" s="1"/>
  <c r="Y296" i="6" s="1"/>
  <c r="Q295" i="6"/>
  <c r="X295" i="6" s="1"/>
  <c r="Y295" i="6" s="1"/>
  <c r="Q294" i="6"/>
  <c r="U294" i="6" s="1"/>
  <c r="V294" i="6" s="1"/>
  <c r="Q293" i="6"/>
  <c r="X293" i="6" s="1"/>
  <c r="Y293" i="6" s="1"/>
  <c r="Q292" i="6"/>
  <c r="Q291" i="6"/>
  <c r="X291" i="6" s="1"/>
  <c r="Y291" i="6" s="1"/>
  <c r="Q290" i="6"/>
  <c r="Q289" i="6"/>
  <c r="X289" i="6" s="1"/>
  <c r="Y289" i="6" s="1"/>
  <c r="Q288" i="6"/>
  <c r="X288" i="6" s="1"/>
  <c r="Y288" i="6" s="1"/>
  <c r="Q287" i="6"/>
  <c r="U287" i="6" s="1"/>
  <c r="V287" i="6" s="1"/>
  <c r="Q286" i="6"/>
  <c r="U286" i="6" s="1"/>
  <c r="V286" i="6" s="1"/>
  <c r="Q285" i="6"/>
  <c r="X285" i="6" s="1"/>
  <c r="Y285" i="6" s="1"/>
  <c r="Q284" i="6"/>
  <c r="Q283" i="6"/>
  <c r="X283" i="6" s="1"/>
  <c r="Y283" i="6" s="1"/>
  <c r="Q282" i="6"/>
  <c r="Q281" i="6"/>
  <c r="X281" i="6" s="1"/>
  <c r="Y281" i="6" s="1"/>
  <c r="Q280" i="6"/>
  <c r="X280" i="6" s="1"/>
  <c r="Y280" i="6" s="1"/>
  <c r="Q279" i="6"/>
  <c r="X279" i="6" s="1"/>
  <c r="Y279" i="6" s="1"/>
  <c r="Q278" i="6"/>
  <c r="U278" i="6" s="1"/>
  <c r="V278" i="6" s="1"/>
  <c r="Q277" i="6"/>
  <c r="X277" i="6" s="1"/>
  <c r="Y277" i="6" s="1"/>
  <c r="Q276" i="6"/>
  <c r="Q275" i="6"/>
  <c r="U275" i="6" s="1"/>
  <c r="V275" i="6" s="1"/>
  <c r="Q274" i="6"/>
  <c r="Q273" i="6"/>
  <c r="X273" i="6" s="1"/>
  <c r="Y273" i="6" s="1"/>
  <c r="Q272" i="6"/>
  <c r="X272" i="6" s="1"/>
  <c r="Y272" i="6" s="1"/>
  <c r="Q271" i="6"/>
  <c r="X271" i="6" s="1"/>
  <c r="Y271" i="6" s="1"/>
  <c r="Q270" i="6"/>
  <c r="Q269" i="6"/>
  <c r="U269" i="6" s="1"/>
  <c r="V269" i="6" s="1"/>
  <c r="Q268" i="6"/>
  <c r="Q267" i="6"/>
  <c r="X267" i="6" s="1"/>
  <c r="Y267" i="6" s="1"/>
  <c r="Q266" i="6"/>
  <c r="Q265" i="6"/>
  <c r="X265" i="6" s="1"/>
  <c r="Y265" i="6" s="1"/>
  <c r="Q264" i="6"/>
  <c r="X264" i="6" s="1"/>
  <c r="Y264" i="6" s="1"/>
  <c r="Q263" i="6"/>
  <c r="U263" i="6" s="1"/>
  <c r="V263" i="6" s="1"/>
  <c r="Q262" i="6"/>
  <c r="U262" i="6" s="1"/>
  <c r="V262" i="6" s="1"/>
  <c r="Q261" i="6"/>
  <c r="X261" i="6" s="1"/>
  <c r="Y261" i="6" s="1"/>
  <c r="Q260" i="6"/>
  <c r="Q259" i="6"/>
  <c r="U259" i="6" s="1"/>
  <c r="V259" i="6" s="1"/>
  <c r="Q258" i="6"/>
  <c r="Q257" i="6"/>
  <c r="X257" i="6" s="1"/>
  <c r="Y257" i="6" s="1"/>
  <c r="Q256" i="6"/>
  <c r="X256" i="6" s="1"/>
  <c r="Y256" i="6" s="1"/>
  <c r="Q255" i="6"/>
  <c r="X255" i="6" s="1"/>
  <c r="Y255" i="6" s="1"/>
  <c r="Q254" i="6"/>
  <c r="U254" i="6" s="1"/>
  <c r="V254" i="6" s="1"/>
  <c r="Q253" i="6"/>
  <c r="X253" i="6" s="1"/>
  <c r="Y253" i="6" s="1"/>
  <c r="Q252" i="6"/>
  <c r="Q251" i="6"/>
  <c r="X251" i="6" s="1"/>
  <c r="Y251" i="6" s="1"/>
  <c r="Q250" i="6"/>
  <c r="Q249" i="6"/>
  <c r="U249" i="6" s="1"/>
  <c r="V249" i="6" s="1"/>
  <c r="Q248" i="6"/>
  <c r="X248" i="6" s="1"/>
  <c r="Y248" i="6" s="1"/>
  <c r="Q247" i="6"/>
  <c r="X247" i="6" s="1"/>
  <c r="Y247" i="6" s="1"/>
  <c r="Q246" i="6"/>
  <c r="U246" i="6" s="1"/>
  <c r="V246" i="6" s="1"/>
  <c r="Q245" i="6"/>
  <c r="X245" i="6" s="1"/>
  <c r="Y245" i="6" s="1"/>
  <c r="Q244" i="6"/>
  <c r="Q243" i="6"/>
  <c r="U243" i="6" s="1"/>
  <c r="V243" i="6" s="1"/>
  <c r="Q242" i="6"/>
  <c r="Q241" i="6"/>
  <c r="X241" i="6" s="1"/>
  <c r="Y241" i="6" s="1"/>
  <c r="Q240" i="6"/>
  <c r="X240" i="6" s="1"/>
  <c r="Y240" i="6" s="1"/>
  <c r="Q239" i="6"/>
  <c r="X239" i="6" s="1"/>
  <c r="Y239" i="6" s="1"/>
  <c r="Q238" i="6"/>
  <c r="Q237" i="6"/>
  <c r="U237" i="6" s="1"/>
  <c r="V237" i="6" s="1"/>
  <c r="Q236" i="6"/>
  <c r="Q235" i="6"/>
  <c r="X235" i="6" s="1"/>
  <c r="Y235" i="6" s="1"/>
  <c r="Q234" i="6"/>
  <c r="Q233" i="6"/>
  <c r="X233" i="6" s="1"/>
  <c r="Y233" i="6" s="1"/>
  <c r="Q232" i="6"/>
  <c r="X232" i="6" s="1"/>
  <c r="Y232" i="6" s="1"/>
  <c r="Q231" i="6"/>
  <c r="X231" i="6" s="1"/>
  <c r="Y231" i="6" s="1"/>
  <c r="Q230" i="6"/>
  <c r="U230" i="6" s="1"/>
  <c r="V230" i="6" s="1"/>
  <c r="Q229" i="6"/>
  <c r="X229" i="6" s="1"/>
  <c r="Y229" i="6" s="1"/>
  <c r="Q228" i="6"/>
  <c r="Q227" i="6"/>
  <c r="U227" i="6" s="1"/>
  <c r="V227" i="6" s="1"/>
  <c r="Q226" i="6"/>
  <c r="Q225" i="6"/>
  <c r="X225" i="6" s="1"/>
  <c r="Y225" i="6" s="1"/>
  <c r="Q224" i="6"/>
  <c r="X224" i="6" s="1"/>
  <c r="Y224" i="6" s="1"/>
  <c r="Q223" i="6"/>
  <c r="X223" i="6" s="1"/>
  <c r="Y223" i="6" s="1"/>
  <c r="Q222" i="6"/>
  <c r="U222" i="6" s="1"/>
  <c r="V222" i="6" s="1"/>
  <c r="Q221" i="6"/>
  <c r="X221" i="6" s="1"/>
  <c r="Y221" i="6" s="1"/>
  <c r="Q220" i="6"/>
  <c r="Q219" i="6"/>
  <c r="U219" i="6" s="1"/>
  <c r="V219" i="6" s="1"/>
  <c r="Q218" i="6"/>
  <c r="Q217" i="6"/>
  <c r="X217" i="6" s="1"/>
  <c r="Y217" i="6" s="1"/>
  <c r="Q216" i="6"/>
  <c r="X216" i="6" s="1"/>
  <c r="Y216" i="6" s="1"/>
  <c r="Q215" i="6"/>
  <c r="X215" i="6" s="1"/>
  <c r="Y215" i="6" s="1"/>
  <c r="Q214" i="6"/>
  <c r="U214" i="6" s="1"/>
  <c r="V214" i="6" s="1"/>
  <c r="Q213" i="6"/>
  <c r="X213" i="6" s="1"/>
  <c r="Y213" i="6" s="1"/>
  <c r="Q212" i="6"/>
  <c r="Q211" i="6"/>
  <c r="X211" i="6" s="1"/>
  <c r="Y211" i="6" s="1"/>
  <c r="Q210" i="6"/>
  <c r="Q209" i="6"/>
  <c r="X209" i="6" s="1"/>
  <c r="Y209" i="6" s="1"/>
  <c r="Q208" i="6"/>
  <c r="X208" i="6" s="1"/>
  <c r="Y208" i="6" s="1"/>
  <c r="Q207" i="6"/>
  <c r="X207" i="6" s="1"/>
  <c r="Y207" i="6" s="1"/>
  <c r="Q206" i="6"/>
  <c r="Q205" i="6"/>
  <c r="X205" i="6" s="1"/>
  <c r="Y205" i="6" s="1"/>
  <c r="Q204" i="6"/>
  <c r="Q203" i="6"/>
  <c r="X203" i="6" s="1"/>
  <c r="Y203" i="6" s="1"/>
  <c r="Q202" i="6"/>
  <c r="Q201" i="6"/>
  <c r="X201" i="6" s="1"/>
  <c r="Y201" i="6" s="1"/>
  <c r="Q200" i="6"/>
  <c r="X200" i="6" s="1"/>
  <c r="Y200" i="6" s="1"/>
  <c r="U199" i="6"/>
  <c r="V199" i="6" s="1"/>
  <c r="Q199" i="6"/>
  <c r="X199" i="6" s="1"/>
  <c r="Y199" i="6" s="1"/>
  <c r="Q198" i="6"/>
  <c r="U198" i="6" s="1"/>
  <c r="V198" i="6" s="1"/>
  <c r="Q197" i="6"/>
  <c r="X197" i="6" s="1"/>
  <c r="Y197" i="6" s="1"/>
  <c r="Q196" i="6"/>
  <c r="Q195" i="6"/>
  <c r="X195" i="6" s="1"/>
  <c r="Y195" i="6" s="1"/>
  <c r="Q194" i="6"/>
  <c r="Q193" i="6"/>
  <c r="X193" i="6" s="1"/>
  <c r="Y193" i="6" s="1"/>
  <c r="Q192" i="6"/>
  <c r="X192" i="6" s="1"/>
  <c r="Y192" i="6" s="1"/>
  <c r="Q191" i="6"/>
  <c r="U191" i="6" s="1"/>
  <c r="V191" i="6" s="1"/>
  <c r="Q190" i="6"/>
  <c r="U190" i="6" s="1"/>
  <c r="V190" i="6" s="1"/>
  <c r="Q189" i="6"/>
  <c r="X189" i="6" s="1"/>
  <c r="Y189" i="6" s="1"/>
  <c r="Q188" i="6"/>
  <c r="Q187" i="6"/>
  <c r="X187" i="6" s="1"/>
  <c r="Y187" i="6" s="1"/>
  <c r="Q186" i="6"/>
  <c r="Q185" i="6"/>
  <c r="Q184" i="6"/>
  <c r="X184" i="6" s="1"/>
  <c r="Y184" i="6" s="1"/>
  <c r="Q183" i="6"/>
  <c r="Q182" i="6"/>
  <c r="X182" i="6" s="1"/>
  <c r="Y182" i="6" s="1"/>
  <c r="Q181" i="6"/>
  <c r="X181" i="6" s="1"/>
  <c r="Y181" i="6" s="1"/>
  <c r="Q180" i="6"/>
  <c r="U180" i="6" s="1"/>
  <c r="V180" i="6" s="1"/>
  <c r="Q179" i="6"/>
  <c r="U179" i="6" s="1"/>
  <c r="V179" i="6" s="1"/>
  <c r="Q178" i="6"/>
  <c r="X178" i="6" s="1"/>
  <c r="Y178" i="6" s="1"/>
  <c r="Q177" i="6"/>
  <c r="X177" i="6" s="1"/>
  <c r="Y177" i="6" s="1"/>
  <c r="Q176" i="6"/>
  <c r="U176" i="6" s="1"/>
  <c r="V176" i="6" s="1"/>
  <c r="Q175" i="6"/>
  <c r="Q174" i="6"/>
  <c r="X174" i="6" s="1"/>
  <c r="Y174" i="6" s="1"/>
  <c r="Q173" i="6"/>
  <c r="X173" i="6" s="1"/>
  <c r="Y173" i="6" s="1"/>
  <c r="Q172" i="6"/>
  <c r="U172" i="6" s="1"/>
  <c r="V172" i="6" s="1"/>
  <c r="Q171" i="6"/>
  <c r="U171" i="6" s="1"/>
  <c r="V171" i="6" s="1"/>
  <c r="Q170" i="6"/>
  <c r="X170" i="6" s="1"/>
  <c r="Y170" i="6" s="1"/>
  <c r="Q169" i="6"/>
  <c r="U169" i="6" s="1"/>
  <c r="V169" i="6" s="1"/>
  <c r="Q168" i="6"/>
  <c r="X168" i="6" s="1"/>
  <c r="Y168" i="6" s="1"/>
  <c r="Q167" i="6"/>
  <c r="Q166" i="6"/>
  <c r="X166" i="6" s="1"/>
  <c r="Y166" i="6" s="1"/>
  <c r="Q165" i="6"/>
  <c r="X165" i="6" s="1"/>
  <c r="Y165" i="6" s="1"/>
  <c r="Q164" i="6"/>
  <c r="U164" i="6" s="1"/>
  <c r="V164" i="6" s="1"/>
  <c r="Q163" i="6"/>
  <c r="U163" i="6" s="1"/>
  <c r="V163" i="6" s="1"/>
  <c r="Q162" i="6"/>
  <c r="X162" i="6" s="1"/>
  <c r="Y162" i="6" s="1"/>
  <c r="Q161" i="6"/>
  <c r="X161" i="6" s="1"/>
  <c r="Y161" i="6" s="1"/>
  <c r="Q160" i="6"/>
  <c r="X160" i="6" s="1"/>
  <c r="Y160" i="6" s="1"/>
  <c r="Q159" i="6"/>
  <c r="Q158" i="6"/>
  <c r="X158" i="6" s="1"/>
  <c r="Y158" i="6" s="1"/>
  <c r="Q157" i="6"/>
  <c r="X157" i="6" s="1"/>
  <c r="Y157" i="6" s="1"/>
  <c r="Q156" i="6"/>
  <c r="U156" i="6" s="1"/>
  <c r="V156" i="6" s="1"/>
  <c r="Q155" i="6"/>
  <c r="U155" i="6" s="1"/>
  <c r="V155" i="6" s="1"/>
  <c r="Q154" i="6"/>
  <c r="X154" i="6" s="1"/>
  <c r="Y154" i="6" s="1"/>
  <c r="Q153" i="6"/>
  <c r="X153" i="6" s="1"/>
  <c r="Y153" i="6" s="1"/>
  <c r="Q152" i="6"/>
  <c r="X152" i="6" s="1"/>
  <c r="Y152" i="6" s="1"/>
  <c r="Q151" i="6"/>
  <c r="Q150" i="6"/>
  <c r="X150" i="6" s="1"/>
  <c r="Y150" i="6" s="1"/>
  <c r="Q149" i="6"/>
  <c r="X149" i="6" s="1"/>
  <c r="Y149" i="6" s="1"/>
  <c r="Q148" i="6"/>
  <c r="U148" i="6" s="1"/>
  <c r="V148" i="6" s="1"/>
  <c r="Q147" i="6"/>
  <c r="U147" i="6" s="1"/>
  <c r="V147" i="6" s="1"/>
  <c r="Q146" i="6"/>
  <c r="X146" i="6" s="1"/>
  <c r="Y146" i="6" s="1"/>
  <c r="Q145" i="6"/>
  <c r="X145" i="6" s="1"/>
  <c r="Y145" i="6" s="1"/>
  <c r="Q144" i="6"/>
  <c r="X144" i="6" s="1"/>
  <c r="Y144" i="6" s="1"/>
  <c r="Q143" i="6"/>
  <c r="Q142" i="6"/>
  <c r="X142" i="6" s="1"/>
  <c r="Y142" i="6" s="1"/>
  <c r="Q141" i="6"/>
  <c r="X141" i="6" s="1"/>
  <c r="Y141" i="6" s="1"/>
  <c r="Q140" i="6"/>
  <c r="X140" i="6" s="1"/>
  <c r="Y140" i="6" s="1"/>
  <c r="Q139" i="6"/>
  <c r="U139" i="6" s="1"/>
  <c r="V139" i="6" s="1"/>
  <c r="Q138" i="6"/>
  <c r="X138" i="6" s="1"/>
  <c r="Y138" i="6" s="1"/>
  <c r="Q137" i="6"/>
  <c r="X137" i="6" s="1"/>
  <c r="Y137" i="6" s="1"/>
  <c r="Q136" i="6"/>
  <c r="X136" i="6" s="1"/>
  <c r="Y136" i="6" s="1"/>
  <c r="Q135" i="6"/>
  <c r="Q134" i="6"/>
  <c r="X134" i="6" s="1"/>
  <c r="Y134" i="6" s="1"/>
  <c r="Q133" i="6"/>
  <c r="X133" i="6" s="1"/>
  <c r="Y133" i="6" s="1"/>
  <c r="Q132" i="6"/>
  <c r="X132" i="6" s="1"/>
  <c r="Y132" i="6" s="1"/>
  <c r="Q131" i="6"/>
  <c r="U131" i="6" s="1"/>
  <c r="V131" i="6" s="1"/>
  <c r="Q130" i="6"/>
  <c r="X130" i="6" s="1"/>
  <c r="Y130" i="6" s="1"/>
  <c r="Q129" i="6"/>
  <c r="U129" i="6" s="1"/>
  <c r="V129" i="6" s="1"/>
  <c r="Q128" i="6"/>
  <c r="X128" i="6" s="1"/>
  <c r="Y128" i="6" s="1"/>
  <c r="Q127" i="6"/>
  <c r="Q126" i="6"/>
  <c r="X126" i="6" s="1"/>
  <c r="Y126" i="6" s="1"/>
  <c r="Q125" i="6"/>
  <c r="X125" i="6" s="1"/>
  <c r="Y125" i="6" s="1"/>
  <c r="Q124" i="6"/>
  <c r="U124" i="6" s="1"/>
  <c r="V124" i="6" s="1"/>
  <c r="Q123" i="6"/>
  <c r="U123" i="6" s="1"/>
  <c r="V123" i="6" s="1"/>
  <c r="Q122" i="6"/>
  <c r="X122" i="6" s="1"/>
  <c r="Y122" i="6" s="1"/>
  <c r="Q121" i="6"/>
  <c r="U121" i="6" s="1"/>
  <c r="V121" i="6" s="1"/>
  <c r="Q120" i="6"/>
  <c r="U120" i="6" s="1"/>
  <c r="V120" i="6" s="1"/>
  <c r="Q119" i="6"/>
  <c r="Q118" i="6"/>
  <c r="X118" i="6" s="1"/>
  <c r="Y118" i="6" s="1"/>
  <c r="Q117" i="6"/>
  <c r="X117" i="6" s="1"/>
  <c r="Y117" i="6" s="1"/>
  <c r="Q116" i="6"/>
  <c r="U116" i="6" s="1"/>
  <c r="V116" i="6" s="1"/>
  <c r="Q115" i="6"/>
  <c r="U115" i="6" s="1"/>
  <c r="V115" i="6" s="1"/>
  <c r="Q114" i="6"/>
  <c r="X114" i="6" s="1"/>
  <c r="Y114" i="6" s="1"/>
  <c r="Q113" i="6"/>
  <c r="X113" i="6" s="1"/>
  <c r="Y113" i="6" s="1"/>
  <c r="Q112" i="6"/>
  <c r="U112" i="6" s="1"/>
  <c r="V112" i="6" s="1"/>
  <c r="Q111" i="6"/>
  <c r="Q110" i="6"/>
  <c r="X110" i="6" s="1"/>
  <c r="Y110" i="6" s="1"/>
  <c r="Q109" i="6"/>
  <c r="X109" i="6" s="1"/>
  <c r="Y109" i="6" s="1"/>
  <c r="Q108" i="6"/>
  <c r="U108" i="6" s="1"/>
  <c r="V108" i="6" s="1"/>
  <c r="Q107" i="6"/>
  <c r="U107" i="6" s="1"/>
  <c r="V107" i="6" s="1"/>
  <c r="Q106" i="6"/>
  <c r="X106" i="6" s="1"/>
  <c r="Y106" i="6" s="1"/>
  <c r="Q105" i="6"/>
  <c r="X105" i="6" s="1"/>
  <c r="Y105" i="6" s="1"/>
  <c r="Q104" i="6"/>
  <c r="X104" i="6" s="1"/>
  <c r="Y104" i="6" s="1"/>
  <c r="Q103" i="6"/>
  <c r="Q102" i="6"/>
  <c r="X102" i="6" s="1"/>
  <c r="Y102" i="6" s="1"/>
  <c r="Q101" i="6"/>
  <c r="X101" i="6" s="1"/>
  <c r="Y101" i="6" s="1"/>
  <c r="Q100" i="6"/>
  <c r="U100" i="6" s="1"/>
  <c r="V100" i="6" s="1"/>
  <c r="Q99" i="6"/>
  <c r="U99" i="6" s="1"/>
  <c r="V99" i="6" s="1"/>
  <c r="Q98" i="6"/>
  <c r="X98" i="6" s="1"/>
  <c r="Y98" i="6" s="1"/>
  <c r="Q97" i="6"/>
  <c r="U97" i="6" s="1"/>
  <c r="V97" i="6" s="1"/>
  <c r="Q96" i="6"/>
  <c r="U96" i="6" s="1"/>
  <c r="V96" i="6" s="1"/>
  <c r="Q95" i="6"/>
  <c r="Q94" i="6"/>
  <c r="X94" i="6" s="1"/>
  <c r="Y94" i="6" s="1"/>
  <c r="Q93" i="6"/>
  <c r="X93" i="6" s="1"/>
  <c r="Y93" i="6" s="1"/>
  <c r="Q92" i="6"/>
  <c r="X92" i="6" s="1"/>
  <c r="Y92" i="6" s="1"/>
  <c r="Q91" i="6"/>
  <c r="U91" i="6" s="1"/>
  <c r="V91" i="6" s="1"/>
  <c r="Q90" i="6"/>
  <c r="X90" i="6" s="1"/>
  <c r="Y90" i="6" s="1"/>
  <c r="Q89" i="6"/>
  <c r="X89" i="6" s="1"/>
  <c r="Y89" i="6" s="1"/>
  <c r="Q88" i="6"/>
  <c r="X88" i="6" s="1"/>
  <c r="Y88" i="6" s="1"/>
  <c r="Q87" i="6"/>
  <c r="Q86" i="6"/>
  <c r="X86" i="6" s="1"/>
  <c r="Y86" i="6" s="1"/>
  <c r="Q85" i="6"/>
  <c r="X85" i="6" s="1"/>
  <c r="Y85" i="6" s="1"/>
  <c r="Q84" i="6"/>
  <c r="X84" i="6" s="1"/>
  <c r="Y84" i="6" s="1"/>
  <c r="Q83" i="6"/>
  <c r="U83" i="6" s="1"/>
  <c r="V83" i="6" s="1"/>
  <c r="Q82" i="6"/>
  <c r="X82" i="6" s="1"/>
  <c r="Y82" i="6" s="1"/>
  <c r="Q81" i="6"/>
  <c r="U81" i="6" s="1"/>
  <c r="V81" i="6" s="1"/>
  <c r="Q80" i="6"/>
  <c r="U80" i="6" s="1"/>
  <c r="V80" i="6" s="1"/>
  <c r="Q79" i="6"/>
  <c r="Q78" i="6"/>
  <c r="X78" i="6" s="1"/>
  <c r="Y78" i="6" s="1"/>
  <c r="Q77" i="6"/>
  <c r="X77" i="6" s="1"/>
  <c r="Y77" i="6" s="1"/>
  <c r="Q76" i="6"/>
  <c r="U76" i="6" s="1"/>
  <c r="V76" i="6" s="1"/>
  <c r="Q75" i="6"/>
  <c r="U75" i="6" s="1"/>
  <c r="V75" i="6" s="1"/>
  <c r="Q74" i="6"/>
  <c r="X74" i="6" s="1"/>
  <c r="Y74" i="6" s="1"/>
  <c r="Q73" i="6"/>
  <c r="U73" i="6" s="1"/>
  <c r="V73" i="6" s="1"/>
  <c r="Q72" i="6"/>
  <c r="X72" i="6" s="1"/>
  <c r="Y72" i="6" s="1"/>
  <c r="Q71" i="6"/>
  <c r="Q70" i="6"/>
  <c r="X70" i="6" s="1"/>
  <c r="Y70" i="6" s="1"/>
  <c r="Q69" i="6"/>
  <c r="X69" i="6" s="1"/>
  <c r="Y69" i="6" s="1"/>
  <c r="Q68" i="6"/>
  <c r="U68" i="6" s="1"/>
  <c r="V68" i="6" s="1"/>
  <c r="Q67" i="6"/>
  <c r="X67" i="6" s="1"/>
  <c r="Y67" i="6" s="1"/>
  <c r="Q66" i="6"/>
  <c r="X66" i="6" s="1"/>
  <c r="Y66" i="6" s="1"/>
  <c r="Q65" i="6"/>
  <c r="U65" i="6" s="1"/>
  <c r="V65" i="6" s="1"/>
  <c r="Q64" i="6"/>
  <c r="U64" i="6" s="1"/>
  <c r="V64" i="6" s="1"/>
  <c r="Q63" i="6"/>
  <c r="U63" i="6" s="1"/>
  <c r="V63" i="6" s="1"/>
  <c r="U62" i="6"/>
  <c r="V62" i="6" s="1"/>
  <c r="Q62" i="6"/>
  <c r="X62" i="6" s="1"/>
  <c r="Y62" i="6" s="1"/>
  <c r="Q61" i="6"/>
  <c r="X61" i="6" s="1"/>
  <c r="Y61" i="6" s="1"/>
  <c r="Q60" i="6"/>
  <c r="X60" i="6" s="1"/>
  <c r="Y60" i="6" s="1"/>
  <c r="Q59" i="6"/>
  <c r="X59" i="6" s="1"/>
  <c r="Y59" i="6" s="1"/>
  <c r="Q58" i="6"/>
  <c r="X58" i="6" s="1"/>
  <c r="Y58" i="6" s="1"/>
  <c r="Q57" i="6"/>
  <c r="U57" i="6" s="1"/>
  <c r="V57" i="6" s="1"/>
  <c r="Q56" i="6"/>
  <c r="X56" i="6" s="1"/>
  <c r="Y56" i="6" s="1"/>
  <c r="Q55" i="6"/>
  <c r="U55" i="6" s="1"/>
  <c r="V55" i="6" s="1"/>
  <c r="Q54" i="6"/>
  <c r="U54" i="6" s="1"/>
  <c r="V54" i="6" s="1"/>
  <c r="Q53" i="6"/>
  <c r="X53" i="6" s="1"/>
  <c r="Y53" i="6" s="1"/>
  <c r="Q52" i="6"/>
  <c r="X52" i="6" s="1"/>
  <c r="Y52" i="6" s="1"/>
  <c r="Q51" i="6"/>
  <c r="X51" i="6" s="1"/>
  <c r="Y51" i="6" s="1"/>
  <c r="Q50" i="6"/>
  <c r="X50" i="6" s="1"/>
  <c r="Y50" i="6" s="1"/>
  <c r="Q49" i="6"/>
  <c r="X49" i="6" s="1"/>
  <c r="Y49" i="6" s="1"/>
  <c r="Q48" i="6"/>
  <c r="U48" i="6" s="1"/>
  <c r="V48" i="6" s="1"/>
  <c r="Q47" i="6"/>
  <c r="U47" i="6" s="1"/>
  <c r="V47" i="6" s="1"/>
  <c r="Q46" i="6"/>
  <c r="U46" i="6" s="1"/>
  <c r="V46" i="6" s="1"/>
  <c r="Q45" i="6"/>
  <c r="X45" i="6" s="1"/>
  <c r="Y45" i="6" s="1"/>
  <c r="Q44" i="6"/>
  <c r="X44" i="6" s="1"/>
  <c r="Y44" i="6" s="1"/>
  <c r="Q43" i="6"/>
  <c r="X43" i="6" s="1"/>
  <c r="Y43" i="6" s="1"/>
  <c r="Q42" i="6"/>
  <c r="X42" i="6" s="1"/>
  <c r="Y42" i="6" s="1"/>
  <c r="Q41" i="6"/>
  <c r="X41" i="6" s="1"/>
  <c r="Y41" i="6" s="1"/>
  <c r="Q40" i="6"/>
  <c r="U40" i="6" s="1"/>
  <c r="V40" i="6" s="1"/>
  <c r="Q39" i="6"/>
  <c r="U39" i="6" s="1"/>
  <c r="V39" i="6" s="1"/>
  <c r="Q38" i="6"/>
  <c r="U38" i="6" s="1"/>
  <c r="V38" i="6" s="1"/>
  <c r="Q37" i="6"/>
  <c r="X37" i="6" s="1"/>
  <c r="Y37" i="6" s="1"/>
  <c r="Q36" i="6"/>
  <c r="X36" i="6" s="1"/>
  <c r="Y36" i="6" s="1"/>
  <c r="Q35" i="6"/>
  <c r="X35" i="6" s="1"/>
  <c r="Y35" i="6" s="1"/>
  <c r="Q34" i="6"/>
  <c r="X34" i="6" s="1"/>
  <c r="Y34" i="6" s="1"/>
  <c r="Q33" i="6"/>
  <c r="U33" i="6" s="1"/>
  <c r="V33" i="6" s="1"/>
  <c r="Q32" i="6"/>
  <c r="X32" i="6" s="1"/>
  <c r="Y32" i="6" s="1"/>
  <c r="Q31" i="6"/>
  <c r="U31" i="6" s="1"/>
  <c r="V31" i="6" s="1"/>
  <c r="Q30" i="6"/>
  <c r="U30" i="6" s="1"/>
  <c r="V30" i="6" s="1"/>
  <c r="Q29" i="6"/>
  <c r="X29" i="6" s="1"/>
  <c r="Y29" i="6" s="1"/>
  <c r="Q28" i="6"/>
  <c r="X28" i="6" s="1"/>
  <c r="Y28" i="6" s="1"/>
  <c r="Q27" i="6"/>
  <c r="X27" i="6" s="1"/>
  <c r="Y27" i="6" s="1"/>
  <c r="Q26" i="6"/>
  <c r="X26" i="6" s="1"/>
  <c r="Y26" i="6" s="1"/>
  <c r="Q25" i="6"/>
  <c r="U25" i="6" s="1"/>
  <c r="V25" i="6" s="1"/>
  <c r="Q24" i="6"/>
  <c r="U24" i="6" s="1"/>
  <c r="V24" i="6" s="1"/>
  <c r="Q23" i="6"/>
  <c r="U23" i="6" s="1"/>
  <c r="V23" i="6" s="1"/>
  <c r="Q22" i="6"/>
  <c r="U22" i="6" s="1"/>
  <c r="V22" i="6" s="1"/>
  <c r="Q21" i="6"/>
  <c r="X21" i="6" s="1"/>
  <c r="Y21" i="6" s="1"/>
  <c r="Q20" i="6"/>
  <c r="X20" i="6" s="1"/>
  <c r="Y20" i="6" s="1"/>
  <c r="Q19" i="6"/>
  <c r="X19" i="6" s="1"/>
  <c r="Y19" i="6" s="1"/>
  <c r="Q18" i="6"/>
  <c r="X18" i="6" s="1"/>
  <c r="Y18" i="6" s="1"/>
  <c r="Q17" i="6"/>
  <c r="X17" i="6" s="1"/>
  <c r="Y17" i="6" s="1"/>
  <c r="Q16" i="6"/>
  <c r="X16" i="6" s="1"/>
  <c r="Y16" i="6" s="1"/>
  <c r="Q15" i="6"/>
  <c r="U15" i="6" s="1"/>
  <c r="V15" i="6" s="1"/>
  <c r="Q14" i="6"/>
  <c r="U14" i="6" s="1"/>
  <c r="V14" i="6" s="1"/>
  <c r="Q13" i="6"/>
  <c r="U13" i="6" s="1"/>
  <c r="V13" i="6" s="1"/>
  <c r="Q12" i="6"/>
  <c r="X12" i="6" s="1"/>
  <c r="Y12" i="6" s="1"/>
  <c r="Q11" i="6"/>
  <c r="X11" i="6" s="1"/>
  <c r="Y11" i="6" s="1"/>
  <c r="U150" i="6" l="1"/>
  <c r="V150" i="6" s="1"/>
  <c r="X345" i="6"/>
  <c r="Y345" i="6" s="1"/>
  <c r="U329" i="6"/>
  <c r="V329" i="6" s="1"/>
  <c r="U153" i="6"/>
  <c r="V153" i="6" s="1"/>
  <c r="U247" i="6"/>
  <c r="V247" i="6" s="1"/>
  <c r="X262" i="6"/>
  <c r="Y262" i="6" s="1"/>
  <c r="X307" i="6"/>
  <c r="Y307" i="6" s="1"/>
  <c r="U235" i="6"/>
  <c r="V235" i="6" s="1"/>
  <c r="U248" i="6"/>
  <c r="V248" i="6" s="1"/>
  <c r="U193" i="6"/>
  <c r="V193" i="6" s="1"/>
  <c r="U288" i="6"/>
  <c r="V288" i="6" s="1"/>
  <c r="U303" i="6"/>
  <c r="V303" i="6" s="1"/>
  <c r="U339" i="6"/>
  <c r="V339" i="6" s="1"/>
  <c r="X96" i="6"/>
  <c r="Y96" i="6" s="1"/>
  <c r="U157" i="6"/>
  <c r="V157" i="6" s="1"/>
  <c r="U200" i="6"/>
  <c r="V200" i="6" s="1"/>
  <c r="X237" i="6"/>
  <c r="Y237" i="6" s="1"/>
  <c r="X75" i="6"/>
  <c r="Y75" i="6" s="1"/>
  <c r="U152" i="6"/>
  <c r="V152" i="6" s="1"/>
  <c r="U312" i="6"/>
  <c r="V312" i="6" s="1"/>
  <c r="U160" i="6"/>
  <c r="V160" i="6" s="1"/>
  <c r="X219" i="6"/>
  <c r="Y219" i="6" s="1"/>
  <c r="U98" i="6"/>
  <c r="V98" i="6" s="1"/>
  <c r="X76" i="6"/>
  <c r="Y76" i="6" s="1"/>
  <c r="U117" i="6"/>
  <c r="V117" i="6" s="1"/>
  <c r="U137" i="6"/>
  <c r="V137" i="6" s="1"/>
  <c r="U118" i="6"/>
  <c r="V118" i="6" s="1"/>
  <c r="X139" i="6"/>
  <c r="Y139" i="6" s="1"/>
  <c r="U168" i="6"/>
  <c r="V168" i="6" s="1"/>
  <c r="U223" i="6"/>
  <c r="V223" i="6" s="1"/>
  <c r="U289" i="6"/>
  <c r="V289" i="6" s="1"/>
  <c r="U335" i="6"/>
  <c r="V335" i="6" s="1"/>
  <c r="U347" i="6"/>
  <c r="V347" i="6" s="1"/>
  <c r="U105" i="6"/>
  <c r="V105" i="6" s="1"/>
  <c r="X124" i="6"/>
  <c r="Y124" i="6" s="1"/>
  <c r="U161" i="6"/>
  <c r="V161" i="6" s="1"/>
  <c r="X269" i="6"/>
  <c r="Y269" i="6" s="1"/>
  <c r="U88" i="6"/>
  <c r="V88" i="6" s="1"/>
  <c r="U140" i="6"/>
  <c r="V140" i="6" s="1"/>
  <c r="X147" i="6"/>
  <c r="Y147" i="6" s="1"/>
  <c r="X163" i="6"/>
  <c r="Y163" i="6" s="1"/>
  <c r="X169" i="6"/>
  <c r="Y169" i="6" s="1"/>
  <c r="X176" i="6"/>
  <c r="Y176" i="6" s="1"/>
  <c r="U203" i="6"/>
  <c r="V203" i="6" s="1"/>
  <c r="U232" i="6"/>
  <c r="V232" i="6" s="1"/>
  <c r="X259" i="6"/>
  <c r="Y259" i="6" s="1"/>
  <c r="U265" i="6"/>
  <c r="V265" i="6" s="1"/>
  <c r="X297" i="6"/>
  <c r="Y297" i="6" s="1"/>
  <c r="X310" i="6"/>
  <c r="Y310" i="6" s="1"/>
  <c r="U323" i="6"/>
  <c r="V323" i="6" s="1"/>
  <c r="U343" i="6"/>
  <c r="V343" i="6" s="1"/>
  <c r="X112" i="6"/>
  <c r="Y112" i="6" s="1"/>
  <c r="U50" i="6"/>
  <c r="V50" i="6" s="1"/>
  <c r="X275" i="6"/>
  <c r="Y275" i="6" s="1"/>
  <c r="X287" i="6"/>
  <c r="Y287" i="6" s="1"/>
  <c r="X311" i="6"/>
  <c r="Y311" i="6" s="1"/>
  <c r="X15" i="6"/>
  <c r="Y15" i="6" s="1"/>
  <c r="X80" i="6"/>
  <c r="Y80" i="6" s="1"/>
  <c r="X91" i="6"/>
  <c r="Y91" i="6" s="1"/>
  <c r="U102" i="6"/>
  <c r="V102" i="6" s="1"/>
  <c r="U132" i="6"/>
  <c r="V132" i="6" s="1"/>
  <c r="X171" i="6"/>
  <c r="Y171" i="6" s="1"/>
  <c r="X191" i="6"/>
  <c r="Y191" i="6" s="1"/>
  <c r="U209" i="6"/>
  <c r="V209" i="6" s="1"/>
  <c r="U239" i="6"/>
  <c r="V239" i="6" s="1"/>
  <c r="U264" i="6"/>
  <c r="V264" i="6" s="1"/>
  <c r="U283" i="6"/>
  <c r="V283" i="6" s="1"/>
  <c r="U320" i="6"/>
  <c r="V320" i="6" s="1"/>
  <c r="X97" i="6"/>
  <c r="Y97" i="6" s="1"/>
  <c r="X198" i="6"/>
  <c r="Y198" i="6" s="1"/>
  <c r="X81" i="6"/>
  <c r="Y81" i="6" s="1"/>
  <c r="X121" i="6"/>
  <c r="Y121" i="6" s="1"/>
  <c r="X321" i="6"/>
  <c r="Y321" i="6" s="1"/>
  <c r="X326" i="6"/>
  <c r="Y326" i="6" s="1"/>
  <c r="U26" i="6"/>
  <c r="V26" i="6" s="1"/>
  <c r="U82" i="6"/>
  <c r="V82" i="6" s="1"/>
  <c r="U94" i="6"/>
  <c r="V94" i="6" s="1"/>
  <c r="U122" i="6"/>
  <c r="V122" i="6" s="1"/>
  <c r="U134" i="6"/>
  <c r="V134" i="6" s="1"/>
  <c r="U158" i="6"/>
  <c r="V158" i="6" s="1"/>
  <c r="U211" i="6"/>
  <c r="V211" i="6" s="1"/>
  <c r="U224" i="6"/>
  <c r="V224" i="6" s="1"/>
  <c r="U327" i="6"/>
  <c r="V327" i="6" s="1"/>
  <c r="U333" i="6"/>
  <c r="V333" i="6" s="1"/>
  <c r="U344" i="6"/>
  <c r="V344" i="6" s="1"/>
  <c r="X243" i="6"/>
  <c r="Y243" i="6" s="1"/>
  <c r="X30" i="6"/>
  <c r="Y30" i="6" s="1"/>
  <c r="U58" i="6"/>
  <c r="V58" i="6" s="1"/>
  <c r="X63" i="6"/>
  <c r="Y63" i="6" s="1"/>
  <c r="U70" i="6"/>
  <c r="V70" i="6" s="1"/>
  <c r="X179" i="6"/>
  <c r="Y179" i="6" s="1"/>
  <c r="U197" i="6"/>
  <c r="V197" i="6" s="1"/>
  <c r="U201" i="6"/>
  <c r="V201" i="6" s="1"/>
  <c r="U205" i="6"/>
  <c r="V205" i="6" s="1"/>
  <c r="X249" i="6"/>
  <c r="Y249" i="6" s="1"/>
  <c r="X294" i="6"/>
  <c r="Y294" i="6" s="1"/>
  <c r="U299" i="6"/>
  <c r="V299" i="6" s="1"/>
  <c r="U313" i="6"/>
  <c r="V313" i="6" s="1"/>
  <c r="U337" i="6"/>
  <c r="V337" i="6" s="1"/>
  <c r="X342" i="6"/>
  <c r="Y342" i="6" s="1"/>
  <c r="U19" i="6"/>
  <c r="V19" i="6" s="1"/>
  <c r="U328" i="6"/>
  <c r="V328" i="6" s="1"/>
  <c r="X54" i="6"/>
  <c r="Y54" i="6" s="1"/>
  <c r="X123" i="6"/>
  <c r="Y123" i="6" s="1"/>
  <c r="X129" i="6"/>
  <c r="Y129" i="6" s="1"/>
  <c r="U142" i="6"/>
  <c r="V142" i="6" s="1"/>
  <c r="U225" i="6"/>
  <c r="V225" i="6" s="1"/>
  <c r="U231" i="6"/>
  <c r="V231" i="6" s="1"/>
  <c r="U251" i="6"/>
  <c r="V251" i="6" s="1"/>
  <c r="X263" i="6"/>
  <c r="Y263" i="6" s="1"/>
  <c r="U267" i="6"/>
  <c r="V267" i="6" s="1"/>
  <c r="U296" i="6"/>
  <c r="V296" i="6" s="1"/>
  <c r="X73" i="6"/>
  <c r="Y73" i="6" s="1"/>
  <c r="X172" i="6"/>
  <c r="Y172" i="6" s="1"/>
  <c r="U177" i="6"/>
  <c r="V177" i="6" s="1"/>
  <c r="U34" i="6"/>
  <c r="V34" i="6" s="1"/>
  <c r="X22" i="6"/>
  <c r="Y22" i="6" s="1"/>
  <c r="U84" i="6"/>
  <c r="V84" i="6" s="1"/>
  <c r="X14" i="6"/>
  <c r="Y14" i="6" s="1"/>
  <c r="X23" i="6"/>
  <c r="Y23" i="6" s="1"/>
  <c r="U27" i="6"/>
  <c r="V27" i="6" s="1"/>
  <c r="X31" i="6"/>
  <c r="Y31" i="6" s="1"/>
  <c r="U35" i="6"/>
  <c r="V35" i="6" s="1"/>
  <c r="X39" i="6"/>
  <c r="Y39" i="6" s="1"/>
  <c r="U43" i="6"/>
  <c r="V43" i="6" s="1"/>
  <c r="X47" i="6"/>
  <c r="Y47" i="6" s="1"/>
  <c r="U51" i="6"/>
  <c r="V51" i="6" s="1"/>
  <c r="X55" i="6"/>
  <c r="Y55" i="6" s="1"/>
  <c r="U59" i="6"/>
  <c r="V59" i="6" s="1"/>
  <c r="X65" i="6"/>
  <c r="Y65" i="6" s="1"/>
  <c r="U90" i="6"/>
  <c r="V90" i="6" s="1"/>
  <c r="X120" i="6"/>
  <c r="Y120" i="6" s="1"/>
  <c r="U126" i="6"/>
  <c r="V126" i="6" s="1"/>
  <c r="U144" i="6"/>
  <c r="V144" i="6" s="1"/>
  <c r="X156" i="6"/>
  <c r="Y156" i="6" s="1"/>
  <c r="U166" i="6"/>
  <c r="V166" i="6" s="1"/>
  <c r="U182" i="6"/>
  <c r="V182" i="6" s="1"/>
  <c r="X190" i="6"/>
  <c r="Y190" i="6" s="1"/>
  <c r="U207" i="6"/>
  <c r="V207" i="6" s="1"/>
  <c r="U217" i="6"/>
  <c r="V217" i="6" s="1"/>
  <c r="X227" i="6"/>
  <c r="Y227" i="6" s="1"/>
  <c r="U241" i="6"/>
  <c r="V241" i="6" s="1"/>
  <c r="U256" i="6"/>
  <c r="V256" i="6" s="1"/>
  <c r="U272" i="6"/>
  <c r="V272" i="6" s="1"/>
  <c r="U279" i="6"/>
  <c r="V279" i="6" s="1"/>
  <c r="U293" i="6"/>
  <c r="V293" i="6" s="1"/>
  <c r="X334" i="6"/>
  <c r="Y334" i="6" s="1"/>
  <c r="X99" i="6"/>
  <c r="Y99" i="6" s="1"/>
  <c r="X108" i="6"/>
  <c r="Y108" i="6" s="1"/>
  <c r="U114" i="6"/>
  <c r="V114" i="6" s="1"/>
  <c r="U304" i="6"/>
  <c r="V304" i="6" s="1"/>
  <c r="X318" i="6"/>
  <c r="Y318" i="6" s="1"/>
  <c r="U331" i="6"/>
  <c r="V331" i="6" s="1"/>
  <c r="U89" i="6"/>
  <c r="V89" i="6" s="1"/>
  <c r="X100" i="6"/>
  <c r="Y100" i="6" s="1"/>
  <c r="X115" i="6"/>
  <c r="Y115" i="6" s="1"/>
  <c r="U136" i="6"/>
  <c r="V136" i="6" s="1"/>
  <c r="U145" i="6"/>
  <c r="V145" i="6" s="1"/>
  <c r="X148" i="6"/>
  <c r="Y148" i="6" s="1"/>
  <c r="U154" i="6"/>
  <c r="V154" i="6" s="1"/>
  <c r="U173" i="6"/>
  <c r="V173" i="6" s="1"/>
  <c r="U187" i="6"/>
  <c r="V187" i="6" s="1"/>
  <c r="U195" i="6"/>
  <c r="V195" i="6" s="1"/>
  <c r="U208" i="6"/>
  <c r="V208" i="6" s="1"/>
  <c r="U215" i="6"/>
  <c r="V215" i="6" s="1"/>
  <c r="U229" i="6"/>
  <c r="V229" i="6" s="1"/>
  <c r="U257" i="6"/>
  <c r="V257" i="6" s="1"/>
  <c r="U280" i="6"/>
  <c r="V280" i="6" s="1"/>
  <c r="U291" i="6"/>
  <c r="V291" i="6" s="1"/>
  <c r="U301" i="6"/>
  <c r="V301" i="6" s="1"/>
  <c r="U305" i="6"/>
  <c r="V305" i="6" s="1"/>
  <c r="U315" i="6"/>
  <c r="V315" i="6" s="1"/>
  <c r="U319" i="6"/>
  <c r="V319" i="6" s="1"/>
  <c r="X57" i="6"/>
  <c r="Y57" i="6" s="1"/>
  <c r="U273" i="6"/>
  <c r="V273" i="6" s="1"/>
  <c r="U295" i="6"/>
  <c r="V295" i="6" s="1"/>
  <c r="U11" i="6"/>
  <c r="V11" i="6" s="1"/>
  <c r="U77" i="6"/>
  <c r="V77" i="6" s="1"/>
  <c r="U86" i="6"/>
  <c r="V86" i="6" s="1"/>
  <c r="X25" i="6"/>
  <c r="Y25" i="6" s="1"/>
  <c r="X33" i="6"/>
  <c r="Y33" i="6" s="1"/>
  <c r="X64" i="6"/>
  <c r="Y64" i="6" s="1"/>
  <c r="X83" i="6"/>
  <c r="Y83" i="6" s="1"/>
  <c r="U92" i="6"/>
  <c r="V92" i="6" s="1"/>
  <c r="U104" i="6"/>
  <c r="V104" i="6" s="1"/>
  <c r="U110" i="6"/>
  <c r="V110" i="6" s="1"/>
  <c r="U113" i="6"/>
  <c r="V113" i="6" s="1"/>
  <c r="U17" i="6"/>
  <c r="V17" i="6" s="1"/>
  <c r="U74" i="6"/>
  <c r="V74" i="6" s="1"/>
  <c r="U78" i="6"/>
  <c r="V78" i="6" s="1"/>
  <c r="U101" i="6"/>
  <c r="V101" i="6" s="1"/>
  <c r="X116" i="6"/>
  <c r="Y116" i="6" s="1"/>
  <c r="U128" i="6"/>
  <c r="V128" i="6" s="1"/>
  <c r="X164" i="6"/>
  <c r="Y164" i="6" s="1"/>
  <c r="U170" i="6"/>
  <c r="V170" i="6" s="1"/>
  <c r="U174" i="6"/>
  <c r="V174" i="6" s="1"/>
  <c r="X180" i="6"/>
  <c r="Y180" i="6" s="1"/>
  <c r="U184" i="6"/>
  <c r="V184" i="6" s="1"/>
  <c r="X230" i="6"/>
  <c r="Y230" i="6" s="1"/>
  <c r="U233" i="6"/>
  <c r="V233" i="6" s="1"/>
  <c r="U240" i="6"/>
  <c r="V240" i="6" s="1"/>
  <c r="U255" i="6"/>
  <c r="V255" i="6" s="1"/>
  <c r="U261" i="6"/>
  <c r="V261" i="6" s="1"/>
  <c r="U271" i="6"/>
  <c r="V271" i="6" s="1"/>
  <c r="U281" i="6"/>
  <c r="V281" i="6" s="1"/>
  <c r="U336" i="6"/>
  <c r="V336" i="6" s="1"/>
  <c r="X350" i="6"/>
  <c r="Y350" i="6" s="1"/>
  <c r="U41" i="6"/>
  <c r="V41" i="6" s="1"/>
  <c r="U49" i="6"/>
  <c r="V49" i="6" s="1"/>
  <c r="X68" i="6"/>
  <c r="Y68" i="6" s="1"/>
  <c r="U72" i="6"/>
  <c r="V72" i="6" s="1"/>
  <c r="X38" i="6"/>
  <c r="Y38" i="6" s="1"/>
  <c r="U42" i="6"/>
  <c r="V42" i="6" s="1"/>
  <c r="X46" i="6"/>
  <c r="Y46" i="6" s="1"/>
  <c r="X107" i="6"/>
  <c r="Y107" i="6" s="1"/>
  <c r="U125" i="6"/>
  <c r="V125" i="6" s="1"/>
  <c r="X131" i="6"/>
  <c r="Y131" i="6" s="1"/>
  <c r="X155" i="6"/>
  <c r="Y155" i="6" s="1"/>
  <c r="U216" i="6"/>
  <c r="V216" i="6" s="1"/>
  <c r="U32" i="6"/>
  <c r="V32" i="6" s="1"/>
  <c r="U56" i="6"/>
  <c r="V56" i="6" s="1"/>
  <c r="U69" i="6"/>
  <c r="V69" i="6" s="1"/>
  <c r="X79" i="6"/>
  <c r="Y79" i="6" s="1"/>
  <c r="U79" i="6"/>
  <c r="V79" i="6" s="1"/>
  <c r="X103" i="6"/>
  <c r="Y103" i="6" s="1"/>
  <c r="U103" i="6"/>
  <c r="V103" i="6" s="1"/>
  <c r="U245" i="6"/>
  <c r="V245" i="6" s="1"/>
  <c r="U21" i="6"/>
  <c r="V21" i="6" s="1"/>
  <c r="U29" i="6"/>
  <c r="V29" i="6" s="1"/>
  <c r="U37" i="6"/>
  <c r="V37" i="6" s="1"/>
  <c r="U45" i="6"/>
  <c r="V45" i="6" s="1"/>
  <c r="U53" i="6"/>
  <c r="V53" i="6" s="1"/>
  <c r="U61" i="6"/>
  <c r="V61" i="6" s="1"/>
  <c r="U93" i="6"/>
  <c r="V93" i="6" s="1"/>
  <c r="X111" i="6"/>
  <c r="Y111" i="6" s="1"/>
  <c r="U111" i="6"/>
  <c r="V111" i="6" s="1"/>
  <c r="U138" i="6"/>
  <c r="V138" i="6" s="1"/>
  <c r="X143" i="6"/>
  <c r="Y143" i="6" s="1"/>
  <c r="U143" i="6"/>
  <c r="V143" i="6" s="1"/>
  <c r="U213" i="6"/>
  <c r="V213" i="6" s="1"/>
  <c r="U220" i="6"/>
  <c r="V220" i="6" s="1"/>
  <c r="X220" i="6"/>
  <c r="Y220" i="6" s="1"/>
  <c r="U277" i="6"/>
  <c r="V277" i="6" s="1"/>
  <c r="U284" i="6"/>
  <c r="V284" i="6" s="1"/>
  <c r="X284" i="6"/>
  <c r="Y284" i="6" s="1"/>
  <c r="U16" i="6"/>
  <c r="V16" i="6" s="1"/>
  <c r="U67" i="6"/>
  <c r="V67" i="6" s="1"/>
  <c r="X40" i="6"/>
  <c r="Y40" i="6" s="1"/>
  <c r="X48" i="6"/>
  <c r="Y48" i="6" s="1"/>
  <c r="X119" i="6"/>
  <c r="Y119" i="6" s="1"/>
  <c r="U119" i="6"/>
  <c r="V119" i="6" s="1"/>
  <c r="X151" i="6"/>
  <c r="Y151" i="6" s="1"/>
  <c r="U151" i="6"/>
  <c r="V151" i="6" s="1"/>
  <c r="U196" i="6"/>
  <c r="V196" i="6" s="1"/>
  <c r="X196" i="6"/>
  <c r="Y196" i="6" s="1"/>
  <c r="U133" i="6"/>
  <c r="V133" i="6" s="1"/>
  <c r="U178" i="6"/>
  <c r="V178" i="6" s="1"/>
  <c r="U252" i="6"/>
  <c r="V252" i="6" s="1"/>
  <c r="X252" i="6"/>
  <c r="Y252" i="6" s="1"/>
  <c r="X24" i="6"/>
  <c r="Y24" i="6" s="1"/>
  <c r="X13" i="6"/>
  <c r="Y13" i="6" s="1"/>
  <c r="U106" i="6"/>
  <c r="V106" i="6" s="1"/>
  <c r="U109" i="6"/>
  <c r="V109" i="6" s="1"/>
  <c r="X127" i="6"/>
  <c r="Y127" i="6" s="1"/>
  <c r="U127" i="6"/>
  <c r="V127" i="6" s="1"/>
  <c r="U141" i="6"/>
  <c r="V141" i="6" s="1"/>
  <c r="X159" i="6"/>
  <c r="Y159" i="6" s="1"/>
  <c r="U159" i="6"/>
  <c r="V159" i="6" s="1"/>
  <c r="X185" i="6"/>
  <c r="Y185" i="6" s="1"/>
  <c r="U185" i="6"/>
  <c r="V185" i="6" s="1"/>
  <c r="U189" i="6"/>
  <c r="V189" i="6" s="1"/>
  <c r="U238" i="6"/>
  <c r="V238" i="6" s="1"/>
  <c r="X238" i="6"/>
  <c r="Y238" i="6" s="1"/>
  <c r="X250" i="6"/>
  <c r="Y250" i="6" s="1"/>
  <c r="U250" i="6"/>
  <c r="V250" i="6" s="1"/>
  <c r="X309" i="6"/>
  <c r="Y309" i="6" s="1"/>
  <c r="U309" i="6"/>
  <c r="V309" i="6" s="1"/>
  <c r="U181" i="6"/>
  <c r="V181" i="6" s="1"/>
  <c r="X314" i="6"/>
  <c r="Y314" i="6" s="1"/>
  <c r="U314" i="6"/>
  <c r="V314" i="6" s="1"/>
  <c r="U18" i="6"/>
  <c r="V18" i="6" s="1"/>
  <c r="U12" i="6"/>
  <c r="V12" i="6" s="1"/>
  <c r="U20" i="6"/>
  <c r="V20" i="6" s="1"/>
  <c r="U28" i="6"/>
  <c r="V28" i="6" s="1"/>
  <c r="U36" i="6"/>
  <c r="V36" i="6" s="1"/>
  <c r="U44" i="6"/>
  <c r="V44" i="6" s="1"/>
  <c r="U52" i="6"/>
  <c r="V52" i="6" s="1"/>
  <c r="U60" i="6"/>
  <c r="V60" i="6" s="1"/>
  <c r="X87" i="6"/>
  <c r="Y87" i="6" s="1"/>
  <c r="U87" i="6"/>
  <c r="V87" i="6" s="1"/>
  <c r="U146" i="6"/>
  <c r="V146" i="6" s="1"/>
  <c r="U149" i="6"/>
  <c r="V149" i="6" s="1"/>
  <c r="X167" i="6"/>
  <c r="Y167" i="6" s="1"/>
  <c r="U167" i="6"/>
  <c r="V167" i="6" s="1"/>
  <c r="U206" i="6"/>
  <c r="V206" i="6" s="1"/>
  <c r="X206" i="6"/>
  <c r="Y206" i="6" s="1"/>
  <c r="X218" i="6"/>
  <c r="Y218" i="6" s="1"/>
  <c r="U218" i="6"/>
  <c r="V218" i="6" s="1"/>
  <c r="U270" i="6"/>
  <c r="V270" i="6" s="1"/>
  <c r="X270" i="6"/>
  <c r="Y270" i="6" s="1"/>
  <c r="X282" i="6"/>
  <c r="Y282" i="6" s="1"/>
  <c r="U282" i="6"/>
  <c r="V282" i="6" s="1"/>
  <c r="X175" i="6"/>
  <c r="Y175" i="6" s="1"/>
  <c r="U175" i="6"/>
  <c r="V175" i="6" s="1"/>
  <c r="X95" i="6"/>
  <c r="Y95" i="6" s="1"/>
  <c r="U95" i="6"/>
  <c r="V95" i="6" s="1"/>
  <c r="U66" i="6"/>
  <c r="V66" i="6" s="1"/>
  <c r="X71" i="6"/>
  <c r="Y71" i="6" s="1"/>
  <c r="U71" i="6"/>
  <c r="V71" i="6" s="1"/>
  <c r="U85" i="6"/>
  <c r="V85" i="6" s="1"/>
  <c r="U130" i="6"/>
  <c r="V130" i="6" s="1"/>
  <c r="X135" i="6"/>
  <c r="Y135" i="6" s="1"/>
  <c r="U135" i="6"/>
  <c r="V135" i="6" s="1"/>
  <c r="U162" i="6"/>
  <c r="V162" i="6" s="1"/>
  <c r="U165" i="6"/>
  <c r="V165" i="6" s="1"/>
  <c r="X183" i="6"/>
  <c r="Y183" i="6" s="1"/>
  <c r="U183" i="6"/>
  <c r="V183" i="6" s="1"/>
  <c r="X194" i="6"/>
  <c r="Y194" i="6" s="1"/>
  <c r="U194" i="6"/>
  <c r="V194" i="6" s="1"/>
  <c r="U228" i="6"/>
  <c r="V228" i="6" s="1"/>
  <c r="X228" i="6"/>
  <c r="Y228" i="6" s="1"/>
  <c r="U260" i="6"/>
  <c r="V260" i="6" s="1"/>
  <c r="X260" i="6"/>
  <c r="Y260" i="6" s="1"/>
  <c r="U292" i="6"/>
  <c r="V292" i="6" s="1"/>
  <c r="X292" i="6"/>
  <c r="Y292" i="6" s="1"/>
  <c r="X330" i="6"/>
  <c r="Y330" i="6" s="1"/>
  <c r="U330" i="6"/>
  <c r="V330" i="6" s="1"/>
  <c r="U192" i="6"/>
  <c r="V192" i="6" s="1"/>
  <c r="U221" i="6"/>
  <c r="V221" i="6" s="1"/>
  <c r="X226" i="6"/>
  <c r="Y226" i="6" s="1"/>
  <c r="U226" i="6"/>
  <c r="V226" i="6" s="1"/>
  <c r="U253" i="6"/>
  <c r="V253" i="6" s="1"/>
  <c r="X258" i="6"/>
  <c r="Y258" i="6" s="1"/>
  <c r="U258" i="6"/>
  <c r="V258" i="6" s="1"/>
  <c r="U285" i="6"/>
  <c r="V285" i="6" s="1"/>
  <c r="X290" i="6"/>
  <c r="Y290" i="6" s="1"/>
  <c r="U290" i="6"/>
  <c r="V290" i="6" s="1"/>
  <c r="X306" i="6"/>
  <c r="Y306" i="6" s="1"/>
  <c r="U306" i="6"/>
  <c r="V306" i="6" s="1"/>
  <c r="U349" i="6"/>
  <c r="V349" i="6" s="1"/>
  <c r="U204" i="6"/>
  <c r="V204" i="6" s="1"/>
  <c r="X204" i="6"/>
  <c r="Y204" i="6" s="1"/>
  <c r="X214" i="6"/>
  <c r="Y214" i="6" s="1"/>
  <c r="U236" i="6"/>
  <c r="V236" i="6" s="1"/>
  <c r="X236" i="6"/>
  <c r="Y236" i="6" s="1"/>
  <c r="X246" i="6"/>
  <c r="Y246" i="6" s="1"/>
  <c r="U268" i="6"/>
  <c r="V268" i="6" s="1"/>
  <c r="X268" i="6"/>
  <c r="Y268" i="6" s="1"/>
  <c r="X278" i="6"/>
  <c r="Y278" i="6" s="1"/>
  <c r="X298" i="6"/>
  <c r="Y298" i="6" s="1"/>
  <c r="U298" i="6"/>
  <c r="V298" i="6" s="1"/>
  <c r="U325" i="6"/>
  <c r="V325" i="6" s="1"/>
  <c r="X346" i="6"/>
  <c r="Y346" i="6" s="1"/>
  <c r="U346" i="6"/>
  <c r="V346" i="6" s="1"/>
  <c r="U188" i="6"/>
  <c r="V188" i="6" s="1"/>
  <c r="X188" i="6"/>
  <c r="Y188" i="6" s="1"/>
  <c r="X202" i="6"/>
  <c r="Y202" i="6" s="1"/>
  <c r="U202" i="6"/>
  <c r="V202" i="6" s="1"/>
  <c r="X234" i="6"/>
  <c r="Y234" i="6" s="1"/>
  <c r="U234" i="6"/>
  <c r="V234" i="6" s="1"/>
  <c r="X266" i="6"/>
  <c r="Y266" i="6" s="1"/>
  <c r="U266" i="6"/>
  <c r="V266" i="6" s="1"/>
  <c r="X322" i="6"/>
  <c r="Y322" i="6" s="1"/>
  <c r="U322" i="6"/>
  <c r="V322" i="6" s="1"/>
  <c r="X186" i="6"/>
  <c r="Y186" i="6" s="1"/>
  <c r="U186" i="6"/>
  <c r="V186" i="6" s="1"/>
  <c r="U212" i="6"/>
  <c r="V212" i="6" s="1"/>
  <c r="X212" i="6"/>
  <c r="Y212" i="6" s="1"/>
  <c r="X222" i="6"/>
  <c r="Y222" i="6" s="1"/>
  <c r="U244" i="6"/>
  <c r="V244" i="6" s="1"/>
  <c r="X244" i="6"/>
  <c r="Y244" i="6" s="1"/>
  <c r="X254" i="6"/>
  <c r="Y254" i="6" s="1"/>
  <c r="U276" i="6"/>
  <c r="V276" i="6" s="1"/>
  <c r="X276" i="6"/>
  <c r="Y276" i="6" s="1"/>
  <c r="X286" i="6"/>
  <c r="Y286" i="6" s="1"/>
  <c r="U341" i="6"/>
  <c r="V341" i="6" s="1"/>
  <c r="X210" i="6"/>
  <c r="Y210" i="6" s="1"/>
  <c r="U210" i="6"/>
  <c r="V210" i="6" s="1"/>
  <c r="X242" i="6"/>
  <c r="Y242" i="6" s="1"/>
  <c r="U242" i="6"/>
  <c r="V242" i="6" s="1"/>
  <c r="X274" i="6"/>
  <c r="Y274" i="6" s="1"/>
  <c r="U274" i="6"/>
  <c r="V274" i="6" s="1"/>
  <c r="X302" i="6"/>
  <c r="Y302" i="6" s="1"/>
  <c r="U317" i="6"/>
  <c r="V317" i="6" s="1"/>
  <c r="X338" i="6"/>
  <c r="Y338" i="6" s="1"/>
  <c r="U338" i="6"/>
  <c r="V338" i="6" s="1"/>
  <c r="X351" i="6"/>
  <c r="Y351" i="6" s="1"/>
  <c r="X300" i="6"/>
  <c r="Y300" i="6" s="1"/>
  <c r="X308" i="6"/>
  <c r="Y308" i="6" s="1"/>
  <c r="X316" i="6"/>
  <c r="Y316" i="6" s="1"/>
  <c r="X324" i="6"/>
  <c r="Y324" i="6" s="1"/>
  <c r="X332" i="6"/>
  <c r="Y332" i="6" s="1"/>
  <c r="X340" i="6"/>
  <c r="Y340" i="6" s="1"/>
  <c r="X348" i="6"/>
  <c r="Y348" i="6" s="1"/>
  <c r="Y354" i="6" l="1"/>
  <c r="V354" i="6"/>
  <c r="Y353" i="6"/>
  <c r="V353" i="6"/>
  <c r="V355" i="6" l="1"/>
  <c r="Y355" i="6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O24" i="1" s="1"/>
  <c r="P24" i="1" s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R44" i="1" s="1"/>
  <c r="S44" i="1" s="1"/>
  <c r="K45" i="1"/>
  <c r="K46" i="1"/>
  <c r="O46" i="1" s="1"/>
  <c r="P46" i="1" s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O61" i="1" s="1"/>
  <c r="P61" i="1" s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O78" i="1" s="1"/>
  <c r="P78" i="1" s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O93" i="1" s="1"/>
  <c r="P93" i="1" s="1"/>
  <c r="K94" i="1"/>
  <c r="K95" i="1"/>
  <c r="K96" i="1"/>
  <c r="K97" i="1"/>
  <c r="K98" i="1"/>
  <c r="K99" i="1"/>
  <c r="K100" i="1"/>
  <c r="R100" i="1" s="1"/>
  <c r="S100" i="1" s="1"/>
  <c r="K101" i="1"/>
  <c r="K102" i="1"/>
  <c r="K103" i="1"/>
  <c r="K104" i="1"/>
  <c r="K105" i="1"/>
  <c r="K106" i="1"/>
  <c r="K107" i="1"/>
  <c r="K108" i="1"/>
  <c r="K109" i="1"/>
  <c r="K110" i="1"/>
  <c r="O110" i="1" s="1"/>
  <c r="P110" i="1" s="1"/>
  <c r="K111" i="1"/>
  <c r="O111" i="1" s="1"/>
  <c r="P111" i="1" s="1"/>
  <c r="K112" i="1"/>
  <c r="K113" i="1"/>
  <c r="K114" i="1"/>
  <c r="K115" i="1"/>
  <c r="K116" i="1"/>
  <c r="R116" i="1" s="1"/>
  <c r="S116" i="1" s="1"/>
  <c r="K117" i="1"/>
  <c r="K118" i="1"/>
  <c r="K119" i="1"/>
  <c r="K120" i="1"/>
  <c r="K121" i="1"/>
  <c r="K122" i="1"/>
  <c r="K123" i="1"/>
  <c r="K124" i="1"/>
  <c r="K125" i="1"/>
  <c r="O125" i="1" s="1"/>
  <c r="P125" i="1" s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O140" i="1" s="1"/>
  <c r="P140" i="1" s="1"/>
  <c r="K141" i="1"/>
  <c r="K142" i="1"/>
  <c r="K143" i="1"/>
  <c r="K144" i="1"/>
  <c r="K145" i="1"/>
  <c r="K146" i="1"/>
  <c r="K147" i="1"/>
  <c r="K148" i="1"/>
  <c r="O148" i="1" s="1"/>
  <c r="P148" i="1" s="1"/>
  <c r="K149" i="1"/>
  <c r="O149" i="1" s="1"/>
  <c r="P149" i="1" s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O164" i="1" s="1"/>
  <c r="P164" i="1" s="1"/>
  <c r="K165" i="1"/>
  <c r="O165" i="1" s="1"/>
  <c r="P165" i="1" s="1"/>
  <c r="K166" i="1"/>
  <c r="K167" i="1"/>
  <c r="K168" i="1"/>
  <c r="K169" i="1"/>
  <c r="K170" i="1"/>
  <c r="K171" i="1"/>
  <c r="K172" i="1"/>
  <c r="O172" i="1" s="1"/>
  <c r="P172" i="1" s="1"/>
  <c r="K173" i="1"/>
  <c r="K174" i="1"/>
  <c r="R174" i="1" s="1"/>
  <c r="S174" i="1" s="1"/>
  <c r="K175" i="1"/>
  <c r="K176" i="1"/>
  <c r="K177" i="1"/>
  <c r="K178" i="1"/>
  <c r="K179" i="1"/>
  <c r="K180" i="1"/>
  <c r="O180" i="1" s="1"/>
  <c r="P180" i="1" s="1"/>
  <c r="K181" i="1"/>
  <c r="K182" i="1"/>
  <c r="K183" i="1"/>
  <c r="K184" i="1"/>
  <c r="K185" i="1"/>
  <c r="K186" i="1"/>
  <c r="K187" i="1"/>
  <c r="K188" i="1"/>
  <c r="R188" i="1" s="1"/>
  <c r="S188" i="1" s="1"/>
  <c r="K189" i="1"/>
  <c r="K190" i="1"/>
  <c r="R190" i="1" s="1"/>
  <c r="S190" i="1" s="1"/>
  <c r="K191" i="1"/>
  <c r="K192" i="1"/>
  <c r="O192" i="1" s="1"/>
  <c r="P192" i="1" s="1"/>
  <c r="K193" i="1"/>
  <c r="K194" i="1"/>
  <c r="K195" i="1"/>
  <c r="K196" i="1"/>
  <c r="K197" i="1"/>
  <c r="K198" i="1"/>
  <c r="K199" i="1"/>
  <c r="K200" i="1"/>
  <c r="K201" i="1"/>
  <c r="K202" i="1"/>
  <c r="K203" i="1"/>
  <c r="K204" i="1"/>
  <c r="O204" i="1" s="1"/>
  <c r="P204" i="1" s="1"/>
  <c r="K205" i="1"/>
  <c r="O205" i="1" s="1"/>
  <c r="P205" i="1" s="1"/>
  <c r="K206" i="1"/>
  <c r="K207" i="1"/>
  <c r="K208" i="1"/>
  <c r="K209" i="1"/>
  <c r="K210" i="1"/>
  <c r="K211" i="1"/>
  <c r="K212" i="1"/>
  <c r="O212" i="1" s="1"/>
  <c r="P212" i="1" s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O228" i="1" s="1"/>
  <c r="P228" i="1" s="1"/>
  <c r="K229" i="1"/>
  <c r="O229" i="1" s="1"/>
  <c r="P229" i="1" s="1"/>
  <c r="K230" i="1"/>
  <c r="K231" i="1"/>
  <c r="K232" i="1"/>
  <c r="K233" i="1"/>
  <c r="K234" i="1"/>
  <c r="K235" i="1"/>
  <c r="K236" i="1"/>
  <c r="O236" i="1" s="1"/>
  <c r="P236" i="1" s="1"/>
  <c r="K237" i="1"/>
  <c r="K238" i="1"/>
  <c r="R238" i="1" s="1"/>
  <c r="S238" i="1" s="1"/>
  <c r="K239" i="1"/>
  <c r="K240" i="1"/>
  <c r="K241" i="1"/>
  <c r="K242" i="1"/>
  <c r="K243" i="1"/>
  <c r="K244" i="1"/>
  <c r="O244" i="1" s="1"/>
  <c r="P244" i="1" s="1"/>
  <c r="K245" i="1"/>
  <c r="K246" i="1"/>
  <c r="K247" i="1"/>
  <c r="K248" i="1"/>
  <c r="K249" i="1"/>
  <c r="K250" i="1"/>
  <c r="K251" i="1"/>
  <c r="K252" i="1"/>
  <c r="O252" i="1" s="1"/>
  <c r="P252" i="1" s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O268" i="1" s="1"/>
  <c r="P268" i="1" s="1"/>
  <c r="K269" i="1"/>
  <c r="O269" i="1" s="1"/>
  <c r="P269" i="1" s="1"/>
  <c r="K270" i="1"/>
  <c r="K271" i="1"/>
  <c r="K272" i="1"/>
  <c r="K273" i="1"/>
  <c r="K274" i="1"/>
  <c r="K275" i="1"/>
  <c r="K276" i="1"/>
  <c r="O276" i="1" s="1"/>
  <c r="P276" i="1" s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O292" i="1" s="1"/>
  <c r="P292" i="1" s="1"/>
  <c r="K293" i="1"/>
  <c r="O293" i="1" s="1"/>
  <c r="P293" i="1" s="1"/>
  <c r="K294" i="1"/>
  <c r="R294" i="1" s="1"/>
  <c r="S294" i="1" s="1"/>
  <c r="K295" i="1"/>
  <c r="K296" i="1"/>
  <c r="K297" i="1"/>
  <c r="K298" i="1"/>
  <c r="K299" i="1"/>
  <c r="K300" i="1"/>
  <c r="O300" i="1" s="1"/>
  <c r="P300" i="1" s="1"/>
  <c r="K301" i="1"/>
  <c r="K302" i="1"/>
  <c r="R302" i="1" s="1"/>
  <c r="S302" i="1" s="1"/>
  <c r="K303" i="1"/>
  <c r="K304" i="1"/>
  <c r="K305" i="1"/>
  <c r="K306" i="1"/>
  <c r="K307" i="1"/>
  <c r="K308" i="1"/>
  <c r="O308" i="1" s="1"/>
  <c r="P308" i="1" s="1"/>
  <c r="K309" i="1"/>
  <c r="K310" i="1"/>
  <c r="K311" i="1"/>
  <c r="K312" i="1"/>
  <c r="K313" i="1"/>
  <c r="K314" i="1"/>
  <c r="K315" i="1"/>
  <c r="K316" i="1"/>
  <c r="R316" i="1" s="1"/>
  <c r="S316" i="1" s="1"/>
  <c r="K317" i="1"/>
  <c r="K318" i="1"/>
  <c r="K319" i="1"/>
  <c r="K320" i="1"/>
  <c r="K321" i="1"/>
  <c r="K322" i="1"/>
  <c r="K323" i="1"/>
  <c r="K324" i="1"/>
  <c r="O324" i="1" s="1"/>
  <c r="P324" i="1" s="1"/>
  <c r="K325" i="1"/>
  <c r="K326" i="1"/>
  <c r="K327" i="1"/>
  <c r="K328" i="1"/>
  <c r="K329" i="1"/>
  <c r="K330" i="1"/>
  <c r="K331" i="1"/>
  <c r="K332" i="1"/>
  <c r="O332" i="1" s="1"/>
  <c r="P332" i="1" s="1"/>
  <c r="K333" i="1"/>
  <c r="O333" i="1" s="1"/>
  <c r="P333" i="1" s="1"/>
  <c r="K334" i="1"/>
  <c r="K335" i="1"/>
  <c r="K336" i="1"/>
  <c r="K337" i="1"/>
  <c r="K338" i="1"/>
  <c r="K339" i="1"/>
  <c r="K340" i="1"/>
  <c r="O340" i="1" s="1"/>
  <c r="P340" i="1" s="1"/>
  <c r="K341" i="1"/>
  <c r="K342" i="1"/>
  <c r="K343" i="1"/>
  <c r="K344" i="1"/>
  <c r="K345" i="1"/>
  <c r="K346" i="1"/>
  <c r="K347" i="1"/>
  <c r="K348" i="1"/>
  <c r="K349" i="1"/>
  <c r="K350" i="1"/>
  <c r="K351" i="1"/>
  <c r="K11" i="1"/>
  <c r="O347" i="1" l="1"/>
  <c r="P347" i="1" s="1"/>
  <c r="O339" i="1"/>
  <c r="P339" i="1" s="1"/>
  <c r="O331" i="1"/>
  <c r="P331" i="1" s="1"/>
  <c r="O315" i="1"/>
  <c r="P315" i="1" s="1"/>
  <c r="O307" i="1"/>
  <c r="P307" i="1" s="1"/>
  <c r="O291" i="1"/>
  <c r="P291" i="1" s="1"/>
  <c r="O283" i="1"/>
  <c r="P283" i="1" s="1"/>
  <c r="O275" i="1"/>
  <c r="P275" i="1" s="1"/>
  <c r="O267" i="1"/>
  <c r="P267" i="1" s="1"/>
  <c r="O251" i="1"/>
  <c r="P251" i="1" s="1"/>
  <c r="O243" i="1"/>
  <c r="P243" i="1" s="1"/>
  <c r="O227" i="1"/>
  <c r="P227" i="1" s="1"/>
  <c r="O219" i="1"/>
  <c r="P219" i="1" s="1"/>
  <c r="O211" i="1"/>
  <c r="P211" i="1" s="1"/>
  <c r="O203" i="1"/>
  <c r="P203" i="1" s="1"/>
  <c r="O187" i="1"/>
  <c r="P187" i="1" s="1"/>
  <c r="O179" i="1"/>
  <c r="P179" i="1" s="1"/>
  <c r="O163" i="1"/>
  <c r="P163" i="1" s="1"/>
  <c r="O155" i="1"/>
  <c r="P155" i="1" s="1"/>
  <c r="R147" i="1"/>
  <c r="S147" i="1" s="1"/>
  <c r="O139" i="1"/>
  <c r="P139" i="1" s="1"/>
  <c r="O123" i="1"/>
  <c r="P123" i="1" s="1"/>
  <c r="O107" i="1"/>
  <c r="P107" i="1" s="1"/>
  <c r="O91" i="1"/>
  <c r="P91" i="1" s="1"/>
  <c r="O75" i="1"/>
  <c r="P75" i="1" s="1"/>
  <c r="R43" i="1"/>
  <c r="S43" i="1" s="1"/>
  <c r="O35" i="1"/>
  <c r="P35" i="1" s="1"/>
  <c r="O59" i="1"/>
  <c r="P59" i="1" s="1"/>
  <c r="O346" i="1"/>
  <c r="P346" i="1" s="1"/>
  <c r="O338" i="1"/>
  <c r="P338" i="1" s="1"/>
  <c r="O330" i="1"/>
  <c r="P330" i="1" s="1"/>
  <c r="O322" i="1"/>
  <c r="P322" i="1" s="1"/>
  <c r="O314" i="1"/>
  <c r="P314" i="1" s="1"/>
  <c r="O306" i="1"/>
  <c r="P306" i="1" s="1"/>
  <c r="O290" i="1"/>
  <c r="P290" i="1" s="1"/>
  <c r="O282" i="1"/>
  <c r="P282" i="1" s="1"/>
  <c r="O274" i="1"/>
  <c r="P274" i="1" s="1"/>
  <c r="O266" i="1"/>
  <c r="P266" i="1" s="1"/>
  <c r="O258" i="1"/>
  <c r="P258" i="1" s="1"/>
  <c r="O250" i="1"/>
  <c r="P250" i="1" s="1"/>
  <c r="O242" i="1"/>
  <c r="P242" i="1" s="1"/>
  <c r="O226" i="1"/>
  <c r="P226" i="1" s="1"/>
  <c r="O218" i="1"/>
  <c r="P218" i="1" s="1"/>
  <c r="O210" i="1"/>
  <c r="P210" i="1" s="1"/>
  <c r="O202" i="1"/>
  <c r="P202" i="1" s="1"/>
  <c r="O194" i="1"/>
  <c r="P194" i="1" s="1"/>
  <c r="O186" i="1"/>
  <c r="P186" i="1" s="1"/>
  <c r="O178" i="1"/>
  <c r="P178" i="1" s="1"/>
  <c r="O162" i="1"/>
  <c r="P162" i="1" s="1"/>
  <c r="O154" i="1"/>
  <c r="P154" i="1" s="1"/>
  <c r="O138" i="1"/>
  <c r="P138" i="1" s="1"/>
  <c r="O130" i="1"/>
  <c r="P130" i="1" s="1"/>
  <c r="R66" i="1"/>
  <c r="S66" i="1" s="1"/>
  <c r="R50" i="1"/>
  <c r="S50" i="1" s="1"/>
  <c r="O25" i="1"/>
  <c r="P25" i="1" s="1"/>
  <c r="O317" i="1"/>
  <c r="P317" i="1" s="1"/>
  <c r="R253" i="1"/>
  <c r="S253" i="1" s="1"/>
  <c r="O43" i="1"/>
  <c r="P43" i="1" s="1"/>
  <c r="R189" i="1"/>
  <c r="S189" i="1" s="1"/>
  <c r="O261" i="1"/>
  <c r="P261" i="1" s="1"/>
  <c r="O189" i="1"/>
  <c r="P189" i="1" s="1"/>
  <c r="O325" i="1"/>
  <c r="P325" i="1" s="1"/>
  <c r="O141" i="1"/>
  <c r="P141" i="1" s="1"/>
  <c r="O253" i="1"/>
  <c r="P253" i="1" s="1"/>
  <c r="R344" i="1"/>
  <c r="S344" i="1" s="1"/>
  <c r="R328" i="1"/>
  <c r="S328" i="1" s="1"/>
  <c r="O328" i="1"/>
  <c r="P328" i="1" s="1"/>
  <c r="R304" i="1"/>
  <c r="S304" i="1" s="1"/>
  <c r="O304" i="1"/>
  <c r="P304" i="1" s="1"/>
  <c r="R264" i="1"/>
  <c r="S264" i="1" s="1"/>
  <c r="O264" i="1"/>
  <c r="P264" i="1" s="1"/>
  <c r="R232" i="1"/>
  <c r="S232" i="1" s="1"/>
  <c r="R184" i="1"/>
  <c r="S184" i="1" s="1"/>
  <c r="O184" i="1"/>
  <c r="P184" i="1" s="1"/>
  <c r="R144" i="1"/>
  <c r="S144" i="1" s="1"/>
  <c r="O144" i="1"/>
  <c r="P144" i="1" s="1"/>
  <c r="O104" i="1"/>
  <c r="P104" i="1" s="1"/>
  <c r="R64" i="1"/>
  <c r="S64" i="1" s="1"/>
  <c r="O64" i="1"/>
  <c r="P64" i="1" s="1"/>
  <c r="R32" i="1"/>
  <c r="S32" i="1" s="1"/>
  <c r="O32" i="1"/>
  <c r="P32" i="1" s="1"/>
  <c r="R319" i="1"/>
  <c r="S319" i="1" s="1"/>
  <c r="O319" i="1"/>
  <c r="P319" i="1" s="1"/>
  <c r="R295" i="1"/>
  <c r="S295" i="1" s="1"/>
  <c r="O295" i="1"/>
  <c r="P295" i="1" s="1"/>
  <c r="R255" i="1"/>
  <c r="S255" i="1" s="1"/>
  <c r="O255" i="1"/>
  <c r="P255" i="1" s="1"/>
  <c r="R231" i="1"/>
  <c r="S231" i="1" s="1"/>
  <c r="O231" i="1"/>
  <c r="P231" i="1" s="1"/>
  <c r="R183" i="1"/>
  <c r="S183" i="1" s="1"/>
  <c r="O183" i="1"/>
  <c r="P183" i="1" s="1"/>
  <c r="R143" i="1"/>
  <c r="S143" i="1" s="1"/>
  <c r="O143" i="1"/>
  <c r="P143" i="1" s="1"/>
  <c r="R103" i="1"/>
  <c r="S103" i="1" s="1"/>
  <c r="O103" i="1"/>
  <c r="P103" i="1" s="1"/>
  <c r="R87" i="1"/>
  <c r="S87" i="1" s="1"/>
  <c r="O87" i="1"/>
  <c r="P87" i="1" s="1"/>
  <c r="R47" i="1"/>
  <c r="S47" i="1" s="1"/>
  <c r="O47" i="1"/>
  <c r="P47" i="1" s="1"/>
  <c r="R15" i="1"/>
  <c r="S15" i="1" s="1"/>
  <c r="O15" i="1"/>
  <c r="P15" i="1" s="1"/>
  <c r="R256" i="1"/>
  <c r="S256" i="1" s="1"/>
  <c r="O208" i="1"/>
  <c r="P208" i="1" s="1"/>
  <c r="R208" i="1"/>
  <c r="S208" i="1" s="1"/>
  <c r="R168" i="1"/>
  <c r="S168" i="1" s="1"/>
  <c r="R136" i="1"/>
  <c r="S136" i="1" s="1"/>
  <c r="O136" i="1"/>
  <c r="P136" i="1" s="1"/>
  <c r="R96" i="1"/>
  <c r="S96" i="1" s="1"/>
  <c r="R56" i="1"/>
  <c r="S56" i="1" s="1"/>
  <c r="O56" i="1"/>
  <c r="P56" i="1" s="1"/>
  <c r="R335" i="1"/>
  <c r="S335" i="1" s="1"/>
  <c r="O335" i="1"/>
  <c r="P335" i="1" s="1"/>
  <c r="R287" i="1"/>
  <c r="S287" i="1" s="1"/>
  <c r="O287" i="1"/>
  <c r="P287" i="1" s="1"/>
  <c r="R247" i="1"/>
  <c r="S247" i="1" s="1"/>
  <c r="O247" i="1"/>
  <c r="P247" i="1" s="1"/>
  <c r="R207" i="1"/>
  <c r="S207" i="1" s="1"/>
  <c r="O207" i="1"/>
  <c r="P207" i="1" s="1"/>
  <c r="R175" i="1"/>
  <c r="S175" i="1" s="1"/>
  <c r="O175" i="1"/>
  <c r="P175" i="1" s="1"/>
  <c r="R127" i="1"/>
  <c r="S127" i="1" s="1"/>
  <c r="O127" i="1"/>
  <c r="P127" i="1" s="1"/>
  <c r="R79" i="1"/>
  <c r="S79" i="1" s="1"/>
  <c r="R39" i="1"/>
  <c r="S39" i="1" s="1"/>
  <c r="O39" i="1"/>
  <c r="P39" i="1" s="1"/>
  <c r="R296" i="1"/>
  <c r="S296" i="1" s="1"/>
  <c r="R104" i="1"/>
  <c r="S104" i="1" s="1"/>
  <c r="R11" i="1"/>
  <c r="S11" i="1" s="1"/>
  <c r="O11" i="1"/>
  <c r="P11" i="1" s="1"/>
  <c r="R312" i="1"/>
  <c r="S312" i="1" s="1"/>
  <c r="O312" i="1"/>
  <c r="P312" i="1" s="1"/>
  <c r="O272" i="1"/>
  <c r="P272" i="1" s="1"/>
  <c r="R272" i="1"/>
  <c r="S272" i="1" s="1"/>
  <c r="R224" i="1"/>
  <c r="S224" i="1" s="1"/>
  <c r="O224" i="1"/>
  <c r="P224" i="1" s="1"/>
  <c r="R176" i="1"/>
  <c r="S176" i="1" s="1"/>
  <c r="O176" i="1"/>
  <c r="P176" i="1" s="1"/>
  <c r="R128" i="1"/>
  <c r="S128" i="1" s="1"/>
  <c r="R88" i="1"/>
  <c r="S88" i="1" s="1"/>
  <c r="O88" i="1"/>
  <c r="P88" i="1" s="1"/>
  <c r="R40" i="1"/>
  <c r="S40" i="1" s="1"/>
  <c r="O40" i="1"/>
  <c r="P40" i="1" s="1"/>
  <c r="R311" i="1"/>
  <c r="S311" i="1" s="1"/>
  <c r="O311" i="1"/>
  <c r="P311" i="1" s="1"/>
  <c r="R271" i="1"/>
  <c r="S271" i="1" s="1"/>
  <c r="O271" i="1"/>
  <c r="P271" i="1" s="1"/>
  <c r="R215" i="1"/>
  <c r="S215" i="1" s="1"/>
  <c r="O215" i="1"/>
  <c r="P215" i="1" s="1"/>
  <c r="R167" i="1"/>
  <c r="S167" i="1" s="1"/>
  <c r="O167" i="1"/>
  <c r="P167" i="1" s="1"/>
  <c r="R111" i="1"/>
  <c r="S111" i="1" s="1"/>
  <c r="R55" i="1"/>
  <c r="S55" i="1" s="1"/>
  <c r="O55" i="1"/>
  <c r="P55" i="1" s="1"/>
  <c r="O296" i="1"/>
  <c r="P296" i="1" s="1"/>
  <c r="R348" i="1"/>
  <c r="S348" i="1" s="1"/>
  <c r="O348" i="1"/>
  <c r="P348" i="1" s="1"/>
  <c r="O232" i="1"/>
  <c r="P232" i="1" s="1"/>
  <c r="O344" i="1"/>
  <c r="P344" i="1" s="1"/>
  <c r="O128" i="1"/>
  <c r="P128" i="1" s="1"/>
  <c r="O79" i="1"/>
  <c r="P79" i="1" s="1"/>
  <c r="O336" i="1"/>
  <c r="P336" i="1" s="1"/>
  <c r="R336" i="1"/>
  <c r="S336" i="1" s="1"/>
  <c r="R288" i="1"/>
  <c r="S288" i="1" s="1"/>
  <c r="O288" i="1"/>
  <c r="P288" i="1" s="1"/>
  <c r="R248" i="1"/>
  <c r="S248" i="1" s="1"/>
  <c r="O248" i="1"/>
  <c r="P248" i="1" s="1"/>
  <c r="R200" i="1"/>
  <c r="S200" i="1" s="1"/>
  <c r="O200" i="1"/>
  <c r="P200" i="1" s="1"/>
  <c r="R160" i="1"/>
  <c r="S160" i="1" s="1"/>
  <c r="O160" i="1"/>
  <c r="P160" i="1" s="1"/>
  <c r="R120" i="1"/>
  <c r="S120" i="1" s="1"/>
  <c r="O120" i="1"/>
  <c r="P120" i="1" s="1"/>
  <c r="R80" i="1"/>
  <c r="S80" i="1" s="1"/>
  <c r="O80" i="1"/>
  <c r="P80" i="1" s="1"/>
  <c r="R48" i="1"/>
  <c r="S48" i="1" s="1"/>
  <c r="O48" i="1"/>
  <c r="P48" i="1" s="1"/>
  <c r="R16" i="1"/>
  <c r="S16" i="1" s="1"/>
  <c r="O16" i="1"/>
  <c r="P16" i="1" s="1"/>
  <c r="R343" i="1"/>
  <c r="S343" i="1" s="1"/>
  <c r="O343" i="1"/>
  <c r="P343" i="1" s="1"/>
  <c r="R279" i="1"/>
  <c r="S279" i="1" s="1"/>
  <c r="O279" i="1"/>
  <c r="P279" i="1" s="1"/>
  <c r="R239" i="1"/>
  <c r="S239" i="1" s="1"/>
  <c r="O239" i="1"/>
  <c r="P239" i="1" s="1"/>
  <c r="R199" i="1"/>
  <c r="S199" i="1" s="1"/>
  <c r="O199" i="1"/>
  <c r="P199" i="1" s="1"/>
  <c r="O159" i="1"/>
  <c r="P159" i="1" s="1"/>
  <c r="R159" i="1"/>
  <c r="S159" i="1" s="1"/>
  <c r="R119" i="1"/>
  <c r="S119" i="1" s="1"/>
  <c r="O119" i="1"/>
  <c r="P119" i="1" s="1"/>
  <c r="R71" i="1"/>
  <c r="S71" i="1" s="1"/>
  <c r="O71" i="1"/>
  <c r="P71" i="1" s="1"/>
  <c r="R23" i="1"/>
  <c r="S23" i="1" s="1"/>
  <c r="O23" i="1"/>
  <c r="P23" i="1" s="1"/>
  <c r="O96" i="1"/>
  <c r="P96" i="1" s="1"/>
  <c r="O168" i="1"/>
  <c r="P168" i="1" s="1"/>
  <c r="O256" i="1"/>
  <c r="P256" i="1" s="1"/>
  <c r="R320" i="1"/>
  <c r="S320" i="1" s="1"/>
  <c r="R280" i="1"/>
  <c r="S280" i="1" s="1"/>
  <c r="R240" i="1"/>
  <c r="S240" i="1" s="1"/>
  <c r="O240" i="1"/>
  <c r="P240" i="1" s="1"/>
  <c r="R216" i="1"/>
  <c r="S216" i="1" s="1"/>
  <c r="O216" i="1"/>
  <c r="P216" i="1" s="1"/>
  <c r="R192" i="1"/>
  <c r="S192" i="1" s="1"/>
  <c r="R152" i="1"/>
  <c r="S152" i="1" s="1"/>
  <c r="O152" i="1"/>
  <c r="P152" i="1" s="1"/>
  <c r="R112" i="1"/>
  <c r="S112" i="1" s="1"/>
  <c r="R72" i="1"/>
  <c r="S72" i="1" s="1"/>
  <c r="O72" i="1"/>
  <c r="P72" i="1" s="1"/>
  <c r="R24" i="1"/>
  <c r="S24" i="1" s="1"/>
  <c r="R351" i="1"/>
  <c r="S351" i="1" s="1"/>
  <c r="O351" i="1"/>
  <c r="P351" i="1" s="1"/>
  <c r="R327" i="1"/>
  <c r="S327" i="1" s="1"/>
  <c r="O327" i="1"/>
  <c r="P327" i="1" s="1"/>
  <c r="R303" i="1"/>
  <c r="S303" i="1" s="1"/>
  <c r="O303" i="1"/>
  <c r="P303" i="1" s="1"/>
  <c r="R263" i="1"/>
  <c r="S263" i="1" s="1"/>
  <c r="O263" i="1"/>
  <c r="P263" i="1" s="1"/>
  <c r="R223" i="1"/>
  <c r="S223" i="1" s="1"/>
  <c r="O223" i="1"/>
  <c r="P223" i="1" s="1"/>
  <c r="R191" i="1"/>
  <c r="S191" i="1" s="1"/>
  <c r="O191" i="1"/>
  <c r="P191" i="1" s="1"/>
  <c r="R151" i="1"/>
  <c r="S151" i="1" s="1"/>
  <c r="O151" i="1"/>
  <c r="P151" i="1" s="1"/>
  <c r="R135" i="1"/>
  <c r="S135" i="1" s="1"/>
  <c r="O135" i="1"/>
  <c r="P135" i="1" s="1"/>
  <c r="R95" i="1"/>
  <c r="S95" i="1" s="1"/>
  <c r="O95" i="1"/>
  <c r="P95" i="1" s="1"/>
  <c r="R63" i="1"/>
  <c r="S63" i="1" s="1"/>
  <c r="O63" i="1"/>
  <c r="P63" i="1" s="1"/>
  <c r="R31" i="1"/>
  <c r="S31" i="1" s="1"/>
  <c r="O31" i="1"/>
  <c r="P31" i="1" s="1"/>
  <c r="O320" i="1"/>
  <c r="P320" i="1" s="1"/>
  <c r="R345" i="1"/>
  <c r="S345" i="1" s="1"/>
  <c r="O345" i="1"/>
  <c r="P345" i="1" s="1"/>
  <c r="R337" i="1"/>
  <c r="S337" i="1" s="1"/>
  <c r="O337" i="1"/>
  <c r="P337" i="1" s="1"/>
  <c r="R329" i="1"/>
  <c r="S329" i="1" s="1"/>
  <c r="O329" i="1"/>
  <c r="P329" i="1" s="1"/>
  <c r="R321" i="1"/>
  <c r="S321" i="1" s="1"/>
  <c r="O321" i="1"/>
  <c r="P321" i="1" s="1"/>
  <c r="R313" i="1"/>
  <c r="S313" i="1" s="1"/>
  <c r="O313" i="1"/>
  <c r="P313" i="1" s="1"/>
  <c r="R305" i="1"/>
  <c r="S305" i="1" s="1"/>
  <c r="O305" i="1"/>
  <c r="P305" i="1" s="1"/>
  <c r="R297" i="1"/>
  <c r="S297" i="1" s="1"/>
  <c r="O297" i="1"/>
  <c r="P297" i="1" s="1"/>
  <c r="R289" i="1"/>
  <c r="S289" i="1" s="1"/>
  <c r="O289" i="1"/>
  <c r="P289" i="1" s="1"/>
  <c r="R281" i="1"/>
  <c r="S281" i="1" s="1"/>
  <c r="O281" i="1"/>
  <c r="P281" i="1" s="1"/>
  <c r="R273" i="1"/>
  <c r="S273" i="1" s="1"/>
  <c r="O273" i="1"/>
  <c r="P273" i="1" s="1"/>
  <c r="R265" i="1"/>
  <c r="S265" i="1" s="1"/>
  <c r="O265" i="1"/>
  <c r="P265" i="1" s="1"/>
  <c r="R257" i="1"/>
  <c r="S257" i="1" s="1"/>
  <c r="O257" i="1"/>
  <c r="P257" i="1" s="1"/>
  <c r="R249" i="1"/>
  <c r="S249" i="1" s="1"/>
  <c r="O249" i="1"/>
  <c r="P249" i="1" s="1"/>
  <c r="R241" i="1"/>
  <c r="S241" i="1" s="1"/>
  <c r="O241" i="1"/>
  <c r="P241" i="1" s="1"/>
  <c r="R233" i="1"/>
  <c r="S233" i="1" s="1"/>
  <c r="O233" i="1"/>
  <c r="P233" i="1" s="1"/>
  <c r="R225" i="1"/>
  <c r="S225" i="1" s="1"/>
  <c r="O225" i="1"/>
  <c r="P225" i="1" s="1"/>
  <c r="R217" i="1"/>
  <c r="S217" i="1" s="1"/>
  <c r="O217" i="1"/>
  <c r="P217" i="1" s="1"/>
  <c r="R209" i="1"/>
  <c r="S209" i="1" s="1"/>
  <c r="O209" i="1"/>
  <c r="P209" i="1" s="1"/>
  <c r="R201" i="1"/>
  <c r="S201" i="1" s="1"/>
  <c r="O201" i="1"/>
  <c r="P201" i="1" s="1"/>
  <c r="R193" i="1"/>
  <c r="S193" i="1" s="1"/>
  <c r="O193" i="1"/>
  <c r="P193" i="1" s="1"/>
  <c r="R185" i="1"/>
  <c r="S185" i="1" s="1"/>
  <c r="O185" i="1"/>
  <c r="P185" i="1" s="1"/>
  <c r="R177" i="1"/>
  <c r="S177" i="1" s="1"/>
  <c r="O177" i="1"/>
  <c r="P177" i="1" s="1"/>
  <c r="R169" i="1"/>
  <c r="S169" i="1" s="1"/>
  <c r="O169" i="1"/>
  <c r="P169" i="1" s="1"/>
  <c r="R161" i="1"/>
  <c r="S161" i="1" s="1"/>
  <c r="O161" i="1"/>
  <c r="P161" i="1" s="1"/>
  <c r="R153" i="1"/>
  <c r="S153" i="1" s="1"/>
  <c r="O153" i="1"/>
  <c r="P153" i="1" s="1"/>
  <c r="R145" i="1"/>
  <c r="S145" i="1" s="1"/>
  <c r="O145" i="1"/>
  <c r="P145" i="1" s="1"/>
  <c r="R137" i="1"/>
  <c r="S137" i="1" s="1"/>
  <c r="O137" i="1"/>
  <c r="P137" i="1" s="1"/>
  <c r="R129" i="1"/>
  <c r="S129" i="1" s="1"/>
  <c r="O129" i="1"/>
  <c r="P129" i="1" s="1"/>
  <c r="R121" i="1"/>
  <c r="S121" i="1" s="1"/>
  <c r="O121" i="1"/>
  <c r="P121" i="1" s="1"/>
  <c r="R113" i="1"/>
  <c r="S113" i="1" s="1"/>
  <c r="O113" i="1"/>
  <c r="P113" i="1" s="1"/>
  <c r="R105" i="1"/>
  <c r="S105" i="1" s="1"/>
  <c r="O105" i="1"/>
  <c r="P105" i="1" s="1"/>
  <c r="R97" i="1"/>
  <c r="S97" i="1" s="1"/>
  <c r="O97" i="1"/>
  <c r="P97" i="1" s="1"/>
  <c r="R89" i="1"/>
  <c r="S89" i="1" s="1"/>
  <c r="O89" i="1"/>
  <c r="P89" i="1" s="1"/>
  <c r="R81" i="1"/>
  <c r="S81" i="1" s="1"/>
  <c r="O81" i="1"/>
  <c r="P81" i="1" s="1"/>
  <c r="R73" i="1"/>
  <c r="S73" i="1" s="1"/>
  <c r="O73" i="1"/>
  <c r="P73" i="1" s="1"/>
  <c r="O65" i="1"/>
  <c r="P65" i="1" s="1"/>
  <c r="R65" i="1"/>
  <c r="S65" i="1" s="1"/>
  <c r="R57" i="1"/>
  <c r="S57" i="1" s="1"/>
  <c r="O57" i="1"/>
  <c r="P57" i="1" s="1"/>
  <c r="R49" i="1"/>
  <c r="S49" i="1" s="1"/>
  <c r="O49" i="1"/>
  <c r="P49" i="1" s="1"/>
  <c r="R41" i="1"/>
  <c r="S41" i="1" s="1"/>
  <c r="O41" i="1"/>
  <c r="P41" i="1" s="1"/>
  <c r="R33" i="1"/>
  <c r="S33" i="1" s="1"/>
  <c r="O33" i="1"/>
  <c r="P33" i="1" s="1"/>
  <c r="R25" i="1"/>
  <c r="S25" i="1" s="1"/>
  <c r="R17" i="1"/>
  <c r="S17" i="1" s="1"/>
  <c r="O17" i="1"/>
  <c r="P17" i="1" s="1"/>
  <c r="O280" i="1"/>
  <c r="P280" i="1" s="1"/>
  <c r="O112" i="1"/>
  <c r="P112" i="1" s="1"/>
  <c r="O350" i="1"/>
  <c r="P350" i="1" s="1"/>
  <c r="R350" i="1"/>
  <c r="S350" i="1" s="1"/>
  <c r="O342" i="1"/>
  <c r="P342" i="1" s="1"/>
  <c r="R342" i="1"/>
  <c r="S342" i="1" s="1"/>
  <c r="O334" i="1"/>
  <c r="P334" i="1" s="1"/>
  <c r="R334" i="1"/>
  <c r="S334" i="1" s="1"/>
  <c r="R326" i="1"/>
  <c r="S326" i="1" s="1"/>
  <c r="O326" i="1"/>
  <c r="P326" i="1" s="1"/>
  <c r="O318" i="1"/>
  <c r="P318" i="1" s="1"/>
  <c r="O310" i="1"/>
  <c r="P310" i="1" s="1"/>
  <c r="R310" i="1"/>
  <c r="S310" i="1" s="1"/>
  <c r="O302" i="1"/>
  <c r="P302" i="1" s="1"/>
  <c r="O294" i="1"/>
  <c r="P294" i="1" s="1"/>
  <c r="O286" i="1"/>
  <c r="P286" i="1" s="1"/>
  <c r="R286" i="1"/>
  <c r="S286" i="1" s="1"/>
  <c r="O278" i="1"/>
  <c r="P278" i="1" s="1"/>
  <c r="R278" i="1"/>
  <c r="S278" i="1" s="1"/>
  <c r="O270" i="1"/>
  <c r="P270" i="1" s="1"/>
  <c r="R270" i="1"/>
  <c r="S270" i="1" s="1"/>
  <c r="R262" i="1"/>
  <c r="S262" i="1" s="1"/>
  <c r="O262" i="1"/>
  <c r="P262" i="1" s="1"/>
  <c r="O254" i="1"/>
  <c r="P254" i="1" s="1"/>
  <c r="O246" i="1"/>
  <c r="P246" i="1" s="1"/>
  <c r="R246" i="1"/>
  <c r="S246" i="1" s="1"/>
  <c r="O238" i="1"/>
  <c r="P238" i="1" s="1"/>
  <c r="O230" i="1"/>
  <c r="P230" i="1" s="1"/>
  <c r="O222" i="1"/>
  <c r="P222" i="1" s="1"/>
  <c r="R222" i="1"/>
  <c r="S222" i="1" s="1"/>
  <c r="O214" i="1"/>
  <c r="P214" i="1" s="1"/>
  <c r="R214" i="1"/>
  <c r="S214" i="1" s="1"/>
  <c r="O206" i="1"/>
  <c r="P206" i="1" s="1"/>
  <c r="R206" i="1"/>
  <c r="S206" i="1" s="1"/>
  <c r="R198" i="1"/>
  <c r="S198" i="1" s="1"/>
  <c r="O198" i="1"/>
  <c r="P198" i="1" s="1"/>
  <c r="O190" i="1"/>
  <c r="P190" i="1" s="1"/>
  <c r="O182" i="1"/>
  <c r="P182" i="1" s="1"/>
  <c r="R182" i="1"/>
  <c r="S182" i="1" s="1"/>
  <c r="O174" i="1"/>
  <c r="P174" i="1" s="1"/>
  <c r="O166" i="1"/>
  <c r="P166" i="1" s="1"/>
  <c r="R158" i="1"/>
  <c r="S158" i="1" s="1"/>
  <c r="O158" i="1"/>
  <c r="P158" i="1" s="1"/>
  <c r="R150" i="1"/>
  <c r="S150" i="1" s="1"/>
  <c r="O150" i="1"/>
  <c r="P150" i="1" s="1"/>
  <c r="R142" i="1"/>
  <c r="S142" i="1" s="1"/>
  <c r="O142" i="1"/>
  <c r="P142" i="1" s="1"/>
  <c r="R134" i="1"/>
  <c r="S134" i="1" s="1"/>
  <c r="O134" i="1"/>
  <c r="P134" i="1" s="1"/>
  <c r="R126" i="1"/>
  <c r="S126" i="1" s="1"/>
  <c r="O126" i="1"/>
  <c r="P126" i="1" s="1"/>
  <c r="R118" i="1"/>
  <c r="S118" i="1" s="1"/>
  <c r="R110" i="1"/>
  <c r="S110" i="1" s="1"/>
  <c r="R102" i="1"/>
  <c r="S102" i="1" s="1"/>
  <c r="R94" i="1"/>
  <c r="S94" i="1" s="1"/>
  <c r="O94" i="1"/>
  <c r="P94" i="1" s="1"/>
  <c r="R86" i="1"/>
  <c r="S86" i="1" s="1"/>
  <c r="R78" i="1"/>
  <c r="S78" i="1" s="1"/>
  <c r="R70" i="1"/>
  <c r="S70" i="1" s="1"/>
  <c r="R62" i="1"/>
  <c r="S62" i="1" s="1"/>
  <c r="O62" i="1"/>
  <c r="P62" i="1" s="1"/>
  <c r="R54" i="1"/>
  <c r="S54" i="1" s="1"/>
  <c r="R46" i="1"/>
  <c r="S46" i="1" s="1"/>
  <c r="R38" i="1"/>
  <c r="S38" i="1" s="1"/>
  <c r="R30" i="1"/>
  <c r="S30" i="1" s="1"/>
  <c r="O30" i="1"/>
  <c r="P30" i="1" s="1"/>
  <c r="R22" i="1"/>
  <c r="S22" i="1" s="1"/>
  <c r="O22" i="1"/>
  <c r="P22" i="1" s="1"/>
  <c r="R14" i="1"/>
  <c r="S14" i="1" s="1"/>
  <c r="O341" i="1"/>
  <c r="P341" i="1" s="1"/>
  <c r="O316" i="1"/>
  <c r="P316" i="1" s="1"/>
  <c r="O277" i="1"/>
  <c r="P277" i="1" s="1"/>
  <c r="O213" i="1"/>
  <c r="P213" i="1" s="1"/>
  <c r="O188" i="1"/>
  <c r="P188" i="1" s="1"/>
  <c r="O38" i="1"/>
  <c r="P38" i="1" s="1"/>
  <c r="R341" i="1"/>
  <c r="S341" i="1" s="1"/>
  <c r="R230" i="1"/>
  <c r="S230" i="1" s="1"/>
  <c r="R349" i="1"/>
  <c r="S349" i="1" s="1"/>
  <c r="R333" i="1"/>
  <c r="S333" i="1" s="1"/>
  <c r="R309" i="1"/>
  <c r="S309" i="1" s="1"/>
  <c r="R301" i="1"/>
  <c r="S301" i="1" s="1"/>
  <c r="R293" i="1"/>
  <c r="S293" i="1" s="1"/>
  <c r="R285" i="1"/>
  <c r="S285" i="1" s="1"/>
  <c r="R269" i="1"/>
  <c r="S269" i="1" s="1"/>
  <c r="R245" i="1"/>
  <c r="S245" i="1" s="1"/>
  <c r="R237" i="1"/>
  <c r="S237" i="1" s="1"/>
  <c r="R229" i="1"/>
  <c r="S229" i="1" s="1"/>
  <c r="R221" i="1"/>
  <c r="S221" i="1" s="1"/>
  <c r="R205" i="1"/>
  <c r="S205" i="1" s="1"/>
  <c r="R181" i="1"/>
  <c r="S181" i="1" s="1"/>
  <c r="R173" i="1"/>
  <c r="S173" i="1" s="1"/>
  <c r="R165" i="1"/>
  <c r="S165" i="1" s="1"/>
  <c r="R157" i="1"/>
  <c r="S157" i="1" s="1"/>
  <c r="R149" i="1"/>
  <c r="S149" i="1" s="1"/>
  <c r="R125" i="1"/>
  <c r="S125" i="1" s="1"/>
  <c r="R117" i="1"/>
  <c r="S117" i="1" s="1"/>
  <c r="O117" i="1"/>
  <c r="P117" i="1" s="1"/>
  <c r="R109" i="1"/>
  <c r="S109" i="1" s="1"/>
  <c r="O109" i="1"/>
  <c r="P109" i="1" s="1"/>
  <c r="R101" i="1"/>
  <c r="S101" i="1" s="1"/>
  <c r="R93" i="1"/>
  <c r="S93" i="1" s="1"/>
  <c r="R85" i="1"/>
  <c r="S85" i="1" s="1"/>
  <c r="O85" i="1"/>
  <c r="P85" i="1" s="1"/>
  <c r="R77" i="1"/>
  <c r="S77" i="1" s="1"/>
  <c r="O77" i="1"/>
  <c r="P77" i="1" s="1"/>
  <c r="R69" i="1"/>
  <c r="S69" i="1" s="1"/>
  <c r="R61" i="1"/>
  <c r="S61" i="1" s="1"/>
  <c r="R53" i="1"/>
  <c r="S53" i="1" s="1"/>
  <c r="O53" i="1"/>
  <c r="P53" i="1" s="1"/>
  <c r="R45" i="1"/>
  <c r="S45" i="1" s="1"/>
  <c r="O45" i="1"/>
  <c r="P45" i="1" s="1"/>
  <c r="R37" i="1"/>
  <c r="S37" i="1" s="1"/>
  <c r="R29" i="1"/>
  <c r="S29" i="1" s="1"/>
  <c r="R21" i="1"/>
  <c r="S21" i="1" s="1"/>
  <c r="O21" i="1"/>
  <c r="P21" i="1" s="1"/>
  <c r="R13" i="1"/>
  <c r="S13" i="1" s="1"/>
  <c r="O13" i="1"/>
  <c r="P13" i="1" s="1"/>
  <c r="O301" i="1"/>
  <c r="P301" i="1" s="1"/>
  <c r="O237" i="1"/>
  <c r="P237" i="1" s="1"/>
  <c r="O173" i="1"/>
  <c r="P173" i="1" s="1"/>
  <c r="O70" i="1"/>
  <c r="P70" i="1" s="1"/>
  <c r="O54" i="1"/>
  <c r="P54" i="1" s="1"/>
  <c r="O37" i="1"/>
  <c r="P37" i="1" s="1"/>
  <c r="R277" i="1"/>
  <c r="S277" i="1" s="1"/>
  <c r="R166" i="1"/>
  <c r="S166" i="1" s="1"/>
  <c r="R276" i="1"/>
  <c r="S276" i="1" s="1"/>
  <c r="R196" i="1"/>
  <c r="S196" i="1" s="1"/>
  <c r="O84" i="1"/>
  <c r="P84" i="1" s="1"/>
  <c r="R84" i="1"/>
  <c r="S84" i="1" s="1"/>
  <c r="O197" i="1"/>
  <c r="P197" i="1" s="1"/>
  <c r="O147" i="1"/>
  <c r="P147" i="1" s="1"/>
  <c r="O133" i="1"/>
  <c r="P133" i="1" s="1"/>
  <c r="O102" i="1"/>
  <c r="P102" i="1" s="1"/>
  <c r="O86" i="1"/>
  <c r="P86" i="1" s="1"/>
  <c r="O69" i="1"/>
  <c r="P69" i="1" s="1"/>
  <c r="O14" i="1"/>
  <c r="P14" i="1" s="1"/>
  <c r="R325" i="1"/>
  <c r="S325" i="1" s="1"/>
  <c r="R213" i="1"/>
  <c r="S213" i="1" s="1"/>
  <c r="R146" i="1"/>
  <c r="S146" i="1" s="1"/>
  <c r="R300" i="1"/>
  <c r="S300" i="1" s="1"/>
  <c r="R284" i="1"/>
  <c r="S284" i="1" s="1"/>
  <c r="R260" i="1"/>
  <c r="S260" i="1" s="1"/>
  <c r="R244" i="1"/>
  <c r="S244" i="1" s="1"/>
  <c r="R228" i="1"/>
  <c r="S228" i="1" s="1"/>
  <c r="R220" i="1"/>
  <c r="S220" i="1" s="1"/>
  <c r="R212" i="1"/>
  <c r="S212" i="1" s="1"/>
  <c r="R204" i="1"/>
  <c r="S204" i="1" s="1"/>
  <c r="R180" i="1"/>
  <c r="S180" i="1" s="1"/>
  <c r="R164" i="1"/>
  <c r="S164" i="1" s="1"/>
  <c r="R148" i="1"/>
  <c r="S148" i="1" s="1"/>
  <c r="R132" i="1"/>
  <c r="S132" i="1" s="1"/>
  <c r="O116" i="1"/>
  <c r="P116" i="1" s="1"/>
  <c r="O100" i="1"/>
  <c r="P100" i="1" s="1"/>
  <c r="R76" i="1"/>
  <c r="S76" i="1" s="1"/>
  <c r="O76" i="1"/>
  <c r="P76" i="1" s="1"/>
  <c r="R60" i="1"/>
  <c r="S60" i="1" s="1"/>
  <c r="O60" i="1"/>
  <c r="P60" i="1" s="1"/>
  <c r="O44" i="1"/>
  <c r="P44" i="1" s="1"/>
  <c r="O28" i="1"/>
  <c r="P28" i="1" s="1"/>
  <c r="R28" i="1"/>
  <c r="S28" i="1" s="1"/>
  <c r="R12" i="1"/>
  <c r="S12" i="1" s="1"/>
  <c r="O12" i="1"/>
  <c r="P12" i="1" s="1"/>
  <c r="R347" i="1"/>
  <c r="S347" i="1" s="1"/>
  <c r="R339" i="1"/>
  <c r="S339" i="1" s="1"/>
  <c r="R331" i="1"/>
  <c r="S331" i="1" s="1"/>
  <c r="R323" i="1"/>
  <c r="S323" i="1" s="1"/>
  <c r="R315" i="1"/>
  <c r="S315" i="1" s="1"/>
  <c r="R307" i="1"/>
  <c r="S307" i="1" s="1"/>
  <c r="R299" i="1"/>
  <c r="S299" i="1" s="1"/>
  <c r="R291" i="1"/>
  <c r="S291" i="1" s="1"/>
  <c r="R283" i="1"/>
  <c r="S283" i="1" s="1"/>
  <c r="R275" i="1"/>
  <c r="S275" i="1" s="1"/>
  <c r="R267" i="1"/>
  <c r="S267" i="1" s="1"/>
  <c r="R259" i="1"/>
  <c r="S259" i="1" s="1"/>
  <c r="R251" i="1"/>
  <c r="S251" i="1" s="1"/>
  <c r="R243" i="1"/>
  <c r="S243" i="1" s="1"/>
  <c r="R235" i="1"/>
  <c r="S235" i="1" s="1"/>
  <c r="R227" i="1"/>
  <c r="S227" i="1" s="1"/>
  <c r="R219" i="1"/>
  <c r="S219" i="1" s="1"/>
  <c r="R211" i="1"/>
  <c r="S211" i="1" s="1"/>
  <c r="R203" i="1"/>
  <c r="S203" i="1" s="1"/>
  <c r="R195" i="1"/>
  <c r="S195" i="1" s="1"/>
  <c r="R187" i="1"/>
  <c r="S187" i="1" s="1"/>
  <c r="R179" i="1"/>
  <c r="S179" i="1" s="1"/>
  <c r="R171" i="1"/>
  <c r="S171" i="1" s="1"/>
  <c r="R163" i="1"/>
  <c r="S163" i="1" s="1"/>
  <c r="R155" i="1"/>
  <c r="S155" i="1" s="1"/>
  <c r="R139" i="1"/>
  <c r="S139" i="1" s="1"/>
  <c r="R131" i="1"/>
  <c r="S131" i="1" s="1"/>
  <c r="R123" i="1"/>
  <c r="S123" i="1" s="1"/>
  <c r="R115" i="1"/>
  <c r="S115" i="1" s="1"/>
  <c r="O115" i="1"/>
  <c r="P115" i="1" s="1"/>
  <c r="R107" i="1"/>
  <c r="S107" i="1" s="1"/>
  <c r="R99" i="1"/>
  <c r="S99" i="1" s="1"/>
  <c r="R91" i="1"/>
  <c r="S91" i="1" s="1"/>
  <c r="R83" i="1"/>
  <c r="S83" i="1" s="1"/>
  <c r="O83" i="1"/>
  <c r="P83" i="1" s="1"/>
  <c r="R75" i="1"/>
  <c r="S75" i="1" s="1"/>
  <c r="R67" i="1"/>
  <c r="S67" i="1" s="1"/>
  <c r="R59" i="1"/>
  <c r="S59" i="1" s="1"/>
  <c r="R51" i="1"/>
  <c r="S51" i="1" s="1"/>
  <c r="O51" i="1"/>
  <c r="P51" i="1" s="1"/>
  <c r="R35" i="1"/>
  <c r="S35" i="1" s="1"/>
  <c r="R27" i="1"/>
  <c r="S27" i="1" s="1"/>
  <c r="R19" i="1"/>
  <c r="S19" i="1" s="1"/>
  <c r="O19" i="1"/>
  <c r="P19" i="1" s="1"/>
  <c r="O349" i="1"/>
  <c r="P349" i="1" s="1"/>
  <c r="O299" i="1"/>
  <c r="P299" i="1" s="1"/>
  <c r="O285" i="1"/>
  <c r="P285" i="1" s="1"/>
  <c r="O260" i="1"/>
  <c r="P260" i="1" s="1"/>
  <c r="O235" i="1"/>
  <c r="P235" i="1" s="1"/>
  <c r="O221" i="1"/>
  <c r="P221" i="1" s="1"/>
  <c r="O196" i="1"/>
  <c r="P196" i="1" s="1"/>
  <c r="O171" i="1"/>
  <c r="P171" i="1" s="1"/>
  <c r="O157" i="1"/>
  <c r="P157" i="1" s="1"/>
  <c r="O146" i="1"/>
  <c r="P146" i="1" s="1"/>
  <c r="O132" i="1"/>
  <c r="P132" i="1" s="1"/>
  <c r="O118" i="1"/>
  <c r="P118" i="1" s="1"/>
  <c r="O101" i="1"/>
  <c r="P101" i="1" s="1"/>
  <c r="O67" i="1"/>
  <c r="P67" i="1" s="1"/>
  <c r="O29" i="1"/>
  <c r="P29" i="1" s="1"/>
  <c r="R318" i="1"/>
  <c r="S318" i="1" s="1"/>
  <c r="R261" i="1"/>
  <c r="S261" i="1" s="1"/>
  <c r="R141" i="1"/>
  <c r="S141" i="1" s="1"/>
  <c r="R340" i="1"/>
  <c r="S340" i="1" s="1"/>
  <c r="R332" i="1"/>
  <c r="S332" i="1" s="1"/>
  <c r="R324" i="1"/>
  <c r="S324" i="1" s="1"/>
  <c r="R308" i="1"/>
  <c r="S308" i="1" s="1"/>
  <c r="R292" i="1"/>
  <c r="S292" i="1" s="1"/>
  <c r="R268" i="1"/>
  <c r="S268" i="1" s="1"/>
  <c r="R252" i="1"/>
  <c r="S252" i="1" s="1"/>
  <c r="R236" i="1"/>
  <c r="S236" i="1" s="1"/>
  <c r="R172" i="1"/>
  <c r="S172" i="1" s="1"/>
  <c r="R156" i="1"/>
  <c r="S156" i="1" s="1"/>
  <c r="R140" i="1"/>
  <c r="S140" i="1" s="1"/>
  <c r="R124" i="1"/>
  <c r="S124" i="1" s="1"/>
  <c r="O124" i="1"/>
  <c r="P124" i="1" s="1"/>
  <c r="R108" i="1"/>
  <c r="S108" i="1" s="1"/>
  <c r="O108" i="1"/>
  <c r="P108" i="1" s="1"/>
  <c r="R92" i="1"/>
  <c r="S92" i="1" s="1"/>
  <c r="O92" i="1"/>
  <c r="P92" i="1" s="1"/>
  <c r="O68" i="1"/>
  <c r="P68" i="1" s="1"/>
  <c r="R68" i="1"/>
  <c r="S68" i="1" s="1"/>
  <c r="R52" i="1"/>
  <c r="S52" i="1" s="1"/>
  <c r="O52" i="1"/>
  <c r="P52" i="1" s="1"/>
  <c r="R36" i="1"/>
  <c r="S36" i="1" s="1"/>
  <c r="O36" i="1"/>
  <c r="P36" i="1" s="1"/>
  <c r="O20" i="1"/>
  <c r="P20" i="1" s="1"/>
  <c r="R20" i="1"/>
  <c r="S20" i="1" s="1"/>
  <c r="R346" i="1"/>
  <c r="S346" i="1" s="1"/>
  <c r="R338" i="1"/>
  <c r="S338" i="1" s="1"/>
  <c r="R330" i="1"/>
  <c r="S330" i="1" s="1"/>
  <c r="R322" i="1"/>
  <c r="S322" i="1" s="1"/>
  <c r="R314" i="1"/>
  <c r="S314" i="1" s="1"/>
  <c r="R306" i="1"/>
  <c r="S306" i="1" s="1"/>
  <c r="R298" i="1"/>
  <c r="S298" i="1" s="1"/>
  <c r="R290" i="1"/>
  <c r="S290" i="1" s="1"/>
  <c r="R282" i="1"/>
  <c r="S282" i="1" s="1"/>
  <c r="R274" i="1"/>
  <c r="S274" i="1" s="1"/>
  <c r="R266" i="1"/>
  <c r="S266" i="1" s="1"/>
  <c r="R258" i="1"/>
  <c r="S258" i="1" s="1"/>
  <c r="R250" i="1"/>
  <c r="S250" i="1" s="1"/>
  <c r="R242" i="1"/>
  <c r="S242" i="1" s="1"/>
  <c r="R234" i="1"/>
  <c r="S234" i="1" s="1"/>
  <c r="R226" i="1"/>
  <c r="S226" i="1" s="1"/>
  <c r="R218" i="1"/>
  <c r="S218" i="1" s="1"/>
  <c r="R210" i="1"/>
  <c r="S210" i="1" s="1"/>
  <c r="R202" i="1"/>
  <c r="S202" i="1" s="1"/>
  <c r="R194" i="1"/>
  <c r="S194" i="1" s="1"/>
  <c r="R186" i="1"/>
  <c r="S186" i="1" s="1"/>
  <c r="R178" i="1"/>
  <c r="S178" i="1" s="1"/>
  <c r="R170" i="1"/>
  <c r="S170" i="1" s="1"/>
  <c r="R162" i="1"/>
  <c r="S162" i="1" s="1"/>
  <c r="R154" i="1"/>
  <c r="S154" i="1" s="1"/>
  <c r="R138" i="1"/>
  <c r="S138" i="1" s="1"/>
  <c r="R130" i="1"/>
  <c r="S130" i="1" s="1"/>
  <c r="R122" i="1"/>
  <c r="S122" i="1" s="1"/>
  <c r="O122" i="1"/>
  <c r="P122" i="1" s="1"/>
  <c r="O114" i="1"/>
  <c r="P114" i="1" s="1"/>
  <c r="R114" i="1"/>
  <c r="S114" i="1" s="1"/>
  <c r="O106" i="1"/>
  <c r="P106" i="1" s="1"/>
  <c r="R106" i="1"/>
  <c r="S106" i="1" s="1"/>
  <c r="O98" i="1"/>
  <c r="P98" i="1" s="1"/>
  <c r="R98" i="1"/>
  <c r="S98" i="1" s="1"/>
  <c r="O90" i="1"/>
  <c r="P90" i="1" s="1"/>
  <c r="R90" i="1"/>
  <c r="S90" i="1" s="1"/>
  <c r="O82" i="1"/>
  <c r="P82" i="1" s="1"/>
  <c r="R82" i="1"/>
  <c r="S82" i="1" s="1"/>
  <c r="R74" i="1"/>
  <c r="S74" i="1" s="1"/>
  <c r="O74" i="1"/>
  <c r="P74" i="1" s="1"/>
  <c r="O66" i="1"/>
  <c r="P66" i="1" s="1"/>
  <c r="O58" i="1"/>
  <c r="P58" i="1" s="1"/>
  <c r="R58" i="1"/>
  <c r="S58" i="1" s="1"/>
  <c r="O50" i="1"/>
  <c r="P50" i="1" s="1"/>
  <c r="O42" i="1"/>
  <c r="P42" i="1" s="1"/>
  <c r="R42" i="1"/>
  <c r="S42" i="1" s="1"/>
  <c r="R34" i="1"/>
  <c r="S34" i="1" s="1"/>
  <c r="O34" i="1"/>
  <c r="P34" i="1" s="1"/>
  <c r="O26" i="1"/>
  <c r="P26" i="1" s="1"/>
  <c r="R26" i="1"/>
  <c r="S26" i="1" s="1"/>
  <c r="O18" i="1"/>
  <c r="P18" i="1" s="1"/>
  <c r="R18" i="1"/>
  <c r="S18" i="1" s="1"/>
  <c r="O323" i="1"/>
  <c r="P323" i="1" s="1"/>
  <c r="O309" i="1"/>
  <c r="P309" i="1" s="1"/>
  <c r="O298" i="1"/>
  <c r="P298" i="1" s="1"/>
  <c r="O284" i="1"/>
  <c r="P284" i="1" s="1"/>
  <c r="O259" i="1"/>
  <c r="P259" i="1" s="1"/>
  <c r="O245" i="1"/>
  <c r="P245" i="1" s="1"/>
  <c r="O234" i="1"/>
  <c r="P234" i="1" s="1"/>
  <c r="O220" i="1"/>
  <c r="P220" i="1" s="1"/>
  <c r="O195" i="1"/>
  <c r="P195" i="1" s="1"/>
  <c r="O181" i="1"/>
  <c r="P181" i="1" s="1"/>
  <c r="O170" i="1"/>
  <c r="P170" i="1" s="1"/>
  <c r="O156" i="1"/>
  <c r="P156" i="1" s="1"/>
  <c r="O131" i="1"/>
  <c r="P131" i="1" s="1"/>
  <c r="O99" i="1"/>
  <c r="P99" i="1" s="1"/>
  <c r="O27" i="1"/>
  <c r="P27" i="1" s="1"/>
  <c r="R317" i="1"/>
  <c r="S317" i="1" s="1"/>
  <c r="R254" i="1"/>
  <c r="S254" i="1" s="1"/>
  <c r="R197" i="1"/>
  <c r="S197" i="1" s="1"/>
  <c r="R133" i="1"/>
  <c r="S133" i="1" s="1"/>
  <c r="S354" i="1" l="1"/>
  <c r="P354" i="1"/>
  <c r="S353" i="1"/>
  <c r="P353" i="1"/>
  <c r="P355" i="1" l="1"/>
  <c r="S355" i="1"/>
</calcChain>
</file>

<file path=xl/sharedStrings.xml><?xml version="1.0" encoding="utf-8"?>
<sst xmlns="http://schemas.openxmlformats.org/spreadsheetml/2006/main" count="580" uniqueCount="155">
  <si>
    <t>Autor</t>
  </si>
  <si>
    <t>Inputs</t>
  </si>
  <si>
    <t>Output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</si>
  <si>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</si>
  <si>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</si>
  <si>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</si>
  <si>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</si>
  <si>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</si>
  <si>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</si>
  <si>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</si>
  <si>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</si>
  <si>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</si>
  <si>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</si>
  <si>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</si>
  <si>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</si>
  <si>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</si>
  <si>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</si>
  <si>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</si>
  <si>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</si>
  <si>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</si>
  <si>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</si>
  <si>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</si>
  <si>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</si>
  <si>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</si>
  <si>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</si>
  <si>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</si>
  <si>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</si>
  <si>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</si>
  <si>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</si>
  <si>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</si>
  <si>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</si>
  <si>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</si>
  <si>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</si>
  <si>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</si>
  <si>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</si>
  <si>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</si>
  <si>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</si>
  <si>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</si>
  <si>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</si>
  <si>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</si>
  <si>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</si>
  <si>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</si>
  <si>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</si>
  <si>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</si>
  <si>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</si>
  <si>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</si>
  <si>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</si>
  <si>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</si>
  <si>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</si>
  <si>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</si>
  <si>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</si>
  <si>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</si>
  <si>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</si>
  <si>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</si>
  <si>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</si>
  <si>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</si>
  <si>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</si>
  <si>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</si>
  <si>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</si>
  <si>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</si>
  <si>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</si>
  <si>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</si>
  <si>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</si>
  <si>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</si>
  <si>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</si>
  <si>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</si>
  <si>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</si>
  <si>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</si>
  <si>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</si>
  <si>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</si>
  <si>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</si>
  <si>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</si>
  <si>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</si>
  <si>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</si>
  <si>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</si>
  <si>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</si>
  <si>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</si>
  <si>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</si>
  <si>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</si>
  <si>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</si>
  <si>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</si>
  <si>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</si>
  <si>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</si>
  <si>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</si>
  <si>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</si>
  <si>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</si>
  <si>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</si>
  <si>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</si>
  <si>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</si>
  <si>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</si>
  <si>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</si>
  <si>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</si>
  <si>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</si>
  <si>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</si>
  <si>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</si>
  <si>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</si>
  <si>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</si>
  <si>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</si>
  <si>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</si>
  <si>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</si>
  <si>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</si>
  <si>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</si>
  <si>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</si>
  <si>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Sugestão</t>
  </si>
  <si>
    <t>Sugestão 5</t>
  </si>
  <si>
    <t>fib Model Code 2020 modificado</t>
  </si>
  <si>
    <t>Modelos normativos - wmax (mm)</t>
  </si>
  <si>
    <t>Modelos empíricos - wmax (mm)</t>
  </si>
  <si>
    <t>Sugestão 2</t>
  </si>
  <si>
    <t>fib Model Code 2020 modificado 2</t>
  </si>
  <si>
    <t>Observação</t>
  </si>
  <si>
    <t>Tension stiffening (b)</t>
  </si>
  <si>
    <t>Tensão na armadura na fissuração do concreto (ssr)</t>
  </si>
  <si>
    <t>ss - bssr (MPa)</t>
  </si>
  <si>
    <t>fib Model Code 2010</t>
  </si>
  <si>
    <t>wm/wexp</t>
  </si>
  <si>
    <t>fib Model Code 2020</t>
  </si>
  <si>
    <t>Eurocode 2</t>
  </si>
  <si>
    <t>NBR 6118 - wk1 - fissuração estabilizada</t>
  </si>
  <si>
    <t>NBR 6118 - wk2 - fissuração não estabilizada</t>
  </si>
  <si>
    <t xml:space="preserve"> b  variável e &lt; 0,6</t>
  </si>
  <si>
    <t>Beta conforme Fields e Bischoff (2004)</t>
  </si>
  <si>
    <t>slip de Yuan et al. (2025)</t>
  </si>
  <si>
    <t>wk/wexp</t>
  </si>
  <si>
    <t>Clark (1956)</t>
  </si>
  <si>
    <t>Leonhardt (1977)</t>
  </si>
  <si>
    <t>Desayi;Ganesan (1985)</t>
  </si>
  <si>
    <t>Oh; Kang (1987)</t>
  </si>
  <si>
    <t>Caldas (1997)</t>
  </si>
  <si>
    <t>Gergely e Lutz (1968)</t>
  </si>
  <si>
    <t>equação (15) do artigo de Belarbi e Hsu (1994)</t>
  </si>
  <si>
    <t>slip de Biscaia e Soares (2020)</t>
  </si>
  <si>
    <t>Média</t>
  </si>
  <si>
    <t>Desvio Padrão</t>
  </si>
  <si>
    <t>CoV</t>
  </si>
  <si>
    <t>Deformação na armadura menos tension stiffening (MPa)</t>
  </si>
  <si>
    <t>A1</t>
  </si>
  <si>
    <t>A2</t>
  </si>
  <si>
    <t>A3</t>
  </si>
  <si>
    <t>A4</t>
  </si>
  <si>
    <t>A5</t>
  </si>
  <si>
    <t>A6</t>
  </si>
  <si>
    <t>média</t>
  </si>
  <si>
    <t>DevioPad</t>
  </si>
  <si>
    <t>Altura da viga - h (mm)</t>
  </si>
  <si>
    <r>
      <t>Área de aço tracionada - A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</si>
  <si>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Área de concreto efetiva - A</t>
    </r>
    <r>
      <rPr>
        <vertAlign val="subscript"/>
        <sz val="10"/>
        <rFont val="Arial"/>
        <family val="2"/>
      </rPr>
      <t>ce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</si>
  <si>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Linha neutra no Estádio II - X</t>
    </r>
    <r>
      <rPr>
        <vertAlign val="subscript"/>
        <sz val="10"/>
        <rFont val="Arial"/>
        <family val="2"/>
      </rPr>
      <t>II</t>
    </r>
    <r>
      <rPr>
        <sz val="10"/>
        <rFont val="Arial"/>
        <family val="2"/>
      </rPr>
      <t xml:space="preserve"> (mm)</t>
    </r>
  </si>
  <si>
    <t>Opção 3 de equação</t>
  </si>
  <si>
    <t>Opção 4 de equação</t>
  </si>
  <si>
    <t>Deformação na armadura</t>
  </si>
  <si>
    <t>Deformação na armadura menos tension stiffening</t>
  </si>
  <si>
    <t>Largura da viga - b (mm)</t>
  </si>
  <si>
    <r>
      <t>Momento fletor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</si>
  <si>
    <r>
      <t>Momento fletor 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</si>
</sst>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V355"/>
  <sheetViews>
    <sheetView topLeftCell="J339" zoomScale="120" zoomScaleNormal="120" workbookViewId="0">
      <selection activeCell="U5" sqref="U5"/>
    </sheetView>
  </sheetViews>
  <sheetFormatPr defaultRowHeight="14.4" x14ac:dyDescent="0.3"/>
  <cols>
    <col min="1" max="1" width="32.88671875" style="1" customWidth="1"/>
    <col min="2" max="2" width="24.77734375" style="4" bestFit="1" customWidth="1"/>
    <col min="3" max="3" width="29.6640625" style="5" bestFit="1" customWidth="1"/>
    <col min="4" max="4" width="29.33203125" style="4" bestFit="1" customWidth="1"/>
    <col min="5" max="5" width="36.77734375" style="3" bestFit="1" customWidth="1"/>
    <col min="6" max="6" width="16.44140625" style="4" bestFit="1" customWidth="1"/>
    <col min="7" max="7" width="44.5546875" style="4" bestFit="1" customWidth="1"/>
    <col min="8" max="8" width="16.33203125" style="2" bestFit="1" customWidth="1"/>
    <col min="9" max="9" width="42.88671875" style="3" bestFit="1" customWidth="1"/>
    <col min="10" max="10" width="9.6640625" style="3" bestFit="1" customWidth="1"/>
    <col min="11" max="11" width="50.77734375" style="6" customWidth="1"/>
    <col min="15" max="16" width="8.88671875" style="1"/>
    <col min="21" max="21" width="13.88671875" customWidth="1"/>
  </cols>
  <sheetData>
    <row r="1" spans="1:22" x14ac:dyDescent="0.3">
      <c r="O1" s="14" t="s">
        <v>148</v>
      </c>
      <c r="R1" s="15" t="s">
        <v>149</v>
      </c>
    </row>
    <row r="2" spans="1:22" x14ac:dyDescent="0.3">
      <c r="O2" s="1" t="s">
        <v>136</v>
      </c>
      <c r="P2" s="1">
        <v>1.728</v>
      </c>
      <c r="R2" s="1" t="s">
        <v>136</v>
      </c>
      <c r="S2" s="1">
        <v>0.39200000000000002</v>
      </c>
      <c r="U2" s="1"/>
      <c r="V2" s="3"/>
    </row>
    <row r="3" spans="1:22" x14ac:dyDescent="0.3">
      <c r="O3" s="1" t="s">
        <v>137</v>
      </c>
      <c r="P3" s="1">
        <v>1.0999999999999999E-2</v>
      </c>
      <c r="R3" s="1" t="s">
        <v>137</v>
      </c>
      <c r="S3" s="1">
        <v>1.1479999999999999</v>
      </c>
      <c r="U3" s="1"/>
      <c r="V3" s="3"/>
    </row>
    <row r="4" spans="1:22" x14ac:dyDescent="0.3">
      <c r="O4" s="1" t="s">
        <v>138</v>
      </c>
      <c r="P4" s="1">
        <v>0.33900000000000002</v>
      </c>
      <c r="R4" s="1" t="s">
        <v>138</v>
      </c>
      <c r="S4" s="1">
        <v>0.85399999999999998</v>
      </c>
      <c r="U4" s="1"/>
      <c r="V4" s="3"/>
    </row>
    <row r="5" spans="1:22" x14ac:dyDescent="0.3">
      <c r="O5" s="1" t="s">
        <v>139</v>
      </c>
      <c r="P5" s="1">
        <v>1.1020000000000001</v>
      </c>
      <c r="R5" s="1" t="s">
        <v>139</v>
      </c>
      <c r="S5" s="1">
        <v>0.55500000000000005</v>
      </c>
      <c r="U5" s="1"/>
      <c r="V5" s="3"/>
    </row>
    <row r="6" spans="1:22" x14ac:dyDescent="0.3">
      <c r="O6" s="1" t="s">
        <v>140</v>
      </c>
      <c r="P6" s="1">
        <v>-0.495</v>
      </c>
      <c r="R6" s="1" t="s">
        <v>140</v>
      </c>
      <c r="S6" s="1">
        <v>-0.68600000000000005</v>
      </c>
      <c r="U6" s="1"/>
      <c r="V6" s="3"/>
    </row>
    <row r="7" spans="1:22" x14ac:dyDescent="0.3">
      <c r="O7" s="1" t="s">
        <v>141</v>
      </c>
      <c r="P7" s="1">
        <v>0.83799999999999997</v>
      </c>
      <c r="R7" s="1" t="s">
        <v>141</v>
      </c>
      <c r="S7" s="1">
        <v>1.952</v>
      </c>
      <c r="U7" s="1"/>
      <c r="V7" s="3"/>
    </row>
    <row r="8" spans="1:22" x14ac:dyDescent="0.3">
      <c r="R8" s="1"/>
      <c r="S8" s="1"/>
      <c r="U8" s="1"/>
      <c r="V8" s="3"/>
    </row>
    <row r="9" spans="1:22" x14ac:dyDescent="0.3">
      <c r="A9" s="1" t="s">
        <v>0</v>
      </c>
      <c r="B9" s="16" t="s">
        <v>1</v>
      </c>
      <c r="C9" s="16"/>
      <c r="D9" s="16"/>
      <c r="E9" s="16"/>
      <c r="F9" s="16"/>
      <c r="G9" s="16"/>
      <c r="H9" s="16"/>
      <c r="I9" s="16"/>
      <c r="J9" s="3" t="s">
        <v>2</v>
      </c>
    </row>
    <row r="10" spans="1:22" x14ac:dyDescent="0.3">
      <c r="B10" s="4" t="s">
        <v>95</v>
      </c>
      <c r="C10" s="5" t="s">
        <v>3</v>
      </c>
      <c r="D10" s="4" t="s">
        <v>4</v>
      </c>
      <c r="E10" s="3" t="s">
        <v>90</v>
      </c>
      <c r="F10" s="4" t="s">
        <v>91</v>
      </c>
      <c r="G10" s="4" t="s">
        <v>92</v>
      </c>
      <c r="H10" s="2" t="s">
        <v>93</v>
      </c>
      <c r="I10" s="3" t="s">
        <v>89</v>
      </c>
      <c r="J10" s="3" t="s">
        <v>94</v>
      </c>
      <c r="K10" s="3" t="s">
        <v>135</v>
      </c>
    </row>
    <row r="11" spans="1:22" x14ac:dyDescent="0.3">
      <c r="A11" s="1" t="s">
        <v>5</v>
      </c>
      <c r="B11" s="4">
        <v>20</v>
      </c>
      <c r="C11" s="5">
        <v>2</v>
      </c>
      <c r="D11" s="4">
        <v>126</v>
      </c>
      <c r="E11" s="3">
        <v>4.1203405239014401</v>
      </c>
      <c r="F11" s="4">
        <v>25</v>
      </c>
      <c r="G11" s="4">
        <v>39</v>
      </c>
      <c r="H11" s="2">
        <v>6.0723545689225174E-2</v>
      </c>
      <c r="I11" s="3">
        <v>185.31436247134698</v>
      </c>
      <c r="J11" s="3">
        <v>0.16</v>
      </c>
      <c r="K11" s="6">
        <f>I11/200000</f>
        <v>9.2657181235673489E-4</v>
      </c>
      <c r="O11" s="3">
        <f>$P$2*($P$3*$F11+$P$4*$B11^$P$5*$H11^$P$6)*$K11^$P$7</f>
        <v>0.18415873311258718</v>
      </c>
      <c r="P11" s="3">
        <f>O11/$J11</f>
        <v>1.1509920819536699</v>
      </c>
      <c r="R11" s="3">
        <f>$S$2*$B11^$S$3*$K11^$S$4*($S$5*$H11^$S$6+$S$7)</f>
        <v>0.18022921031306474</v>
      </c>
      <c r="S11" s="3">
        <f>R11/$J11</f>
        <v>1.1264325644566546</v>
      </c>
      <c r="U11" s="3"/>
      <c r="V11" s="3"/>
    </row>
    <row r="12" spans="1:22" x14ac:dyDescent="0.3">
      <c r="B12" s="4">
        <v>20</v>
      </c>
      <c r="C12" s="5">
        <v>2</v>
      </c>
      <c r="D12" s="4">
        <v>126</v>
      </c>
      <c r="E12" s="3">
        <v>4.1203405239014401</v>
      </c>
      <c r="F12" s="4">
        <v>25</v>
      </c>
      <c r="G12" s="4">
        <v>39</v>
      </c>
      <c r="H12" s="2">
        <v>6.0723545689225174E-2</v>
      </c>
      <c r="I12" s="3">
        <v>270.65736491061415</v>
      </c>
      <c r="J12" s="3">
        <v>0.23</v>
      </c>
      <c r="K12" s="6">
        <f t="shared" ref="K12:K75" si="0">I12/200000</f>
        <v>1.3532868245530708E-3</v>
      </c>
      <c r="O12" s="3">
        <f t="shared" ref="O12:O75" si="1">$P$2*($P$3*$F12+$P$4*$B12^$P$5*$H12^$P$6)*$K12^$P$7</f>
        <v>0.2529602858746991</v>
      </c>
      <c r="P12" s="3">
        <f t="shared" ref="P12:P75" si="2">O12/$J12</f>
        <v>1.0998273298899961</v>
      </c>
      <c r="R12" s="3">
        <f t="shared" ref="R12:R75" si="3">$S$2*$B12^$S$3*$K12^$S$4*($S$5*$H12^$S$6+$S$7)</f>
        <v>0.24906768082481665</v>
      </c>
      <c r="S12" s="3">
        <f t="shared" ref="S12:S75" si="4">R12/$J12</f>
        <v>1.0829029601078983</v>
      </c>
      <c r="U12" s="3"/>
      <c r="V12" s="3"/>
    </row>
    <row r="13" spans="1:22" x14ac:dyDescent="0.3">
      <c r="B13" s="4">
        <v>20</v>
      </c>
      <c r="C13" s="5">
        <v>2</v>
      </c>
      <c r="D13" s="4">
        <v>126</v>
      </c>
      <c r="E13" s="3">
        <v>4.1203405239014401</v>
      </c>
      <c r="F13" s="4">
        <v>25</v>
      </c>
      <c r="G13" s="4">
        <v>39</v>
      </c>
      <c r="H13" s="2">
        <v>6.0723545689225174E-2</v>
      </c>
      <c r="I13" s="3">
        <v>284.10290085354427</v>
      </c>
      <c r="J13" s="3">
        <v>0.24</v>
      </c>
      <c r="K13" s="6">
        <f t="shared" si="0"/>
        <v>1.4205145042677214E-3</v>
      </c>
      <c r="O13" s="3">
        <f t="shared" si="1"/>
        <v>0.26344934285702243</v>
      </c>
      <c r="P13" s="3">
        <f t="shared" si="2"/>
        <v>1.0977055952375936</v>
      </c>
      <c r="R13" s="3">
        <f t="shared" si="3"/>
        <v>0.25959662755211199</v>
      </c>
      <c r="S13" s="3">
        <f t="shared" si="4"/>
        <v>1.0816526148004666</v>
      </c>
      <c r="U13" s="3"/>
      <c r="V13" s="3"/>
    </row>
    <row r="14" spans="1:22" x14ac:dyDescent="0.3">
      <c r="B14" s="4">
        <v>20</v>
      </c>
      <c r="C14" s="5">
        <v>2</v>
      </c>
      <c r="D14" s="4">
        <v>126</v>
      </c>
      <c r="E14" s="3">
        <v>4.1203405239014401</v>
      </c>
      <c r="F14" s="4">
        <v>25</v>
      </c>
      <c r="G14" s="4">
        <v>39</v>
      </c>
      <c r="H14" s="2">
        <v>6.0723545689225174E-2</v>
      </c>
      <c r="I14" s="3">
        <v>347.37006118675515</v>
      </c>
      <c r="J14" s="3">
        <v>0.27</v>
      </c>
      <c r="K14" s="6">
        <f t="shared" si="0"/>
        <v>1.7368503059337758E-3</v>
      </c>
      <c r="O14" s="3">
        <f t="shared" si="1"/>
        <v>0.31179455630312175</v>
      </c>
      <c r="P14" s="3">
        <f t="shared" si="2"/>
        <v>1.154794652974525</v>
      </c>
      <c r="R14" s="3">
        <f t="shared" si="3"/>
        <v>0.30822475959761947</v>
      </c>
      <c r="S14" s="3">
        <f t="shared" si="4"/>
        <v>1.1415731836948868</v>
      </c>
      <c r="U14" s="3"/>
      <c r="V14" s="3"/>
    </row>
    <row r="15" spans="1:22" x14ac:dyDescent="0.3">
      <c r="B15" s="4">
        <v>20</v>
      </c>
      <c r="C15" s="5">
        <v>2</v>
      </c>
      <c r="D15" s="4">
        <v>126</v>
      </c>
      <c r="E15" s="3">
        <v>4.1203405239014401</v>
      </c>
      <c r="F15" s="4">
        <v>25</v>
      </c>
      <c r="G15" s="4">
        <v>39</v>
      </c>
      <c r="H15" s="2">
        <v>6.0723545689225174E-2</v>
      </c>
      <c r="I15" s="3">
        <v>454.40943327925783</v>
      </c>
      <c r="J15" s="3">
        <v>0.35</v>
      </c>
      <c r="K15" s="6">
        <f t="shared" si="0"/>
        <v>2.2720471663962892E-3</v>
      </c>
      <c r="O15" s="3">
        <f t="shared" si="1"/>
        <v>0.39050390341684788</v>
      </c>
      <c r="P15" s="3">
        <f t="shared" si="2"/>
        <v>1.1157254383338511</v>
      </c>
      <c r="R15" s="3">
        <f t="shared" si="3"/>
        <v>0.38769558259780418</v>
      </c>
      <c r="S15" s="3">
        <f t="shared" si="4"/>
        <v>1.107701664565155</v>
      </c>
      <c r="U15" s="3"/>
      <c r="V15" s="3"/>
    </row>
    <row r="16" spans="1:22" x14ac:dyDescent="0.3">
      <c r="B16" s="4">
        <v>20</v>
      </c>
      <c r="C16" s="5">
        <v>2</v>
      </c>
      <c r="D16" s="4">
        <v>126</v>
      </c>
      <c r="E16" s="3">
        <v>4.1203405239014401</v>
      </c>
      <c r="F16" s="4">
        <v>25</v>
      </c>
      <c r="G16" s="4">
        <v>39</v>
      </c>
      <c r="H16" s="2">
        <v>6.0723545689225174E-2</v>
      </c>
      <c r="I16" s="3">
        <v>500</v>
      </c>
      <c r="J16" s="3">
        <v>0.4</v>
      </c>
      <c r="K16" s="6">
        <f t="shared" si="0"/>
        <v>2.5000000000000001E-3</v>
      </c>
      <c r="O16" s="3">
        <f t="shared" si="1"/>
        <v>0.42307890664698616</v>
      </c>
      <c r="P16" s="3">
        <f t="shared" si="2"/>
        <v>1.0576972666174653</v>
      </c>
      <c r="R16" s="3">
        <f t="shared" si="3"/>
        <v>0.42067936462474698</v>
      </c>
      <c r="S16" s="3">
        <f t="shared" si="4"/>
        <v>1.0516984115618673</v>
      </c>
      <c r="U16" s="3"/>
      <c r="V16" s="3"/>
    </row>
    <row r="17" spans="1:22" x14ac:dyDescent="0.3">
      <c r="A17" s="1" t="s">
        <v>6</v>
      </c>
      <c r="B17" s="4">
        <v>10</v>
      </c>
      <c r="C17" s="5">
        <v>8</v>
      </c>
      <c r="D17" s="4">
        <v>87.7</v>
      </c>
      <c r="E17" s="3">
        <v>4.1311267633290143</v>
      </c>
      <c r="F17" s="4">
        <v>25</v>
      </c>
      <c r="G17" s="4">
        <v>53</v>
      </c>
      <c r="H17" s="2">
        <v>1.5388385199705954E-2</v>
      </c>
      <c r="I17" s="3">
        <v>230.46114979434526</v>
      </c>
      <c r="J17" s="3">
        <v>0.16</v>
      </c>
      <c r="K17" s="6">
        <f t="shared" si="0"/>
        <v>1.1523057489717264E-3</v>
      </c>
      <c r="O17" s="3">
        <f t="shared" si="1"/>
        <v>0.20332499867836548</v>
      </c>
      <c r="P17" s="3">
        <f t="shared" si="2"/>
        <v>1.2707812417397841</v>
      </c>
      <c r="R17" s="3">
        <f t="shared" si="3"/>
        <v>0.19915305719149851</v>
      </c>
      <c r="S17" s="3">
        <f t="shared" si="4"/>
        <v>1.2447066074468656</v>
      </c>
      <c r="U17" s="3"/>
      <c r="V17" s="3"/>
    </row>
    <row r="18" spans="1:22" x14ac:dyDescent="0.3">
      <c r="B18" s="4">
        <v>10</v>
      </c>
      <c r="C18" s="5">
        <v>8</v>
      </c>
      <c r="D18" s="4">
        <v>87.7</v>
      </c>
      <c r="E18" s="3">
        <v>4.1311267633290143</v>
      </c>
      <c r="F18" s="4">
        <v>25</v>
      </c>
      <c r="G18" s="4">
        <v>53</v>
      </c>
      <c r="H18" s="2">
        <v>1.5388385199705954E-2</v>
      </c>
      <c r="I18" s="3">
        <v>305.35368375030896</v>
      </c>
      <c r="J18" s="3">
        <v>0.18</v>
      </c>
      <c r="K18" s="6">
        <f t="shared" si="0"/>
        <v>1.5267684187515449E-3</v>
      </c>
      <c r="O18" s="3">
        <f t="shared" si="1"/>
        <v>0.25739430658055756</v>
      </c>
      <c r="P18" s="3">
        <f t="shared" si="2"/>
        <v>1.4299683698919865</v>
      </c>
      <c r="R18" s="3">
        <f t="shared" si="3"/>
        <v>0.25325056493955672</v>
      </c>
      <c r="S18" s="3">
        <f t="shared" si="4"/>
        <v>1.4069475829975373</v>
      </c>
      <c r="U18" s="3"/>
      <c r="V18" s="3"/>
    </row>
    <row r="19" spans="1:22" x14ac:dyDescent="0.3">
      <c r="B19" s="4">
        <v>10</v>
      </c>
      <c r="C19" s="5">
        <v>8</v>
      </c>
      <c r="D19" s="4">
        <v>87.7</v>
      </c>
      <c r="E19" s="3">
        <v>4.1311267633290143</v>
      </c>
      <c r="F19" s="4">
        <v>25</v>
      </c>
      <c r="G19" s="4">
        <v>53</v>
      </c>
      <c r="H19" s="2">
        <v>1.5388385199705954E-2</v>
      </c>
      <c r="I19" s="3">
        <v>497.51538321550908</v>
      </c>
      <c r="J19" s="3">
        <v>0.26</v>
      </c>
      <c r="K19" s="6">
        <f t="shared" si="0"/>
        <v>2.4875769160775454E-3</v>
      </c>
      <c r="O19" s="3">
        <f t="shared" si="1"/>
        <v>0.38748754154412368</v>
      </c>
      <c r="P19" s="3">
        <f t="shared" si="2"/>
        <v>1.4903366982466295</v>
      </c>
      <c r="R19" s="3">
        <f t="shared" si="3"/>
        <v>0.38423885882679576</v>
      </c>
      <c r="S19" s="3">
        <f t="shared" si="4"/>
        <v>1.4778417647184452</v>
      </c>
      <c r="U19" s="3"/>
      <c r="V19" s="3"/>
    </row>
    <row r="20" spans="1:22" x14ac:dyDescent="0.3">
      <c r="A20" s="1" t="s">
        <v>7</v>
      </c>
      <c r="B20" s="4">
        <v>10</v>
      </c>
      <c r="C20" s="5">
        <v>4</v>
      </c>
      <c r="D20" s="4">
        <v>32.466666666666669</v>
      </c>
      <c r="E20" s="3">
        <v>3.262</v>
      </c>
      <c r="F20" s="4">
        <v>25</v>
      </c>
      <c r="G20" s="4">
        <v>36</v>
      </c>
      <c r="H20" s="2">
        <v>1.7444444444444443E-2</v>
      </c>
      <c r="I20" s="3">
        <v>173.65030205004373</v>
      </c>
      <c r="J20" s="3">
        <v>0.16</v>
      </c>
      <c r="K20" s="6">
        <f t="shared" si="0"/>
        <v>8.6825151025021871E-4</v>
      </c>
      <c r="O20" s="3">
        <f t="shared" si="1"/>
        <v>0.15081563217757435</v>
      </c>
      <c r="P20" s="3">
        <f t="shared" si="2"/>
        <v>0.94259770110983965</v>
      </c>
      <c r="R20" s="3">
        <f t="shared" si="3"/>
        <v>0.14565418606470035</v>
      </c>
      <c r="S20" s="3">
        <f t="shared" si="4"/>
        <v>0.91033866290437715</v>
      </c>
      <c r="U20" s="3"/>
      <c r="V20" s="3"/>
    </row>
    <row r="21" spans="1:22" x14ac:dyDescent="0.3">
      <c r="B21" s="4">
        <v>10</v>
      </c>
      <c r="C21" s="5">
        <v>4</v>
      </c>
      <c r="D21" s="4">
        <v>32.466666666666669</v>
      </c>
      <c r="E21" s="3">
        <v>3.262</v>
      </c>
      <c r="F21" s="4">
        <v>25</v>
      </c>
      <c r="G21" s="4">
        <v>36</v>
      </c>
      <c r="H21" s="2">
        <v>1.7444444444444443E-2</v>
      </c>
      <c r="I21" s="3">
        <v>238.73912818532301</v>
      </c>
      <c r="J21" s="3">
        <v>0.2</v>
      </c>
      <c r="K21" s="6">
        <f t="shared" si="0"/>
        <v>1.193695640926615E-3</v>
      </c>
      <c r="O21" s="3">
        <f t="shared" si="1"/>
        <v>0.19692381175997972</v>
      </c>
      <c r="P21" s="3">
        <f t="shared" si="2"/>
        <v>0.98461905879989853</v>
      </c>
      <c r="R21" s="3">
        <f t="shared" si="3"/>
        <v>0.19115550709939985</v>
      </c>
      <c r="S21" s="3">
        <f t="shared" si="4"/>
        <v>0.95577753549699918</v>
      </c>
      <c r="U21" s="3"/>
      <c r="V21" s="3"/>
    </row>
    <row r="22" spans="1:22" x14ac:dyDescent="0.3">
      <c r="B22" s="4">
        <v>10</v>
      </c>
      <c r="C22" s="5">
        <v>4</v>
      </c>
      <c r="D22" s="4">
        <v>32.466666666666669</v>
      </c>
      <c r="E22" s="3">
        <v>3.262</v>
      </c>
      <c r="F22" s="4">
        <v>25</v>
      </c>
      <c r="G22" s="4">
        <v>36</v>
      </c>
      <c r="H22" s="2">
        <v>1.7444444444444443E-2</v>
      </c>
      <c r="I22" s="3">
        <v>305.64850168663776</v>
      </c>
      <c r="J22" s="3">
        <v>0.2</v>
      </c>
      <c r="K22" s="6">
        <f t="shared" si="0"/>
        <v>1.5282425084331887E-3</v>
      </c>
      <c r="O22" s="3">
        <f t="shared" si="1"/>
        <v>0.24222251943139575</v>
      </c>
      <c r="P22" s="3">
        <f t="shared" si="2"/>
        <v>1.2111125971569787</v>
      </c>
      <c r="R22" s="3">
        <f t="shared" si="3"/>
        <v>0.23605862682860571</v>
      </c>
      <c r="S22" s="3">
        <f t="shared" si="4"/>
        <v>1.1802931341430285</v>
      </c>
      <c r="U22" s="3"/>
      <c r="V22" s="3"/>
    </row>
    <row r="23" spans="1:22" x14ac:dyDescent="0.3">
      <c r="B23" s="4">
        <v>10</v>
      </c>
      <c r="C23" s="5">
        <v>4</v>
      </c>
      <c r="D23" s="4">
        <v>32.466666666666669</v>
      </c>
      <c r="E23" s="3">
        <v>3.262</v>
      </c>
      <c r="F23" s="4">
        <v>25</v>
      </c>
      <c r="G23" s="4">
        <v>36</v>
      </c>
      <c r="H23" s="2">
        <v>1.7444444444444443E-2</v>
      </c>
      <c r="I23" s="3">
        <v>366.54790270950184</v>
      </c>
      <c r="J23" s="3">
        <v>0.24</v>
      </c>
      <c r="K23" s="6">
        <f t="shared" si="0"/>
        <v>1.8327395135475091E-3</v>
      </c>
      <c r="O23" s="3">
        <f t="shared" si="1"/>
        <v>0.28205890334301531</v>
      </c>
      <c r="P23" s="3">
        <f t="shared" si="2"/>
        <v>1.1752454305958973</v>
      </c>
      <c r="R23" s="3">
        <f t="shared" si="3"/>
        <v>0.2756815538244774</v>
      </c>
      <c r="S23" s="3">
        <f t="shared" si="4"/>
        <v>1.1486731409353226</v>
      </c>
      <c r="U23" s="3"/>
      <c r="V23" s="3"/>
    </row>
    <row r="24" spans="1:22" x14ac:dyDescent="0.3">
      <c r="B24" s="4">
        <v>10</v>
      </c>
      <c r="C24" s="5">
        <v>4</v>
      </c>
      <c r="D24" s="4">
        <v>32.466666666666669</v>
      </c>
      <c r="E24" s="3">
        <v>3.262</v>
      </c>
      <c r="F24" s="4">
        <v>25</v>
      </c>
      <c r="G24" s="4">
        <v>36</v>
      </c>
      <c r="H24" s="2">
        <v>1.7444444444444443E-2</v>
      </c>
      <c r="I24" s="3">
        <v>399.4417193494578</v>
      </c>
      <c r="J24" s="3">
        <v>0.3</v>
      </c>
      <c r="K24" s="6">
        <f t="shared" si="0"/>
        <v>1.9972085967472891E-3</v>
      </c>
      <c r="O24" s="3">
        <f t="shared" si="1"/>
        <v>0.30312113733918672</v>
      </c>
      <c r="P24" s="3">
        <f t="shared" si="2"/>
        <v>1.0104037911306225</v>
      </c>
      <c r="R24" s="3">
        <f t="shared" si="3"/>
        <v>0.29667522446532624</v>
      </c>
      <c r="S24" s="3">
        <f t="shared" si="4"/>
        <v>0.98891741488442086</v>
      </c>
      <c r="U24" s="3"/>
      <c r="V24" s="3"/>
    </row>
    <row r="25" spans="1:22" x14ac:dyDescent="0.3">
      <c r="B25" s="4">
        <v>10</v>
      </c>
      <c r="C25" s="5">
        <v>4</v>
      </c>
      <c r="D25" s="4">
        <v>32.466666666666669</v>
      </c>
      <c r="E25" s="3">
        <v>3.262</v>
      </c>
      <c r="F25" s="4">
        <v>25</v>
      </c>
      <c r="G25" s="4">
        <v>36</v>
      </c>
      <c r="H25" s="2">
        <v>1.7444444444444443E-2</v>
      </c>
      <c r="I25" s="3">
        <v>498.04874256529729</v>
      </c>
      <c r="J25" s="3">
        <v>0.32</v>
      </c>
      <c r="K25" s="6">
        <f t="shared" si="0"/>
        <v>2.4902437128264863E-3</v>
      </c>
      <c r="O25" s="3">
        <f t="shared" si="1"/>
        <v>0.36468009762547887</v>
      </c>
      <c r="P25" s="3">
        <f t="shared" si="2"/>
        <v>1.1396253050796215</v>
      </c>
      <c r="R25" s="3">
        <f t="shared" si="3"/>
        <v>0.35818732617217197</v>
      </c>
      <c r="S25" s="3">
        <f t="shared" si="4"/>
        <v>1.1193353942880373</v>
      </c>
      <c r="U25" s="3"/>
      <c r="V25" s="3"/>
    </row>
    <row r="26" spans="1:22" x14ac:dyDescent="0.3">
      <c r="B26" s="4">
        <v>10</v>
      </c>
      <c r="C26" s="5">
        <v>4</v>
      </c>
      <c r="D26" s="4">
        <v>32.466666666666669</v>
      </c>
      <c r="E26" s="3">
        <v>3.262</v>
      </c>
      <c r="F26" s="4">
        <v>25</v>
      </c>
      <c r="G26" s="4">
        <v>36</v>
      </c>
      <c r="H26" s="2">
        <v>1.7444444444444443E-2</v>
      </c>
      <c r="I26" s="3">
        <v>502.76188353839768</v>
      </c>
      <c r="J26" s="3">
        <v>0.38</v>
      </c>
      <c r="K26" s="6">
        <f t="shared" si="0"/>
        <v>2.5138094176919883E-3</v>
      </c>
      <c r="O26" s="3">
        <f t="shared" si="1"/>
        <v>0.36756986480868109</v>
      </c>
      <c r="P26" s="3">
        <f t="shared" si="2"/>
        <v>0.96728911791758176</v>
      </c>
      <c r="R26" s="3">
        <f t="shared" si="3"/>
        <v>0.36108005435617757</v>
      </c>
      <c r="S26" s="3">
        <f t="shared" si="4"/>
        <v>0.95021066935836207</v>
      </c>
      <c r="U26" s="3"/>
      <c r="V26" s="3"/>
    </row>
    <row r="27" spans="1:22" x14ac:dyDescent="0.3">
      <c r="B27" s="4">
        <v>10</v>
      </c>
      <c r="C27" s="5">
        <v>4</v>
      </c>
      <c r="D27" s="4">
        <v>32.466666666666669</v>
      </c>
      <c r="E27" s="3">
        <v>3.262</v>
      </c>
      <c r="F27" s="4">
        <v>25</v>
      </c>
      <c r="G27" s="4">
        <v>36</v>
      </c>
      <c r="H27" s="2">
        <v>1.7444444444444443E-2</v>
      </c>
      <c r="I27" s="3">
        <v>538.67344664828317</v>
      </c>
      <c r="J27" s="3">
        <v>0.42</v>
      </c>
      <c r="K27" s="6">
        <f t="shared" si="0"/>
        <v>2.6933672332414157E-3</v>
      </c>
      <c r="O27" s="3">
        <f t="shared" si="1"/>
        <v>0.38944764299639706</v>
      </c>
      <c r="P27" s="3">
        <f t="shared" si="2"/>
        <v>0.92725629284856448</v>
      </c>
      <c r="R27" s="3">
        <f t="shared" si="3"/>
        <v>0.38299410722147398</v>
      </c>
      <c r="S27" s="3">
        <f t="shared" si="4"/>
        <v>0.91189073147970001</v>
      </c>
      <c r="U27" s="3"/>
      <c r="V27" s="3"/>
    </row>
    <row r="28" spans="1:22" x14ac:dyDescent="0.3">
      <c r="B28" s="4">
        <v>10</v>
      </c>
      <c r="C28" s="5">
        <v>4</v>
      </c>
      <c r="D28" s="4">
        <v>32.466666666666669</v>
      </c>
      <c r="E28" s="3">
        <v>3.262</v>
      </c>
      <c r="F28" s="4">
        <v>25</v>
      </c>
      <c r="G28" s="4">
        <v>36</v>
      </c>
      <c r="H28" s="2">
        <v>1.7444444444444443E-2</v>
      </c>
      <c r="I28" s="3">
        <v>628</v>
      </c>
      <c r="J28" s="3">
        <v>0.44</v>
      </c>
      <c r="K28" s="6">
        <f t="shared" si="0"/>
        <v>3.14E-3</v>
      </c>
      <c r="O28" s="3">
        <f t="shared" si="1"/>
        <v>0.44288241360276637</v>
      </c>
      <c r="P28" s="3">
        <f t="shared" si="2"/>
        <v>1.0065509400062871</v>
      </c>
      <c r="R28" s="3">
        <f t="shared" si="3"/>
        <v>0.43661393506432483</v>
      </c>
      <c r="S28" s="3">
        <f t="shared" si="4"/>
        <v>0.99230439787346547</v>
      </c>
      <c r="U28" s="3"/>
      <c r="V28" s="3"/>
    </row>
    <row r="29" spans="1:22" x14ac:dyDescent="0.3">
      <c r="B29" s="4">
        <v>10</v>
      </c>
      <c r="C29" s="5">
        <v>4</v>
      </c>
      <c r="D29" s="4">
        <v>32.466666666666669</v>
      </c>
      <c r="E29" s="3">
        <v>3.262</v>
      </c>
      <c r="F29" s="4">
        <v>25</v>
      </c>
      <c r="G29" s="4">
        <v>36</v>
      </c>
      <c r="H29" s="2">
        <v>1.7444444444444443E-2</v>
      </c>
      <c r="I29" s="3">
        <v>628</v>
      </c>
      <c r="J29" s="3">
        <v>0.5</v>
      </c>
      <c r="K29" s="6">
        <f t="shared" si="0"/>
        <v>3.14E-3</v>
      </c>
      <c r="O29" s="3">
        <f t="shared" si="1"/>
        <v>0.44288241360276637</v>
      </c>
      <c r="P29" s="3">
        <f t="shared" si="2"/>
        <v>0.88576482720553273</v>
      </c>
      <c r="R29" s="3">
        <f t="shared" si="3"/>
        <v>0.43661393506432483</v>
      </c>
      <c r="S29" s="3">
        <f t="shared" si="4"/>
        <v>0.87322787012864966</v>
      </c>
      <c r="U29" s="3"/>
      <c r="V29" s="3"/>
    </row>
    <row r="30" spans="1:22" x14ac:dyDescent="0.3">
      <c r="A30" s="1" t="s">
        <v>8</v>
      </c>
      <c r="B30" s="4">
        <v>10</v>
      </c>
      <c r="C30" s="5">
        <v>4</v>
      </c>
      <c r="D30" s="4">
        <v>32.466666666666669</v>
      </c>
      <c r="E30" s="3">
        <v>3.5139999999999993</v>
      </c>
      <c r="F30" s="4">
        <v>25</v>
      </c>
      <c r="G30" s="4">
        <v>36</v>
      </c>
      <c r="H30" s="2">
        <v>1.7444444444444443E-2</v>
      </c>
      <c r="I30" s="3">
        <v>246.62969130956026</v>
      </c>
      <c r="J30" s="3">
        <v>0.24</v>
      </c>
      <c r="K30" s="6">
        <f t="shared" si="0"/>
        <v>1.2331484565478012E-3</v>
      </c>
      <c r="O30" s="3">
        <f t="shared" si="1"/>
        <v>0.2023635385532179</v>
      </c>
      <c r="P30" s="3">
        <f t="shared" si="2"/>
        <v>0.8431814106384079</v>
      </c>
      <c r="R30" s="3">
        <f t="shared" si="3"/>
        <v>0.19653811832620807</v>
      </c>
      <c r="S30" s="3">
        <f t="shared" si="4"/>
        <v>0.81890882635920037</v>
      </c>
      <c r="U30" s="3"/>
      <c r="V30" s="3"/>
    </row>
    <row r="31" spans="1:22" x14ac:dyDescent="0.3">
      <c r="B31" s="4">
        <v>10</v>
      </c>
      <c r="C31" s="5">
        <v>4</v>
      </c>
      <c r="D31" s="4">
        <v>32.466666666666669</v>
      </c>
      <c r="E31" s="3">
        <v>3.5139999999999993</v>
      </c>
      <c r="F31" s="4">
        <v>25</v>
      </c>
      <c r="G31" s="4">
        <v>36</v>
      </c>
      <c r="H31" s="2">
        <v>1.7444444444444443E-2</v>
      </c>
      <c r="I31" s="3">
        <v>335.6960771114318</v>
      </c>
      <c r="J31" s="3">
        <v>0.3</v>
      </c>
      <c r="K31" s="6">
        <f t="shared" si="0"/>
        <v>1.6784803855571591E-3</v>
      </c>
      <c r="O31" s="3">
        <f t="shared" si="1"/>
        <v>0.26202409210487076</v>
      </c>
      <c r="P31" s="3">
        <f t="shared" si="2"/>
        <v>0.87341364034956925</v>
      </c>
      <c r="R31" s="3">
        <f t="shared" si="3"/>
        <v>0.25573970990247114</v>
      </c>
      <c r="S31" s="3">
        <f t="shared" si="4"/>
        <v>0.85246569967490382</v>
      </c>
      <c r="U31" s="3"/>
      <c r="V31" s="3"/>
    </row>
    <row r="32" spans="1:22" x14ac:dyDescent="0.3">
      <c r="B32" s="4">
        <v>10</v>
      </c>
      <c r="C32" s="5">
        <v>4</v>
      </c>
      <c r="D32" s="4">
        <v>32.466666666666669</v>
      </c>
      <c r="E32" s="3">
        <v>3.5139999999999993</v>
      </c>
      <c r="F32" s="4">
        <v>25</v>
      </c>
      <c r="G32" s="4">
        <v>36</v>
      </c>
      <c r="H32" s="2">
        <v>1.7444444444444443E-2</v>
      </c>
      <c r="I32" s="3">
        <v>361.5087181175337</v>
      </c>
      <c r="J32" s="3">
        <v>0.3</v>
      </c>
      <c r="K32" s="6">
        <f t="shared" si="0"/>
        <v>1.8075435905876686E-3</v>
      </c>
      <c r="O32" s="3">
        <f t="shared" si="1"/>
        <v>0.27880578923804011</v>
      </c>
      <c r="P32" s="3">
        <f t="shared" si="2"/>
        <v>0.92935263079346708</v>
      </c>
      <c r="R32" s="3">
        <f t="shared" si="3"/>
        <v>0.27244164311186564</v>
      </c>
      <c r="S32" s="3">
        <f t="shared" si="4"/>
        <v>0.90813881037288546</v>
      </c>
      <c r="U32" s="3"/>
      <c r="V32" s="3"/>
    </row>
    <row r="33" spans="1:22" x14ac:dyDescent="0.3">
      <c r="B33" s="4">
        <v>10</v>
      </c>
      <c r="C33" s="5">
        <v>4</v>
      </c>
      <c r="D33" s="4">
        <v>32.466666666666669</v>
      </c>
      <c r="E33" s="3">
        <v>3.5139999999999993</v>
      </c>
      <c r="F33" s="4">
        <v>25</v>
      </c>
      <c r="G33" s="4">
        <v>36</v>
      </c>
      <c r="H33" s="2">
        <v>1.7444444444444443E-2</v>
      </c>
      <c r="I33" s="3">
        <v>392.91007120761441</v>
      </c>
      <c r="J33" s="3">
        <v>0.3</v>
      </c>
      <c r="K33" s="6">
        <f t="shared" si="0"/>
        <v>1.9645503560380721E-3</v>
      </c>
      <c r="O33" s="3">
        <f t="shared" si="1"/>
        <v>0.29896195350969923</v>
      </c>
      <c r="P33" s="3">
        <f t="shared" si="2"/>
        <v>0.99653984503233084</v>
      </c>
      <c r="R33" s="3">
        <f t="shared" si="3"/>
        <v>0.29252730919068765</v>
      </c>
      <c r="S33" s="3">
        <f t="shared" si="4"/>
        <v>0.97509103063562552</v>
      </c>
      <c r="U33" s="3"/>
      <c r="V33" s="3"/>
    </row>
    <row r="34" spans="1:22" x14ac:dyDescent="0.3">
      <c r="B34" s="4">
        <v>10</v>
      </c>
      <c r="C34" s="5">
        <v>4</v>
      </c>
      <c r="D34" s="4">
        <v>32.466666666666669</v>
      </c>
      <c r="E34" s="3">
        <v>3.5139999999999993</v>
      </c>
      <c r="F34" s="4">
        <v>25</v>
      </c>
      <c r="G34" s="4">
        <v>36</v>
      </c>
      <c r="H34" s="2">
        <v>1.7444444444444443E-2</v>
      </c>
      <c r="I34" s="3">
        <v>424.16428141731097</v>
      </c>
      <c r="J34" s="3">
        <v>0.38</v>
      </c>
      <c r="K34" s="6">
        <f t="shared" si="0"/>
        <v>2.1208214070865547E-3</v>
      </c>
      <c r="O34" s="3">
        <f t="shared" si="1"/>
        <v>0.31876587658802158</v>
      </c>
      <c r="P34" s="3">
        <f t="shared" si="2"/>
        <v>0.83885756996847782</v>
      </c>
      <c r="R34" s="3">
        <f t="shared" si="3"/>
        <v>0.31228719241540859</v>
      </c>
      <c r="S34" s="3">
        <f t="shared" si="4"/>
        <v>0.82180840109318043</v>
      </c>
      <c r="U34" s="3"/>
      <c r="V34" s="3"/>
    </row>
    <row r="35" spans="1:22" x14ac:dyDescent="0.3">
      <c r="B35" s="4">
        <v>10</v>
      </c>
      <c r="C35" s="5">
        <v>4</v>
      </c>
      <c r="D35" s="4">
        <v>32.466666666666669</v>
      </c>
      <c r="E35" s="3">
        <v>3.5139999999999993</v>
      </c>
      <c r="F35" s="4">
        <v>25</v>
      </c>
      <c r="G35" s="4">
        <v>36</v>
      </c>
      <c r="H35" s="2">
        <v>1.7444444444444443E-2</v>
      </c>
      <c r="I35" s="3">
        <v>491.13758900951802</v>
      </c>
      <c r="J35" s="3">
        <v>0.44</v>
      </c>
      <c r="K35" s="6">
        <f t="shared" si="0"/>
        <v>2.4556879450475903E-3</v>
      </c>
      <c r="O35" s="3">
        <f t="shared" si="1"/>
        <v>0.36043463241858492</v>
      </c>
      <c r="P35" s="3">
        <f t="shared" si="2"/>
        <v>0.81916961913314756</v>
      </c>
      <c r="R35" s="3">
        <f t="shared" si="3"/>
        <v>0.35393830556850431</v>
      </c>
      <c r="S35" s="3">
        <f t="shared" si="4"/>
        <v>0.80440523992841884</v>
      </c>
      <c r="U35" s="3"/>
      <c r="V35" s="3"/>
    </row>
    <row r="36" spans="1:22" x14ac:dyDescent="0.3">
      <c r="A36" s="1" t="s">
        <v>9</v>
      </c>
      <c r="B36" s="4">
        <v>16</v>
      </c>
      <c r="C36" s="5">
        <v>4</v>
      </c>
      <c r="D36" s="4">
        <v>37</v>
      </c>
      <c r="E36" s="3">
        <v>4.2587999999999999</v>
      </c>
      <c r="F36" s="4">
        <v>20</v>
      </c>
      <c r="G36" s="4">
        <v>54</v>
      </c>
      <c r="H36" s="2">
        <v>0.11785107305322007</v>
      </c>
      <c r="I36" s="3">
        <v>100.66840700964704</v>
      </c>
      <c r="J36" s="3">
        <v>0.18</v>
      </c>
      <c r="K36" s="6">
        <f t="shared" si="0"/>
        <v>5.0334203504823519E-4</v>
      </c>
      <c r="O36" s="3">
        <f t="shared" si="1"/>
        <v>6.2390321226307326E-2</v>
      </c>
      <c r="P36" s="3">
        <f t="shared" si="2"/>
        <v>0.34661289570170739</v>
      </c>
      <c r="R36" s="3">
        <f t="shared" si="3"/>
        <v>6.285339502839668E-2</v>
      </c>
      <c r="S36" s="3">
        <f t="shared" si="4"/>
        <v>0.34918552793553714</v>
      </c>
      <c r="U36" s="3"/>
      <c r="V36" s="3"/>
    </row>
    <row r="37" spans="1:22" x14ac:dyDescent="0.3">
      <c r="B37" s="4">
        <v>16</v>
      </c>
      <c r="C37" s="5">
        <v>4</v>
      </c>
      <c r="D37" s="4">
        <v>37</v>
      </c>
      <c r="E37" s="3">
        <v>4.2587999999999999</v>
      </c>
      <c r="F37" s="4">
        <v>20</v>
      </c>
      <c r="G37" s="4">
        <v>54</v>
      </c>
      <c r="H37" s="2">
        <v>0.11785107305322007</v>
      </c>
      <c r="I37" s="3">
        <v>164.07580931934717</v>
      </c>
      <c r="J37" s="3">
        <v>0.2</v>
      </c>
      <c r="K37" s="6">
        <f t="shared" si="0"/>
        <v>8.203790465967359E-4</v>
      </c>
      <c r="O37" s="3">
        <f t="shared" si="1"/>
        <v>9.3950708672790276E-2</v>
      </c>
      <c r="P37" s="3">
        <f t="shared" si="2"/>
        <v>0.46975354336395136</v>
      </c>
      <c r="R37" s="3">
        <f t="shared" si="3"/>
        <v>9.5390692476418404E-2</v>
      </c>
      <c r="S37" s="3">
        <f t="shared" si="4"/>
        <v>0.47695346238209202</v>
      </c>
      <c r="U37" s="3"/>
      <c r="V37" s="3"/>
    </row>
    <row r="38" spans="1:22" x14ac:dyDescent="0.3">
      <c r="B38" s="4">
        <v>16</v>
      </c>
      <c r="C38" s="5">
        <v>4</v>
      </c>
      <c r="D38" s="4">
        <v>37</v>
      </c>
      <c r="E38" s="3">
        <v>4.2587999999999999</v>
      </c>
      <c r="F38" s="4">
        <v>20</v>
      </c>
      <c r="G38" s="4">
        <v>54</v>
      </c>
      <c r="H38" s="2">
        <v>0.11785107305322007</v>
      </c>
      <c r="I38" s="3">
        <v>208.59575443802709</v>
      </c>
      <c r="J38" s="3">
        <v>0.26</v>
      </c>
      <c r="K38" s="6">
        <f t="shared" si="0"/>
        <v>1.0429787721901354E-3</v>
      </c>
      <c r="O38" s="3">
        <f t="shared" si="1"/>
        <v>0.11488695073173069</v>
      </c>
      <c r="P38" s="3">
        <f t="shared" si="2"/>
        <v>0.44187288742973341</v>
      </c>
      <c r="R38" s="3">
        <f t="shared" si="3"/>
        <v>0.11709674380495329</v>
      </c>
      <c r="S38" s="3">
        <f t="shared" si="4"/>
        <v>0.45037209155751262</v>
      </c>
      <c r="U38" s="3"/>
      <c r="V38" s="3"/>
    </row>
    <row r="39" spans="1:22" x14ac:dyDescent="0.3">
      <c r="B39" s="4">
        <v>16</v>
      </c>
      <c r="C39" s="5">
        <v>4</v>
      </c>
      <c r="D39" s="4">
        <v>37</v>
      </c>
      <c r="E39" s="3">
        <v>4.2587999999999999</v>
      </c>
      <c r="F39" s="4">
        <v>20</v>
      </c>
      <c r="G39" s="4">
        <v>54</v>
      </c>
      <c r="H39" s="2">
        <v>0.11785107305322007</v>
      </c>
      <c r="I39" s="3">
        <v>288.03053051298519</v>
      </c>
      <c r="J39" s="3">
        <v>0.44</v>
      </c>
      <c r="K39" s="6">
        <f t="shared" si="0"/>
        <v>1.440152652564926E-3</v>
      </c>
      <c r="O39" s="3">
        <f t="shared" si="1"/>
        <v>0.15055743476411979</v>
      </c>
      <c r="P39" s="3">
        <f t="shared" si="2"/>
        <v>0.34217598810027222</v>
      </c>
      <c r="R39" s="3">
        <f t="shared" si="3"/>
        <v>0.15424761271367673</v>
      </c>
      <c r="S39" s="3">
        <f t="shared" si="4"/>
        <v>0.35056275616744714</v>
      </c>
      <c r="U39" s="3"/>
      <c r="V39" s="3"/>
    </row>
    <row r="40" spans="1:22" x14ac:dyDescent="0.3">
      <c r="B40" s="4">
        <v>16</v>
      </c>
      <c r="C40" s="5">
        <v>4</v>
      </c>
      <c r="D40" s="4">
        <v>37</v>
      </c>
      <c r="E40" s="3">
        <v>4.2587999999999999</v>
      </c>
      <c r="F40" s="4">
        <v>20</v>
      </c>
      <c r="G40" s="4">
        <v>54</v>
      </c>
      <c r="H40" s="2">
        <v>0.11785107305322007</v>
      </c>
      <c r="I40" s="3">
        <v>403.42653100855267</v>
      </c>
      <c r="J40" s="3">
        <v>0.6</v>
      </c>
      <c r="K40" s="6">
        <f t="shared" si="0"/>
        <v>2.0171326550427636E-3</v>
      </c>
      <c r="O40" s="3">
        <f t="shared" si="1"/>
        <v>0.19967483633329219</v>
      </c>
      <c r="P40" s="3">
        <f t="shared" si="2"/>
        <v>0.33279139388882034</v>
      </c>
      <c r="R40" s="3">
        <f t="shared" si="3"/>
        <v>0.20567466409670965</v>
      </c>
      <c r="S40" s="3">
        <f t="shared" si="4"/>
        <v>0.34279110682784941</v>
      </c>
      <c r="U40" s="3"/>
      <c r="V40" s="3"/>
    </row>
    <row r="41" spans="1:22" x14ac:dyDescent="0.3">
      <c r="A41" s="1" t="s">
        <v>10</v>
      </c>
      <c r="B41" s="4">
        <v>12</v>
      </c>
      <c r="C41" s="5">
        <v>4</v>
      </c>
      <c r="D41" s="4">
        <v>79.3</v>
      </c>
      <c r="E41" s="3">
        <v>2.6933292113182881</v>
      </c>
      <c r="F41" s="4">
        <v>20</v>
      </c>
      <c r="G41" s="4">
        <v>38</v>
      </c>
      <c r="H41" s="2">
        <v>1.3593984962406014E-2</v>
      </c>
      <c r="I41" s="3">
        <v>220.98184588636727</v>
      </c>
      <c r="J41" s="3">
        <v>0.36</v>
      </c>
      <c r="K41" s="6">
        <f t="shared" si="0"/>
        <v>1.1049092294318364E-3</v>
      </c>
      <c r="O41" s="3">
        <f t="shared" si="1"/>
        <v>0.25437139631185168</v>
      </c>
      <c r="P41" s="3">
        <f t="shared" si="2"/>
        <v>0.70658721197736585</v>
      </c>
      <c r="R41" s="3">
        <f t="shared" si="3"/>
        <v>0.25438251462911832</v>
      </c>
      <c r="S41" s="3">
        <f t="shared" si="4"/>
        <v>0.70661809619199534</v>
      </c>
      <c r="U41" s="3"/>
      <c r="V41" s="3"/>
    </row>
    <row r="42" spans="1:22" x14ac:dyDescent="0.3">
      <c r="B42" s="4">
        <v>12</v>
      </c>
      <c r="C42" s="5">
        <v>4</v>
      </c>
      <c r="D42" s="4">
        <v>79.3</v>
      </c>
      <c r="E42" s="3">
        <v>2.6933292113182881</v>
      </c>
      <c r="F42" s="4">
        <v>20</v>
      </c>
      <c r="G42" s="4">
        <v>38</v>
      </c>
      <c r="H42" s="2">
        <v>1.3593984962406014E-2</v>
      </c>
      <c r="I42" s="3">
        <v>345.87419398672716</v>
      </c>
      <c r="J42" s="3">
        <v>0.43</v>
      </c>
      <c r="K42" s="6">
        <f t="shared" si="0"/>
        <v>1.7293709699336358E-3</v>
      </c>
      <c r="O42" s="3">
        <f t="shared" si="1"/>
        <v>0.37026346739676019</v>
      </c>
      <c r="P42" s="3">
        <f t="shared" si="2"/>
        <v>0.86107783115525627</v>
      </c>
      <c r="R42" s="3">
        <f t="shared" si="3"/>
        <v>0.37294331858343499</v>
      </c>
      <c r="S42" s="3">
        <f t="shared" si="4"/>
        <v>0.86731004321729066</v>
      </c>
      <c r="U42" s="3"/>
      <c r="V42" s="3"/>
    </row>
    <row r="43" spans="1:22" x14ac:dyDescent="0.3">
      <c r="B43" s="4">
        <v>12</v>
      </c>
      <c r="C43" s="5">
        <v>4</v>
      </c>
      <c r="D43" s="4">
        <v>79.3</v>
      </c>
      <c r="E43" s="3">
        <v>2.6933292113182881</v>
      </c>
      <c r="F43" s="4">
        <v>20</v>
      </c>
      <c r="G43" s="4">
        <v>38</v>
      </c>
      <c r="H43" s="2">
        <v>1.3593984962406014E-2</v>
      </c>
      <c r="I43" s="3">
        <v>500</v>
      </c>
      <c r="J43" s="3">
        <v>0.56000000000000005</v>
      </c>
      <c r="K43" s="6">
        <f t="shared" si="0"/>
        <v>2.5000000000000001E-3</v>
      </c>
      <c r="O43" s="3">
        <f t="shared" si="1"/>
        <v>0.50423653450265526</v>
      </c>
      <c r="P43" s="3">
        <f t="shared" si="2"/>
        <v>0.90042238304045574</v>
      </c>
      <c r="R43" s="3">
        <f t="shared" si="3"/>
        <v>0.510889651772369</v>
      </c>
      <c r="S43" s="3">
        <f t="shared" si="4"/>
        <v>0.91230294959351599</v>
      </c>
      <c r="U43" s="3"/>
      <c r="V43" s="3"/>
    </row>
    <row r="44" spans="1:22" x14ac:dyDescent="0.3">
      <c r="B44" s="4">
        <v>12</v>
      </c>
      <c r="C44" s="5">
        <v>4</v>
      </c>
      <c r="D44" s="4">
        <v>79.3</v>
      </c>
      <c r="E44" s="3">
        <v>2.6933292113182881</v>
      </c>
      <c r="F44" s="4">
        <v>20</v>
      </c>
      <c r="G44" s="4">
        <v>38</v>
      </c>
      <c r="H44" s="2">
        <v>1.3593984962406014E-2</v>
      </c>
      <c r="I44" s="3">
        <v>500</v>
      </c>
      <c r="J44" s="3">
        <v>0.71</v>
      </c>
      <c r="K44" s="6">
        <f t="shared" si="0"/>
        <v>2.5000000000000001E-3</v>
      </c>
      <c r="O44" s="3">
        <f t="shared" si="1"/>
        <v>0.50423653450265526</v>
      </c>
      <c r="P44" s="3">
        <f t="shared" si="2"/>
        <v>0.71019230211641593</v>
      </c>
      <c r="R44" s="3">
        <f t="shared" si="3"/>
        <v>0.510889651772369</v>
      </c>
      <c r="S44" s="3">
        <f t="shared" si="4"/>
        <v>0.71956288982023808</v>
      </c>
      <c r="U44" s="3"/>
      <c r="V44" s="3"/>
    </row>
    <row r="45" spans="1:22" x14ac:dyDescent="0.3">
      <c r="B45" s="4">
        <v>12</v>
      </c>
      <c r="C45" s="5">
        <v>4</v>
      </c>
      <c r="D45" s="4">
        <v>79.3</v>
      </c>
      <c r="E45" s="3">
        <v>2.6933292113182881</v>
      </c>
      <c r="F45" s="4">
        <v>20</v>
      </c>
      <c r="G45" s="4">
        <v>38</v>
      </c>
      <c r="H45" s="2">
        <v>1.3593984962406014E-2</v>
      </c>
      <c r="I45" s="3">
        <v>500</v>
      </c>
      <c r="J45" s="3">
        <v>0.79</v>
      </c>
      <c r="K45" s="6">
        <f t="shared" si="0"/>
        <v>2.5000000000000001E-3</v>
      </c>
      <c r="O45" s="3">
        <f t="shared" si="1"/>
        <v>0.50423653450265526</v>
      </c>
      <c r="P45" s="3">
        <f t="shared" si="2"/>
        <v>0.63827409430715853</v>
      </c>
      <c r="R45" s="3">
        <f t="shared" si="3"/>
        <v>0.510889651772369</v>
      </c>
      <c r="S45" s="3">
        <f t="shared" si="4"/>
        <v>0.64669576173717591</v>
      </c>
      <c r="U45" s="3"/>
      <c r="V45" s="3"/>
    </row>
    <row r="46" spans="1:22" x14ac:dyDescent="0.3">
      <c r="A46" s="1" t="s">
        <v>11</v>
      </c>
      <c r="B46" s="4">
        <v>25</v>
      </c>
      <c r="C46" s="5">
        <v>4</v>
      </c>
      <c r="D46" s="4">
        <v>62</v>
      </c>
      <c r="E46" s="3">
        <v>2.6933292113182881</v>
      </c>
      <c r="F46" s="4">
        <v>20</v>
      </c>
      <c r="G46" s="4">
        <v>44.5</v>
      </c>
      <c r="H46" s="2">
        <v>5.4467051199458924E-2</v>
      </c>
      <c r="I46" s="3">
        <v>66.0344882356234</v>
      </c>
      <c r="J46" s="3">
        <v>0.2</v>
      </c>
      <c r="K46" s="6">
        <f t="shared" si="0"/>
        <v>3.3017244117811698E-4</v>
      </c>
      <c r="O46" s="3">
        <f t="shared" si="1"/>
        <v>0.10435424414249277</v>
      </c>
      <c r="P46" s="3">
        <f t="shared" si="2"/>
        <v>0.52177122071246385</v>
      </c>
      <c r="R46" s="3">
        <f t="shared" si="3"/>
        <v>0.10139663949607097</v>
      </c>
      <c r="S46" s="3">
        <f t="shared" si="4"/>
        <v>0.50698319748035481</v>
      </c>
      <c r="U46" s="3"/>
      <c r="V46" s="3"/>
    </row>
    <row r="47" spans="1:22" x14ac:dyDescent="0.3">
      <c r="B47" s="4">
        <v>25</v>
      </c>
      <c r="C47" s="5">
        <v>4</v>
      </c>
      <c r="D47" s="4">
        <v>62</v>
      </c>
      <c r="E47" s="3">
        <v>2.6933292113182881</v>
      </c>
      <c r="F47" s="4">
        <v>20</v>
      </c>
      <c r="G47" s="4">
        <v>44.5</v>
      </c>
      <c r="H47" s="2">
        <v>5.4467051199458924E-2</v>
      </c>
      <c r="I47" s="3">
        <v>151.48589269424554</v>
      </c>
      <c r="J47" s="3">
        <v>0.25</v>
      </c>
      <c r="K47" s="6">
        <f t="shared" si="0"/>
        <v>7.5742946347122765E-4</v>
      </c>
      <c r="O47" s="3">
        <f t="shared" si="1"/>
        <v>0.209263781149537</v>
      </c>
      <c r="P47" s="3">
        <f t="shared" si="2"/>
        <v>0.83705512459814801</v>
      </c>
      <c r="R47" s="3">
        <f t="shared" si="3"/>
        <v>0.2060521428054071</v>
      </c>
      <c r="S47" s="3">
        <f t="shared" si="4"/>
        <v>0.82420857122162838</v>
      </c>
      <c r="U47" s="3"/>
      <c r="V47" s="3"/>
    </row>
    <row r="48" spans="1:22" x14ac:dyDescent="0.3">
      <c r="B48" s="4">
        <v>25</v>
      </c>
      <c r="C48" s="5">
        <v>4</v>
      </c>
      <c r="D48" s="4">
        <v>62</v>
      </c>
      <c r="E48" s="3">
        <v>2.6933292113182881</v>
      </c>
      <c r="F48" s="4">
        <v>20</v>
      </c>
      <c r="G48" s="4">
        <v>44.5</v>
      </c>
      <c r="H48" s="2">
        <v>5.4467051199458924E-2</v>
      </c>
      <c r="I48" s="3">
        <v>248.79678351418517</v>
      </c>
      <c r="J48" s="3">
        <v>0.36</v>
      </c>
      <c r="K48" s="6">
        <f t="shared" si="0"/>
        <v>1.2439839175709259E-3</v>
      </c>
      <c r="O48" s="3">
        <f t="shared" si="1"/>
        <v>0.31714661664421917</v>
      </c>
      <c r="P48" s="3">
        <f t="shared" si="2"/>
        <v>0.88096282401171999</v>
      </c>
      <c r="R48" s="3">
        <f t="shared" si="3"/>
        <v>0.31476809871262995</v>
      </c>
      <c r="S48" s="3">
        <f t="shared" si="4"/>
        <v>0.87435582975730541</v>
      </c>
      <c r="U48" s="3"/>
      <c r="V48" s="3"/>
    </row>
    <row r="49" spans="1:22" x14ac:dyDescent="0.3">
      <c r="B49" s="4">
        <v>25</v>
      </c>
      <c r="C49" s="5">
        <v>4</v>
      </c>
      <c r="D49" s="4">
        <v>62</v>
      </c>
      <c r="E49" s="3">
        <v>2.6933292113182881</v>
      </c>
      <c r="F49" s="4">
        <v>20</v>
      </c>
      <c r="G49" s="4">
        <v>44.5</v>
      </c>
      <c r="H49" s="2">
        <v>5.4467051199458924E-2</v>
      </c>
      <c r="I49" s="3">
        <v>346.10767433412479</v>
      </c>
      <c r="J49" s="3">
        <v>0.47</v>
      </c>
      <c r="K49" s="6">
        <f t="shared" si="0"/>
        <v>1.730538371670624E-3</v>
      </c>
      <c r="O49" s="3">
        <f t="shared" si="1"/>
        <v>0.41821651871980953</v>
      </c>
      <c r="P49" s="3">
        <f t="shared" si="2"/>
        <v>0.88982238025491389</v>
      </c>
      <c r="R49" s="3">
        <f t="shared" si="3"/>
        <v>0.41727817876915313</v>
      </c>
      <c r="S49" s="3">
        <f t="shared" si="4"/>
        <v>0.8878259122747939</v>
      </c>
      <c r="U49" s="3"/>
      <c r="V49" s="3"/>
    </row>
    <row r="50" spans="1:22" x14ac:dyDescent="0.3">
      <c r="B50" s="4">
        <v>25</v>
      </c>
      <c r="C50" s="5">
        <v>4</v>
      </c>
      <c r="D50" s="4">
        <v>62</v>
      </c>
      <c r="E50" s="3">
        <v>2.6933292113182881</v>
      </c>
      <c r="F50" s="4">
        <v>20</v>
      </c>
      <c r="G50" s="4">
        <v>44.5</v>
      </c>
      <c r="H50" s="2">
        <v>5.4467051199458924E-2</v>
      </c>
      <c r="I50" s="3">
        <v>419.09084244907962</v>
      </c>
      <c r="J50" s="3">
        <v>0.56999999999999995</v>
      </c>
      <c r="K50" s="6">
        <f t="shared" si="0"/>
        <v>2.095454212245398E-3</v>
      </c>
      <c r="O50" s="3">
        <f t="shared" si="1"/>
        <v>0.49094904551390761</v>
      </c>
      <c r="P50" s="3">
        <f t="shared" si="2"/>
        <v>0.86131411493668009</v>
      </c>
      <c r="R50" s="3">
        <f t="shared" si="3"/>
        <v>0.49134943696220779</v>
      </c>
      <c r="S50" s="3">
        <f t="shared" si="4"/>
        <v>0.86201655607404881</v>
      </c>
      <c r="U50" s="3"/>
      <c r="V50" s="3"/>
    </row>
    <row r="51" spans="1:22" x14ac:dyDescent="0.3">
      <c r="B51" s="4">
        <v>25</v>
      </c>
      <c r="C51" s="5">
        <v>4</v>
      </c>
      <c r="D51" s="4">
        <v>62</v>
      </c>
      <c r="E51" s="3">
        <v>2.6933292113182881</v>
      </c>
      <c r="F51" s="4">
        <v>20</v>
      </c>
      <c r="G51" s="4">
        <v>44.5</v>
      </c>
      <c r="H51" s="2">
        <v>5.4467051199458924E-2</v>
      </c>
      <c r="I51" s="3">
        <v>500</v>
      </c>
      <c r="J51" s="3">
        <v>0.78</v>
      </c>
      <c r="K51" s="6">
        <f t="shared" si="0"/>
        <v>2.5000000000000001E-3</v>
      </c>
      <c r="O51" s="3">
        <f t="shared" si="1"/>
        <v>0.56921853892595764</v>
      </c>
      <c r="P51" s="3">
        <f t="shared" si="2"/>
        <v>0.72976735759738154</v>
      </c>
      <c r="R51" s="3">
        <f t="shared" si="3"/>
        <v>0.57129400701617861</v>
      </c>
      <c r="S51" s="3">
        <f t="shared" si="4"/>
        <v>0.73242821412330583</v>
      </c>
      <c r="U51" s="3"/>
      <c r="V51" s="3"/>
    </row>
    <row r="52" spans="1:22" x14ac:dyDescent="0.3">
      <c r="A52" s="1" t="s">
        <v>12</v>
      </c>
      <c r="B52" s="4">
        <v>12</v>
      </c>
      <c r="C52" s="5">
        <v>4</v>
      </c>
      <c r="D52" s="4">
        <v>79.3</v>
      </c>
      <c r="E52" s="3">
        <v>2.6933292113182881</v>
      </c>
      <c r="F52" s="4">
        <v>20</v>
      </c>
      <c r="G52" s="4">
        <v>34</v>
      </c>
      <c r="H52" s="2">
        <v>1.5193277310924369E-2</v>
      </c>
      <c r="I52" s="3">
        <v>104.52715623525849</v>
      </c>
      <c r="J52" s="3">
        <v>0.21</v>
      </c>
      <c r="K52" s="6">
        <f t="shared" si="0"/>
        <v>5.2263578117629241E-4</v>
      </c>
      <c r="O52" s="3">
        <f t="shared" si="1"/>
        <v>0.12859465654196381</v>
      </c>
      <c r="P52" s="3">
        <f t="shared" si="2"/>
        <v>0.61235550734268485</v>
      </c>
      <c r="R52" s="3">
        <f t="shared" si="3"/>
        <v>0.12589793630724291</v>
      </c>
      <c r="S52" s="3">
        <f t="shared" si="4"/>
        <v>0.59951398241544251</v>
      </c>
      <c r="U52" s="3"/>
      <c r="V52" s="3"/>
    </row>
    <row r="53" spans="1:22" x14ac:dyDescent="0.3">
      <c r="B53" s="4">
        <v>12</v>
      </c>
      <c r="C53" s="5">
        <v>4</v>
      </c>
      <c r="D53" s="4">
        <v>79.3</v>
      </c>
      <c r="E53" s="3">
        <v>2.6933292113182881</v>
      </c>
      <c r="F53" s="4">
        <v>20</v>
      </c>
      <c r="G53" s="4">
        <v>34</v>
      </c>
      <c r="H53" s="2">
        <v>1.5193277310924369E-2</v>
      </c>
      <c r="I53" s="3">
        <v>164.48977691351251</v>
      </c>
      <c r="J53" s="3">
        <v>0.31</v>
      </c>
      <c r="K53" s="6">
        <f t="shared" si="0"/>
        <v>8.2244888456756257E-4</v>
      </c>
      <c r="O53" s="3">
        <f t="shared" si="1"/>
        <v>0.18803267112125577</v>
      </c>
      <c r="P53" s="3">
        <f t="shared" si="2"/>
        <v>0.60655700361695408</v>
      </c>
      <c r="R53" s="3">
        <f t="shared" si="3"/>
        <v>0.18542981302270906</v>
      </c>
      <c r="S53" s="3">
        <f t="shared" si="4"/>
        <v>0.59816068717002924</v>
      </c>
      <c r="U53" s="3"/>
      <c r="V53" s="3"/>
    </row>
    <row r="54" spans="1:22" x14ac:dyDescent="0.3">
      <c r="B54" s="4">
        <v>12</v>
      </c>
      <c r="C54" s="5">
        <v>4</v>
      </c>
      <c r="D54" s="4">
        <v>79.3</v>
      </c>
      <c r="E54" s="3">
        <v>2.6933292113182881</v>
      </c>
      <c r="F54" s="4">
        <v>20</v>
      </c>
      <c r="G54" s="4">
        <v>34</v>
      </c>
      <c r="H54" s="2">
        <v>1.5193277310924369E-2</v>
      </c>
      <c r="I54" s="3">
        <v>224.4523975917665</v>
      </c>
      <c r="J54" s="3">
        <v>0.38</v>
      </c>
      <c r="K54" s="6">
        <f t="shared" si="0"/>
        <v>1.1222619879588324E-3</v>
      </c>
      <c r="O54" s="3">
        <f t="shared" si="1"/>
        <v>0.24397820296000317</v>
      </c>
      <c r="P54" s="3">
        <f t="shared" si="2"/>
        <v>0.64204790252632415</v>
      </c>
      <c r="R54" s="3">
        <f t="shared" si="3"/>
        <v>0.24180041306738764</v>
      </c>
      <c r="S54" s="3">
        <f t="shared" si="4"/>
        <v>0.63631687649312541</v>
      </c>
      <c r="U54" s="3"/>
      <c r="V54" s="3"/>
    </row>
    <row r="55" spans="1:22" x14ac:dyDescent="0.3">
      <c r="B55" s="4">
        <v>12</v>
      </c>
      <c r="C55" s="5">
        <v>4</v>
      </c>
      <c r="D55" s="4">
        <v>79.3</v>
      </c>
      <c r="E55" s="3">
        <v>2.6933292113182881</v>
      </c>
      <c r="F55" s="4">
        <v>20</v>
      </c>
      <c r="G55" s="4">
        <v>34</v>
      </c>
      <c r="H55" s="2">
        <v>1.5193277310924369E-2</v>
      </c>
      <c r="I55" s="3">
        <v>344.37763894827469</v>
      </c>
      <c r="J55" s="3">
        <v>0.52</v>
      </c>
      <c r="K55" s="6">
        <f t="shared" si="0"/>
        <v>1.7218881947413734E-3</v>
      </c>
      <c r="O55" s="3">
        <f t="shared" si="1"/>
        <v>0.34925625337043192</v>
      </c>
      <c r="P55" s="3">
        <f t="shared" si="2"/>
        <v>0.67164664109698446</v>
      </c>
      <c r="R55" s="3">
        <f t="shared" si="3"/>
        <v>0.34851764617152081</v>
      </c>
      <c r="S55" s="3">
        <f t="shared" si="4"/>
        <v>0.67022624263754005</v>
      </c>
      <c r="U55" s="3"/>
      <c r="V55" s="3"/>
    </row>
    <row r="56" spans="1:22" x14ac:dyDescent="0.3">
      <c r="B56" s="4">
        <v>12</v>
      </c>
      <c r="C56" s="5">
        <v>4</v>
      </c>
      <c r="D56" s="4">
        <v>79.3</v>
      </c>
      <c r="E56" s="3">
        <v>2.6933292113182881</v>
      </c>
      <c r="F56" s="4">
        <v>20</v>
      </c>
      <c r="G56" s="4">
        <v>34</v>
      </c>
      <c r="H56" s="2">
        <v>1.5193277310924369E-2</v>
      </c>
      <c r="I56" s="3">
        <v>500</v>
      </c>
      <c r="J56" s="3">
        <v>0.74</v>
      </c>
      <c r="K56" s="6">
        <f t="shared" si="0"/>
        <v>2.5000000000000001E-3</v>
      </c>
      <c r="O56" s="3">
        <f t="shared" si="1"/>
        <v>0.47735972124261083</v>
      </c>
      <c r="P56" s="3">
        <f t="shared" si="2"/>
        <v>0.64508070438190657</v>
      </c>
      <c r="R56" s="3">
        <f t="shared" si="3"/>
        <v>0.47920055634399156</v>
      </c>
      <c r="S56" s="3">
        <f t="shared" si="4"/>
        <v>0.64756831938377235</v>
      </c>
      <c r="U56" s="3"/>
      <c r="V56" s="3"/>
    </row>
    <row r="57" spans="1:22" x14ac:dyDescent="0.3">
      <c r="A57" s="1" t="s">
        <v>13</v>
      </c>
      <c r="B57" s="4">
        <v>12</v>
      </c>
      <c r="C57" s="5">
        <v>4</v>
      </c>
      <c r="D57" s="4">
        <v>79.3</v>
      </c>
      <c r="E57" s="3">
        <v>2.6933292113182881</v>
      </c>
      <c r="F57" s="4">
        <v>20</v>
      </c>
      <c r="G57" s="4">
        <v>34</v>
      </c>
      <c r="H57" s="2">
        <v>1.5193277310924369E-2</v>
      </c>
      <c r="I57" s="3">
        <v>104.52715623525849</v>
      </c>
      <c r="J57" s="3">
        <v>0.17</v>
      </c>
      <c r="K57" s="6">
        <f t="shared" si="0"/>
        <v>5.2263578117629241E-4</v>
      </c>
      <c r="O57" s="3">
        <f t="shared" si="1"/>
        <v>0.12859465654196381</v>
      </c>
      <c r="P57" s="3">
        <f t="shared" si="2"/>
        <v>0.75643915612919888</v>
      </c>
      <c r="R57" s="3">
        <f t="shared" si="3"/>
        <v>0.12589793630724291</v>
      </c>
      <c r="S57" s="3">
        <f t="shared" si="4"/>
        <v>0.74057609592495821</v>
      </c>
      <c r="U57" s="3"/>
      <c r="V57" s="3"/>
    </row>
    <row r="58" spans="1:22" x14ac:dyDescent="0.3">
      <c r="B58" s="4">
        <v>12</v>
      </c>
      <c r="C58" s="5">
        <v>4</v>
      </c>
      <c r="D58" s="4">
        <v>79.3</v>
      </c>
      <c r="E58" s="3">
        <v>2.6933292113182881</v>
      </c>
      <c r="F58" s="4">
        <v>20</v>
      </c>
      <c r="G58" s="4">
        <v>34</v>
      </c>
      <c r="H58" s="2">
        <v>1.5193277310924369E-2</v>
      </c>
      <c r="I58" s="3">
        <v>224.4523975917665</v>
      </c>
      <c r="J58" s="3">
        <v>0.36</v>
      </c>
      <c r="K58" s="6">
        <f t="shared" si="0"/>
        <v>1.1222619879588324E-3</v>
      </c>
      <c r="O58" s="3">
        <f t="shared" si="1"/>
        <v>0.24397820296000317</v>
      </c>
      <c r="P58" s="3">
        <f t="shared" si="2"/>
        <v>0.67771723044445331</v>
      </c>
      <c r="R58" s="3">
        <f t="shared" si="3"/>
        <v>0.24180041306738764</v>
      </c>
      <c r="S58" s="3">
        <f t="shared" si="4"/>
        <v>0.67166781407607679</v>
      </c>
      <c r="U58" s="3"/>
      <c r="V58" s="3"/>
    </row>
    <row r="59" spans="1:22" x14ac:dyDescent="0.3">
      <c r="B59" s="4">
        <v>12</v>
      </c>
      <c r="C59" s="5">
        <v>4</v>
      </c>
      <c r="D59" s="4">
        <v>79.3</v>
      </c>
      <c r="E59" s="3">
        <v>2.6933292113182881</v>
      </c>
      <c r="F59" s="4">
        <v>20</v>
      </c>
      <c r="G59" s="4">
        <v>34</v>
      </c>
      <c r="H59" s="2">
        <v>1.5193277310924369E-2</v>
      </c>
      <c r="I59" s="3">
        <v>344.37763894827469</v>
      </c>
      <c r="J59" s="3">
        <v>0.56000000000000005</v>
      </c>
      <c r="K59" s="6">
        <f t="shared" si="0"/>
        <v>1.7218881947413734E-3</v>
      </c>
      <c r="O59" s="3">
        <f t="shared" si="1"/>
        <v>0.34925625337043192</v>
      </c>
      <c r="P59" s="3">
        <f t="shared" si="2"/>
        <v>0.62367188101862836</v>
      </c>
      <c r="R59" s="3">
        <f t="shared" si="3"/>
        <v>0.34851764617152081</v>
      </c>
      <c r="S59" s="3">
        <f t="shared" si="4"/>
        <v>0.62235293959200144</v>
      </c>
      <c r="U59" s="3"/>
      <c r="V59" s="3"/>
    </row>
    <row r="60" spans="1:22" x14ac:dyDescent="0.3">
      <c r="B60" s="4">
        <v>12</v>
      </c>
      <c r="C60" s="5">
        <v>4</v>
      </c>
      <c r="D60" s="4">
        <v>79.3</v>
      </c>
      <c r="E60" s="3">
        <v>2.6933292113182881</v>
      </c>
      <c r="F60" s="4">
        <v>20</v>
      </c>
      <c r="G60" s="4">
        <v>34</v>
      </c>
      <c r="H60" s="2">
        <v>1.5193277310924369E-2</v>
      </c>
      <c r="I60" s="3">
        <v>500</v>
      </c>
      <c r="J60" s="3">
        <v>0.78</v>
      </c>
      <c r="K60" s="6">
        <f t="shared" si="0"/>
        <v>2.5000000000000001E-3</v>
      </c>
      <c r="O60" s="3">
        <f t="shared" si="1"/>
        <v>0.47735972124261083</v>
      </c>
      <c r="P60" s="3">
        <f t="shared" si="2"/>
        <v>0.61199964261873185</v>
      </c>
      <c r="R60" s="3">
        <f t="shared" si="3"/>
        <v>0.47920055634399156</v>
      </c>
      <c r="S60" s="3">
        <f t="shared" si="4"/>
        <v>0.61435968762050197</v>
      </c>
      <c r="U60" s="3"/>
      <c r="V60" s="3"/>
    </row>
    <row r="61" spans="1:22" x14ac:dyDescent="0.3">
      <c r="A61" s="1" t="s">
        <v>14</v>
      </c>
      <c r="B61" s="4">
        <v>12</v>
      </c>
      <c r="C61" s="5">
        <v>4</v>
      </c>
      <c r="D61" s="4">
        <v>46</v>
      </c>
      <c r="E61" s="3">
        <v>2.6933292113182881</v>
      </c>
      <c r="F61" s="4">
        <v>70</v>
      </c>
      <c r="G61" s="4">
        <v>88</v>
      </c>
      <c r="H61" s="2">
        <v>1.0220067765707051E-2</v>
      </c>
      <c r="I61" s="3">
        <v>108.96343267873223</v>
      </c>
      <c r="J61" s="3">
        <v>0.31</v>
      </c>
      <c r="K61" s="6">
        <f t="shared" si="0"/>
        <v>5.4481716339366119E-4</v>
      </c>
      <c r="O61" s="3">
        <f t="shared" si="1"/>
        <v>0.16362488628139787</v>
      </c>
      <c r="P61" s="3">
        <f t="shared" si="2"/>
        <v>0.52782221381096084</v>
      </c>
      <c r="R61" s="3">
        <f t="shared" si="3"/>
        <v>0.16445613850312432</v>
      </c>
      <c r="S61" s="3">
        <f t="shared" si="4"/>
        <v>0.53050367259072362</v>
      </c>
      <c r="U61" s="3"/>
      <c r="V61" s="3"/>
    </row>
    <row r="62" spans="1:22" x14ac:dyDescent="0.3">
      <c r="B62" s="4">
        <v>12</v>
      </c>
      <c r="C62" s="5">
        <v>4</v>
      </c>
      <c r="D62" s="4">
        <v>46</v>
      </c>
      <c r="E62" s="3">
        <v>2.6933292113182881</v>
      </c>
      <c r="F62" s="4">
        <v>70</v>
      </c>
      <c r="G62" s="4">
        <v>88</v>
      </c>
      <c r="H62" s="2">
        <v>1.0220067765707051E-2</v>
      </c>
      <c r="I62" s="3">
        <v>187.06576571434294</v>
      </c>
      <c r="J62" s="3">
        <v>0.44</v>
      </c>
      <c r="K62" s="6">
        <f t="shared" si="0"/>
        <v>9.3532882857171474E-4</v>
      </c>
      <c r="O62" s="3">
        <f t="shared" si="1"/>
        <v>0.2573589665295114</v>
      </c>
      <c r="P62" s="3">
        <f t="shared" si="2"/>
        <v>0.58490674211252591</v>
      </c>
      <c r="R62" s="3">
        <f t="shared" si="3"/>
        <v>0.26091283963688988</v>
      </c>
      <c r="S62" s="3">
        <f t="shared" si="4"/>
        <v>0.59298372644747699</v>
      </c>
      <c r="U62" s="3"/>
      <c r="V62" s="3"/>
    </row>
    <row r="63" spans="1:22" x14ac:dyDescent="0.3">
      <c r="A63" s="1" t="s">
        <v>15</v>
      </c>
      <c r="B63" s="4">
        <v>12</v>
      </c>
      <c r="C63" s="5">
        <v>4</v>
      </c>
      <c r="D63" s="4">
        <v>46</v>
      </c>
      <c r="E63" s="3">
        <v>2.6933292113182881</v>
      </c>
      <c r="F63" s="4">
        <v>70</v>
      </c>
      <c r="G63" s="4">
        <v>84</v>
      </c>
      <c r="H63" s="2">
        <v>1.0231758789687727E-2</v>
      </c>
      <c r="I63" s="3">
        <v>27.519506117119334</v>
      </c>
      <c r="J63" s="3">
        <v>0.14000000000000001</v>
      </c>
      <c r="K63" s="6">
        <f t="shared" si="0"/>
        <v>1.3759753058559666E-4</v>
      </c>
      <c r="O63" s="3">
        <f t="shared" si="1"/>
        <v>5.1616056746755304E-2</v>
      </c>
      <c r="P63" s="3">
        <f t="shared" si="2"/>
        <v>0.36868611961968073</v>
      </c>
      <c r="R63" s="3">
        <f t="shared" si="3"/>
        <v>5.0742241627263644E-2</v>
      </c>
      <c r="S63" s="3">
        <f t="shared" si="4"/>
        <v>0.36244458305188315</v>
      </c>
      <c r="U63" s="3"/>
      <c r="V63" s="3"/>
    </row>
    <row r="64" spans="1:22" x14ac:dyDescent="0.3">
      <c r="B64" s="4">
        <v>12</v>
      </c>
      <c r="C64" s="5">
        <v>4</v>
      </c>
      <c r="D64" s="4">
        <v>46</v>
      </c>
      <c r="E64" s="3">
        <v>2.6933292113182881</v>
      </c>
      <c r="F64" s="4">
        <v>70</v>
      </c>
      <c r="G64" s="4">
        <v>84</v>
      </c>
      <c r="H64" s="2">
        <v>1.0231758789687727E-2</v>
      </c>
      <c r="I64" s="3">
        <v>104.71116106204354</v>
      </c>
      <c r="J64" s="3">
        <v>0.31</v>
      </c>
      <c r="K64" s="6">
        <f t="shared" si="0"/>
        <v>5.2355580531021769E-4</v>
      </c>
      <c r="O64" s="3">
        <f t="shared" si="1"/>
        <v>0.15816853198871814</v>
      </c>
      <c r="P64" s="3">
        <f t="shared" si="2"/>
        <v>0.51022107093134883</v>
      </c>
      <c r="R64" s="3">
        <f t="shared" si="3"/>
        <v>0.15885121725311238</v>
      </c>
      <c r="S64" s="3">
        <f t="shared" si="4"/>
        <v>0.51242328146165284</v>
      </c>
      <c r="U64" s="3"/>
      <c r="V64" s="3"/>
    </row>
    <row r="65" spans="1:22" x14ac:dyDescent="0.3">
      <c r="B65" s="4">
        <v>12</v>
      </c>
      <c r="C65" s="5">
        <v>4</v>
      </c>
      <c r="D65" s="4">
        <v>46</v>
      </c>
      <c r="E65" s="3">
        <v>2.6933292113182881</v>
      </c>
      <c r="F65" s="4">
        <v>70</v>
      </c>
      <c r="G65" s="4">
        <v>84</v>
      </c>
      <c r="H65" s="2">
        <v>1.0231758789687727E-2</v>
      </c>
      <c r="I65" s="3">
        <v>181.90281600696778</v>
      </c>
      <c r="J65" s="3">
        <v>0.4</v>
      </c>
      <c r="K65" s="6">
        <f t="shared" si="0"/>
        <v>9.0951408003483894E-4</v>
      </c>
      <c r="O65" s="3">
        <f t="shared" si="1"/>
        <v>0.2512530870989485</v>
      </c>
      <c r="P65" s="3">
        <f t="shared" si="2"/>
        <v>0.62813271774737123</v>
      </c>
      <c r="R65" s="3">
        <f t="shared" si="3"/>
        <v>0.25457714575822721</v>
      </c>
      <c r="S65" s="3">
        <f t="shared" si="4"/>
        <v>0.63644286439556796</v>
      </c>
      <c r="U65" s="3"/>
      <c r="V65" s="3"/>
    </row>
    <row r="66" spans="1:22" x14ac:dyDescent="0.3">
      <c r="A66" s="1" t="s">
        <v>16</v>
      </c>
      <c r="B66" s="4">
        <v>12</v>
      </c>
      <c r="C66" s="5">
        <v>4</v>
      </c>
      <c r="D66" s="4">
        <v>46</v>
      </c>
      <c r="E66" s="3">
        <v>2.6933292113182881</v>
      </c>
      <c r="F66" s="4">
        <v>70</v>
      </c>
      <c r="G66" s="4">
        <v>84</v>
      </c>
      <c r="H66" s="2">
        <v>1.0231758789687727E-2</v>
      </c>
      <c r="I66" s="3">
        <v>27.519506117119334</v>
      </c>
      <c r="J66" s="3">
        <v>0.25</v>
      </c>
      <c r="K66" s="6">
        <f t="shared" si="0"/>
        <v>1.3759753058559666E-4</v>
      </c>
      <c r="O66" s="3">
        <f t="shared" si="1"/>
        <v>5.1616056746755304E-2</v>
      </c>
      <c r="P66" s="3">
        <f t="shared" si="2"/>
        <v>0.20646422698702122</v>
      </c>
      <c r="R66" s="3">
        <f t="shared" si="3"/>
        <v>5.0742241627263644E-2</v>
      </c>
      <c r="S66" s="3">
        <f t="shared" si="4"/>
        <v>0.20296896650905458</v>
      </c>
      <c r="U66" s="3"/>
      <c r="V66" s="3"/>
    </row>
    <row r="67" spans="1:22" x14ac:dyDescent="0.3">
      <c r="B67" s="4">
        <v>12</v>
      </c>
      <c r="C67" s="5">
        <v>4</v>
      </c>
      <c r="D67" s="4">
        <v>46</v>
      </c>
      <c r="E67" s="3">
        <v>2.6933292113182881</v>
      </c>
      <c r="F67" s="4">
        <v>70</v>
      </c>
      <c r="G67" s="4">
        <v>84</v>
      </c>
      <c r="H67" s="2">
        <v>1.0231758789687727E-2</v>
      </c>
      <c r="I67" s="3">
        <v>104.71116106204354</v>
      </c>
      <c r="J67" s="3">
        <v>0.44</v>
      </c>
      <c r="K67" s="6">
        <f t="shared" si="0"/>
        <v>5.2355580531021769E-4</v>
      </c>
      <c r="O67" s="3">
        <f t="shared" si="1"/>
        <v>0.15816853198871814</v>
      </c>
      <c r="P67" s="3">
        <f t="shared" si="2"/>
        <v>0.35947393633799574</v>
      </c>
      <c r="R67" s="3">
        <f t="shared" si="3"/>
        <v>0.15885121725311238</v>
      </c>
      <c r="S67" s="3">
        <f t="shared" si="4"/>
        <v>0.3610254937570736</v>
      </c>
      <c r="U67" s="3"/>
      <c r="V67" s="3"/>
    </row>
    <row r="68" spans="1:22" x14ac:dyDescent="0.3">
      <c r="B68" s="4">
        <v>12</v>
      </c>
      <c r="C68" s="5">
        <v>4</v>
      </c>
      <c r="D68" s="4">
        <v>46</v>
      </c>
      <c r="E68" s="3">
        <v>2.6933292113182881</v>
      </c>
      <c r="F68" s="4">
        <v>70</v>
      </c>
      <c r="G68" s="4">
        <v>84</v>
      </c>
      <c r="H68" s="2">
        <v>1.0231758789687727E-2</v>
      </c>
      <c r="I68" s="3">
        <v>181.90281600696778</v>
      </c>
      <c r="J68" s="3">
        <v>0.56000000000000005</v>
      </c>
      <c r="K68" s="6">
        <f t="shared" si="0"/>
        <v>9.0951408003483894E-4</v>
      </c>
      <c r="O68" s="3">
        <f t="shared" si="1"/>
        <v>0.2512530870989485</v>
      </c>
      <c r="P68" s="3">
        <f t="shared" si="2"/>
        <v>0.44866622696240799</v>
      </c>
      <c r="R68" s="3">
        <f t="shared" si="3"/>
        <v>0.25457714575822721</v>
      </c>
      <c r="S68" s="3">
        <f t="shared" si="4"/>
        <v>0.45460204599683424</v>
      </c>
      <c r="U68" s="3"/>
      <c r="V68" s="3"/>
    </row>
    <row r="69" spans="1:22" x14ac:dyDescent="0.3">
      <c r="A69" s="1" t="s">
        <v>17</v>
      </c>
      <c r="B69" s="4">
        <v>25</v>
      </c>
      <c r="C69" s="5">
        <v>4</v>
      </c>
      <c r="D69" s="4">
        <v>62</v>
      </c>
      <c r="E69" s="3">
        <v>2.6933292113182881</v>
      </c>
      <c r="F69" s="4">
        <v>20</v>
      </c>
      <c r="G69" s="4">
        <v>40.5</v>
      </c>
      <c r="H69" s="2">
        <v>5.5421516754850089E-2</v>
      </c>
      <c r="I69" s="3">
        <v>173.78881902899866</v>
      </c>
      <c r="J69" s="3">
        <v>0.23</v>
      </c>
      <c r="K69" s="6">
        <f t="shared" si="0"/>
        <v>8.689440951449933E-4</v>
      </c>
      <c r="O69" s="3">
        <f t="shared" si="1"/>
        <v>0.23278899651165824</v>
      </c>
      <c r="P69" s="3">
        <f t="shared" si="2"/>
        <v>1.0121260717898184</v>
      </c>
      <c r="R69" s="3">
        <f t="shared" si="3"/>
        <v>0.22983824399723454</v>
      </c>
      <c r="S69" s="3">
        <f t="shared" si="4"/>
        <v>0.99929671303145451</v>
      </c>
      <c r="U69" s="3"/>
      <c r="V69" s="3"/>
    </row>
    <row r="70" spans="1:22" x14ac:dyDescent="0.3">
      <c r="B70" s="4">
        <v>25</v>
      </c>
      <c r="C70" s="5">
        <v>4</v>
      </c>
      <c r="D70" s="4">
        <v>62</v>
      </c>
      <c r="E70" s="3">
        <v>2.6933292113182881</v>
      </c>
      <c r="F70" s="4">
        <v>20</v>
      </c>
      <c r="G70" s="4">
        <v>40.5</v>
      </c>
      <c r="H70" s="2">
        <v>5.5421516754850089E-2</v>
      </c>
      <c r="I70" s="3">
        <v>293.9892326254855</v>
      </c>
      <c r="J70" s="3">
        <v>0.35</v>
      </c>
      <c r="K70" s="6">
        <f t="shared" si="0"/>
        <v>1.4699461631274276E-3</v>
      </c>
      <c r="O70" s="3">
        <f t="shared" si="1"/>
        <v>0.36164784939021333</v>
      </c>
      <c r="P70" s="3">
        <f t="shared" si="2"/>
        <v>1.033279569686324</v>
      </c>
      <c r="R70" s="3">
        <f t="shared" si="3"/>
        <v>0.36007974056289921</v>
      </c>
      <c r="S70" s="3">
        <f t="shared" si="4"/>
        <v>1.0287992587511408</v>
      </c>
      <c r="U70" s="3"/>
      <c r="V70" s="3"/>
    </row>
    <row r="71" spans="1:22" x14ac:dyDescent="0.3">
      <c r="B71" s="4">
        <v>25</v>
      </c>
      <c r="C71" s="5">
        <v>4</v>
      </c>
      <c r="D71" s="4">
        <v>62</v>
      </c>
      <c r="E71" s="3">
        <v>2.6933292113182881</v>
      </c>
      <c r="F71" s="4">
        <v>20</v>
      </c>
      <c r="G71" s="4">
        <v>40.5</v>
      </c>
      <c r="H71" s="2">
        <v>5.5421516754850089E-2</v>
      </c>
      <c r="I71" s="3">
        <v>414.1896462219724</v>
      </c>
      <c r="J71" s="3">
        <v>0.49</v>
      </c>
      <c r="K71" s="6">
        <f t="shared" si="0"/>
        <v>2.0709482311098621E-3</v>
      </c>
      <c r="O71" s="3">
        <f t="shared" si="1"/>
        <v>0.481988986531181</v>
      </c>
      <c r="P71" s="3">
        <f t="shared" si="2"/>
        <v>0.98365099292077751</v>
      </c>
      <c r="R71" s="3">
        <f t="shared" si="3"/>
        <v>0.48253831119942275</v>
      </c>
      <c r="S71" s="3">
        <f t="shared" si="4"/>
        <v>0.98477206367229131</v>
      </c>
      <c r="U71" s="3"/>
      <c r="V71" s="3"/>
    </row>
    <row r="72" spans="1:22" x14ac:dyDescent="0.3">
      <c r="B72" s="4">
        <v>25</v>
      </c>
      <c r="C72" s="5">
        <v>4</v>
      </c>
      <c r="D72" s="4">
        <v>62</v>
      </c>
      <c r="E72" s="3">
        <v>2.6933292113182881</v>
      </c>
      <c r="F72" s="4">
        <v>20</v>
      </c>
      <c r="G72" s="4">
        <v>40.5</v>
      </c>
      <c r="H72" s="2">
        <v>5.5421516754850089E-2</v>
      </c>
      <c r="I72" s="3">
        <v>500</v>
      </c>
      <c r="J72" s="3">
        <v>0.67</v>
      </c>
      <c r="K72" s="6">
        <f t="shared" si="0"/>
        <v>2.5000000000000001E-3</v>
      </c>
      <c r="O72" s="3">
        <f t="shared" si="1"/>
        <v>0.56436622693531402</v>
      </c>
      <c r="P72" s="3">
        <f t="shared" si="2"/>
        <v>0.84233765214225964</v>
      </c>
      <c r="R72" s="3">
        <f t="shared" si="3"/>
        <v>0.56671412080287131</v>
      </c>
      <c r="S72" s="3">
        <f t="shared" si="4"/>
        <v>0.84584197134756911</v>
      </c>
      <c r="U72" s="3"/>
      <c r="V72" s="3"/>
    </row>
    <row r="73" spans="1:22" x14ac:dyDescent="0.3">
      <c r="A73" s="1" t="s">
        <v>18</v>
      </c>
      <c r="B73" s="4">
        <v>25</v>
      </c>
      <c r="C73" s="5">
        <v>4</v>
      </c>
      <c r="D73" s="4">
        <v>62</v>
      </c>
      <c r="E73" s="3">
        <v>2.6933292113182881</v>
      </c>
      <c r="F73" s="4">
        <v>20</v>
      </c>
      <c r="G73" s="4">
        <v>40.5</v>
      </c>
      <c r="H73" s="2">
        <v>5.5421516754850089E-2</v>
      </c>
      <c r="I73" s="3">
        <v>173.78881902899866</v>
      </c>
      <c r="J73" s="3">
        <v>0.27</v>
      </c>
      <c r="K73" s="6">
        <f t="shared" si="0"/>
        <v>8.689440951449933E-4</v>
      </c>
      <c r="O73" s="3">
        <f t="shared" si="1"/>
        <v>0.23278899651165824</v>
      </c>
      <c r="P73" s="3">
        <f t="shared" si="2"/>
        <v>0.86218146856169708</v>
      </c>
      <c r="R73" s="3">
        <f t="shared" si="3"/>
        <v>0.22983824399723454</v>
      </c>
      <c r="S73" s="3">
        <f t="shared" si="4"/>
        <v>0.8512527555453131</v>
      </c>
      <c r="U73" s="3"/>
      <c r="V73" s="3"/>
    </row>
    <row r="74" spans="1:22" x14ac:dyDescent="0.3">
      <c r="B74" s="4">
        <v>25</v>
      </c>
      <c r="C74" s="5">
        <v>4</v>
      </c>
      <c r="D74" s="4">
        <v>62</v>
      </c>
      <c r="E74" s="3">
        <v>2.6933292113182881</v>
      </c>
      <c r="F74" s="4">
        <v>20</v>
      </c>
      <c r="G74" s="4">
        <v>40.5</v>
      </c>
      <c r="H74" s="2">
        <v>5.5421516754850089E-2</v>
      </c>
      <c r="I74" s="3">
        <v>293.9892326254855</v>
      </c>
      <c r="J74" s="3">
        <v>0.4</v>
      </c>
      <c r="K74" s="6">
        <f t="shared" si="0"/>
        <v>1.4699461631274276E-3</v>
      </c>
      <c r="O74" s="3">
        <f t="shared" si="1"/>
        <v>0.36164784939021333</v>
      </c>
      <c r="P74" s="3">
        <f t="shared" si="2"/>
        <v>0.90411962347553332</v>
      </c>
      <c r="R74" s="3">
        <f t="shared" si="3"/>
        <v>0.36007974056289921</v>
      </c>
      <c r="S74" s="3">
        <f t="shared" si="4"/>
        <v>0.90019935140724794</v>
      </c>
      <c r="U74" s="3"/>
      <c r="V74" s="3"/>
    </row>
    <row r="75" spans="1:22" x14ac:dyDescent="0.3">
      <c r="B75" s="4">
        <v>25</v>
      </c>
      <c r="C75" s="5">
        <v>4</v>
      </c>
      <c r="D75" s="4">
        <v>62</v>
      </c>
      <c r="E75" s="3">
        <v>2.6933292113182881</v>
      </c>
      <c r="F75" s="4">
        <v>20</v>
      </c>
      <c r="G75" s="4">
        <v>40.5</v>
      </c>
      <c r="H75" s="2">
        <v>5.5421516754850089E-2</v>
      </c>
      <c r="I75" s="3">
        <v>414.1896462219724</v>
      </c>
      <c r="J75" s="3">
        <v>0.53</v>
      </c>
      <c r="K75" s="6">
        <f t="shared" si="0"/>
        <v>2.0709482311098621E-3</v>
      </c>
      <c r="O75" s="3">
        <f t="shared" si="1"/>
        <v>0.481988986531181</v>
      </c>
      <c r="P75" s="3">
        <f t="shared" si="2"/>
        <v>0.90941318213430367</v>
      </c>
      <c r="R75" s="3">
        <f t="shared" si="3"/>
        <v>0.48253831119942275</v>
      </c>
      <c r="S75" s="3">
        <f t="shared" si="4"/>
        <v>0.91044964377249571</v>
      </c>
      <c r="U75" s="3"/>
      <c r="V75" s="3"/>
    </row>
    <row r="76" spans="1:22" x14ac:dyDescent="0.3">
      <c r="B76" s="4">
        <v>25</v>
      </c>
      <c r="C76" s="5">
        <v>4</v>
      </c>
      <c r="D76" s="4">
        <v>62</v>
      </c>
      <c r="E76" s="3">
        <v>2.6933292113182881</v>
      </c>
      <c r="F76" s="4">
        <v>20</v>
      </c>
      <c r="G76" s="4">
        <v>40.5</v>
      </c>
      <c r="H76" s="2">
        <v>5.5421516754850089E-2</v>
      </c>
      <c r="I76" s="3">
        <v>500</v>
      </c>
      <c r="J76" s="3">
        <v>0.72</v>
      </c>
      <c r="K76" s="6">
        <f t="shared" ref="K76:K139" si="5">I76/200000</f>
        <v>2.5000000000000001E-3</v>
      </c>
      <c r="O76" s="3">
        <f t="shared" ref="O76:O139" si="6">$P$2*($P$3*$F76+$P$4*$B76^$P$5*$H76^$P$6)*$K76^$P$7</f>
        <v>0.56436622693531402</v>
      </c>
      <c r="P76" s="3">
        <f t="shared" ref="P76:P139" si="7">O76/$J76</f>
        <v>0.78384198185460285</v>
      </c>
      <c r="R76" s="3">
        <f t="shared" ref="R76:R139" si="8">$S$2*$B76^$S$3*$K76^$S$4*($S$5*$H76^$S$6+$S$7)</f>
        <v>0.56671412080287131</v>
      </c>
      <c r="S76" s="3">
        <f t="shared" ref="S76:S139" si="9">R76/$J76</f>
        <v>0.78710294555954352</v>
      </c>
      <c r="U76" s="3"/>
      <c r="V76" s="3"/>
    </row>
    <row r="77" spans="1:22" x14ac:dyDescent="0.3">
      <c r="A77" s="1" t="s">
        <v>19</v>
      </c>
      <c r="B77" s="4">
        <v>25</v>
      </c>
      <c r="C77" s="5">
        <v>4</v>
      </c>
      <c r="D77" s="4">
        <v>28.7</v>
      </c>
      <c r="E77" s="3">
        <v>2.6933292113182881</v>
      </c>
      <c r="F77" s="4">
        <v>70</v>
      </c>
      <c r="G77" s="4">
        <v>94.5</v>
      </c>
      <c r="H77" s="2">
        <v>5.2620596145749564E-2</v>
      </c>
      <c r="I77" s="3">
        <v>80.821505172038826</v>
      </c>
      <c r="J77" s="3">
        <v>0.3</v>
      </c>
      <c r="K77" s="6">
        <f t="shared" si="5"/>
        <v>4.0410752586019411E-4</v>
      </c>
      <c r="O77" s="3">
        <f t="shared" si="6"/>
        <v>0.12708977184583406</v>
      </c>
      <c r="P77" s="3">
        <f t="shared" si="7"/>
        <v>0.42363257281944688</v>
      </c>
      <c r="R77" s="3">
        <f t="shared" si="8"/>
        <v>0.12244669289719495</v>
      </c>
      <c r="S77" s="3">
        <f t="shared" si="9"/>
        <v>0.40815564299064988</v>
      </c>
      <c r="U77" s="3"/>
      <c r="V77" s="3"/>
    </row>
    <row r="78" spans="1:22" x14ac:dyDescent="0.3">
      <c r="B78" s="4">
        <v>25</v>
      </c>
      <c r="C78" s="5">
        <v>4</v>
      </c>
      <c r="D78" s="4">
        <v>28.7</v>
      </c>
      <c r="E78" s="3">
        <v>2.6933292113182881</v>
      </c>
      <c r="F78" s="4">
        <v>70</v>
      </c>
      <c r="G78" s="4">
        <v>94.5</v>
      </c>
      <c r="H78" s="2">
        <v>5.2620596145749564E-2</v>
      </c>
      <c r="I78" s="3">
        <v>211.1239092178794</v>
      </c>
      <c r="J78" s="3">
        <v>0.56999999999999995</v>
      </c>
      <c r="K78" s="6">
        <f t="shared" si="5"/>
        <v>1.0556195460893971E-3</v>
      </c>
      <c r="O78" s="3">
        <f t="shared" si="6"/>
        <v>0.28416159781379141</v>
      </c>
      <c r="P78" s="3">
        <f t="shared" si="7"/>
        <v>0.49852911897156393</v>
      </c>
      <c r="R78" s="3">
        <f t="shared" si="8"/>
        <v>0.27801870352876989</v>
      </c>
      <c r="S78" s="3">
        <f t="shared" si="9"/>
        <v>0.48775211145398234</v>
      </c>
      <c r="U78" s="3"/>
      <c r="V78" s="3"/>
    </row>
    <row r="79" spans="1:22" x14ac:dyDescent="0.3">
      <c r="A79" s="1" t="s">
        <v>20</v>
      </c>
      <c r="B79" s="4">
        <v>25</v>
      </c>
      <c r="C79" s="5">
        <v>4</v>
      </c>
      <c r="D79" s="4">
        <v>28.7</v>
      </c>
      <c r="E79" s="3">
        <v>2.6933292113182881</v>
      </c>
      <c r="F79" s="4">
        <v>70</v>
      </c>
      <c r="G79" s="4">
        <v>90.5</v>
      </c>
      <c r="H79" s="2">
        <v>5.2767941707515108E-2</v>
      </c>
      <c r="I79" s="3">
        <v>79.47320655089996</v>
      </c>
      <c r="J79" s="3">
        <v>0.26</v>
      </c>
      <c r="K79" s="6">
        <f t="shared" si="5"/>
        <v>3.9736603275449981E-4</v>
      </c>
      <c r="O79" s="3">
        <f t="shared" si="6"/>
        <v>0.12513992992285181</v>
      </c>
      <c r="P79" s="3">
        <f t="shared" si="7"/>
        <v>0.48130742278019922</v>
      </c>
      <c r="R79" s="3">
        <f t="shared" si="8"/>
        <v>0.12054236061637519</v>
      </c>
      <c r="S79" s="3">
        <f t="shared" si="9"/>
        <v>0.46362446390913531</v>
      </c>
      <c r="U79" s="3"/>
      <c r="V79" s="3"/>
    </row>
    <row r="80" spans="1:22" x14ac:dyDescent="0.3">
      <c r="B80" s="4">
        <v>25</v>
      </c>
      <c r="C80" s="5">
        <v>4</v>
      </c>
      <c r="D80" s="4">
        <v>28.7</v>
      </c>
      <c r="E80" s="3">
        <v>2.6933292113182881</v>
      </c>
      <c r="F80" s="4">
        <v>70</v>
      </c>
      <c r="G80" s="4">
        <v>90.5</v>
      </c>
      <c r="H80" s="2">
        <v>5.2767941707515108E-2</v>
      </c>
      <c r="I80" s="3">
        <v>207.90819962893212</v>
      </c>
      <c r="J80" s="3">
        <v>0.6</v>
      </c>
      <c r="K80" s="6">
        <f t="shared" si="5"/>
        <v>1.0395409981446607E-3</v>
      </c>
      <c r="O80" s="3">
        <f t="shared" si="6"/>
        <v>0.28014788379504457</v>
      </c>
      <c r="P80" s="3">
        <f t="shared" si="7"/>
        <v>0.46691313965840764</v>
      </c>
      <c r="R80" s="3">
        <f t="shared" si="8"/>
        <v>0.27403973886292105</v>
      </c>
      <c r="S80" s="3">
        <f t="shared" si="9"/>
        <v>0.45673289810486845</v>
      </c>
      <c r="U80" s="3"/>
      <c r="V80" s="3"/>
    </row>
    <row r="81" spans="1:22" x14ac:dyDescent="0.3">
      <c r="A81" s="1" t="s">
        <v>21</v>
      </c>
      <c r="B81" s="4">
        <v>25</v>
      </c>
      <c r="C81" s="5">
        <v>4</v>
      </c>
      <c r="D81" s="4">
        <v>28.7</v>
      </c>
      <c r="E81" s="3">
        <v>2.6933292113182881</v>
      </c>
      <c r="F81" s="4">
        <v>70</v>
      </c>
      <c r="G81" s="4">
        <v>90.5</v>
      </c>
      <c r="H81" s="2">
        <v>5.2767941707515108E-2</v>
      </c>
      <c r="I81" s="3">
        <v>79.47320655089996</v>
      </c>
      <c r="J81" s="3">
        <v>0.27</v>
      </c>
      <c r="K81" s="6">
        <f t="shared" si="5"/>
        <v>3.9736603275449981E-4</v>
      </c>
      <c r="O81" s="3">
        <f t="shared" si="6"/>
        <v>0.12513992992285181</v>
      </c>
      <c r="P81" s="3">
        <f t="shared" si="7"/>
        <v>0.46348122193648816</v>
      </c>
      <c r="R81" s="3">
        <f t="shared" si="8"/>
        <v>0.12054236061637519</v>
      </c>
      <c r="S81" s="3">
        <f t="shared" si="9"/>
        <v>0.44645318746805623</v>
      </c>
      <c r="U81" s="3"/>
      <c r="V81" s="3"/>
    </row>
    <row r="82" spans="1:22" x14ac:dyDescent="0.3">
      <c r="B82" s="4">
        <v>25</v>
      </c>
      <c r="C82" s="5">
        <v>4</v>
      </c>
      <c r="D82" s="4">
        <v>28.7</v>
      </c>
      <c r="E82" s="3">
        <v>2.6933292113182881</v>
      </c>
      <c r="F82" s="4">
        <v>70</v>
      </c>
      <c r="G82" s="4">
        <v>90.5</v>
      </c>
      <c r="H82" s="2">
        <v>5.2767941707515108E-2</v>
      </c>
      <c r="I82" s="3">
        <v>207.90819962893212</v>
      </c>
      <c r="J82" s="3">
        <v>0.59</v>
      </c>
      <c r="K82" s="6">
        <f t="shared" si="5"/>
        <v>1.0395409981446607E-3</v>
      </c>
      <c r="O82" s="3">
        <f t="shared" si="6"/>
        <v>0.28014788379504457</v>
      </c>
      <c r="P82" s="3">
        <f t="shared" si="7"/>
        <v>0.47482692168651625</v>
      </c>
      <c r="R82" s="3">
        <f t="shared" si="8"/>
        <v>0.27403973886292105</v>
      </c>
      <c r="S82" s="3">
        <f t="shared" si="9"/>
        <v>0.4644741336659679</v>
      </c>
      <c r="U82" s="3"/>
      <c r="V82" s="3"/>
    </row>
    <row r="83" spans="1:22" x14ac:dyDescent="0.3">
      <c r="A83" s="1" t="s">
        <v>22</v>
      </c>
      <c r="B83" s="4">
        <v>9.52</v>
      </c>
      <c r="C83" s="5">
        <v>3</v>
      </c>
      <c r="D83" s="4">
        <v>22.2</v>
      </c>
      <c r="E83" s="3">
        <v>3.5641600019995088</v>
      </c>
      <c r="F83" s="4">
        <v>20.64</v>
      </c>
      <c r="G83" s="4">
        <v>25.4</v>
      </c>
      <c r="H83" s="2">
        <v>3.2448510099947522E-2</v>
      </c>
      <c r="I83" s="3">
        <v>246.11294750254217</v>
      </c>
      <c r="J83" s="3">
        <v>0.15</v>
      </c>
      <c r="K83" s="6">
        <f t="shared" si="5"/>
        <v>1.2305647375127108E-3</v>
      </c>
      <c r="O83" s="3">
        <f t="shared" si="6"/>
        <v>0.14095936594946551</v>
      </c>
      <c r="P83" s="3">
        <f t="shared" si="7"/>
        <v>0.93972910632977014</v>
      </c>
      <c r="R83" s="3">
        <f t="shared" si="8"/>
        <v>0.13266622999610361</v>
      </c>
      <c r="S83" s="3">
        <f t="shared" si="9"/>
        <v>0.88444153330735742</v>
      </c>
      <c r="U83" s="3"/>
      <c r="V83" s="3"/>
    </row>
    <row r="84" spans="1:22" x14ac:dyDescent="0.3">
      <c r="B84" s="4">
        <v>9.52</v>
      </c>
      <c r="C84" s="5">
        <v>3</v>
      </c>
      <c r="D84" s="4">
        <v>22.2</v>
      </c>
      <c r="E84" s="3">
        <v>3.5641600019995088</v>
      </c>
      <c r="F84" s="4">
        <v>20.64</v>
      </c>
      <c r="G84" s="4">
        <v>25.4</v>
      </c>
      <c r="H84" s="2">
        <v>3.2448510099947522E-2</v>
      </c>
      <c r="I84" s="3">
        <v>307.81003856067383</v>
      </c>
      <c r="J84" s="3">
        <v>0.17</v>
      </c>
      <c r="K84" s="6">
        <f t="shared" si="5"/>
        <v>1.5390501928033691E-3</v>
      </c>
      <c r="O84" s="3">
        <f t="shared" si="6"/>
        <v>0.17002165047867376</v>
      </c>
      <c r="P84" s="3">
        <f t="shared" si="7"/>
        <v>1.0001273557569044</v>
      </c>
      <c r="R84" s="3">
        <f t="shared" si="8"/>
        <v>0.16059242315244682</v>
      </c>
      <c r="S84" s="3">
        <f t="shared" si="9"/>
        <v>0.94466131266145181</v>
      </c>
      <c r="U84" s="3"/>
      <c r="V84" s="3"/>
    </row>
    <row r="85" spans="1:22" x14ac:dyDescent="0.3">
      <c r="A85" s="1" t="s">
        <v>23</v>
      </c>
      <c r="B85" s="4">
        <v>12.7</v>
      </c>
      <c r="C85" s="5">
        <v>3</v>
      </c>
      <c r="D85" s="4">
        <v>19.05</v>
      </c>
      <c r="E85" s="3">
        <v>3.9766081638229425</v>
      </c>
      <c r="F85" s="4">
        <v>19.05</v>
      </c>
      <c r="G85" s="4">
        <v>25.4</v>
      </c>
      <c r="H85" s="2">
        <v>6.4212474555939286E-2</v>
      </c>
      <c r="I85" s="3">
        <v>272.94331877332746</v>
      </c>
      <c r="J85" s="3">
        <v>0.15</v>
      </c>
      <c r="K85" s="6">
        <f t="shared" si="5"/>
        <v>1.3647165938666373E-3</v>
      </c>
      <c r="O85" s="3">
        <f t="shared" si="6"/>
        <v>0.15055646315401114</v>
      </c>
      <c r="P85" s="3">
        <f t="shared" si="7"/>
        <v>1.0037097543600744</v>
      </c>
      <c r="R85" s="3">
        <f t="shared" si="8"/>
        <v>0.1452461591198593</v>
      </c>
      <c r="S85" s="3">
        <f t="shared" si="9"/>
        <v>0.96830772746572868</v>
      </c>
      <c r="U85" s="3"/>
      <c r="V85" s="3"/>
    </row>
    <row r="86" spans="1:22" x14ac:dyDescent="0.3">
      <c r="B86" s="4">
        <v>12.7</v>
      </c>
      <c r="C86" s="5">
        <v>3</v>
      </c>
      <c r="D86" s="4">
        <v>19.05</v>
      </c>
      <c r="E86" s="3">
        <v>3.9766081638229425</v>
      </c>
      <c r="F86" s="4">
        <v>19.05</v>
      </c>
      <c r="G86" s="4">
        <v>25.4</v>
      </c>
      <c r="H86" s="2">
        <v>6.4212474555939286E-2</v>
      </c>
      <c r="I86" s="3">
        <v>325.35859300264394</v>
      </c>
      <c r="J86" s="3">
        <v>0.17</v>
      </c>
      <c r="K86" s="6">
        <f t="shared" si="5"/>
        <v>1.6267929650132197E-3</v>
      </c>
      <c r="O86" s="3">
        <f t="shared" si="6"/>
        <v>0.17443364960621688</v>
      </c>
      <c r="P86" s="3">
        <f t="shared" si="7"/>
        <v>1.0260802918012757</v>
      </c>
      <c r="R86" s="3">
        <f t="shared" si="8"/>
        <v>0.1687548088614364</v>
      </c>
      <c r="S86" s="3">
        <f t="shared" si="9"/>
        <v>0.99267534624374343</v>
      </c>
      <c r="U86" s="3"/>
      <c r="V86" s="3"/>
    </row>
    <row r="87" spans="1:22" x14ac:dyDescent="0.3">
      <c r="B87" s="4">
        <v>12.7</v>
      </c>
      <c r="C87" s="5">
        <v>3</v>
      </c>
      <c r="D87" s="4">
        <v>19.05</v>
      </c>
      <c r="E87" s="3">
        <v>3.9766081638229425</v>
      </c>
      <c r="F87" s="4">
        <v>19.05</v>
      </c>
      <c r="G87" s="4">
        <v>25.4</v>
      </c>
      <c r="H87" s="2">
        <v>6.4212474555939286E-2</v>
      </c>
      <c r="I87" s="3">
        <v>399.75446610231916</v>
      </c>
      <c r="J87" s="3">
        <v>0.2</v>
      </c>
      <c r="K87" s="6">
        <f t="shared" si="5"/>
        <v>1.9987723305115957E-3</v>
      </c>
      <c r="O87" s="3">
        <f t="shared" si="6"/>
        <v>0.20728767557158795</v>
      </c>
      <c r="P87" s="3">
        <f t="shared" si="7"/>
        <v>1.0364383778579396</v>
      </c>
      <c r="R87" s="3">
        <f t="shared" si="8"/>
        <v>0.20120106176490793</v>
      </c>
      <c r="S87" s="3">
        <f t="shared" si="9"/>
        <v>1.0060053088245395</v>
      </c>
      <c r="U87" s="3"/>
      <c r="V87" s="3"/>
    </row>
    <row r="88" spans="1:22" x14ac:dyDescent="0.3">
      <c r="A88" s="1" t="s">
        <v>24</v>
      </c>
      <c r="B88" s="4">
        <v>15.9</v>
      </c>
      <c r="C88" s="5">
        <v>3</v>
      </c>
      <c r="D88" s="4">
        <v>15.9</v>
      </c>
      <c r="E88" s="3">
        <v>3.9766081638229425</v>
      </c>
      <c r="F88" s="4">
        <v>17.46</v>
      </c>
      <c r="G88" s="4">
        <v>25.4</v>
      </c>
      <c r="H88" s="2">
        <v>0.10835067563565463</v>
      </c>
      <c r="I88" s="3">
        <v>266.8780737602973</v>
      </c>
      <c r="J88" s="3">
        <v>0.16</v>
      </c>
      <c r="K88" s="6">
        <f t="shared" si="5"/>
        <v>1.3343903688014865E-3</v>
      </c>
      <c r="O88" s="3">
        <f t="shared" si="6"/>
        <v>0.14598075680584238</v>
      </c>
      <c r="P88" s="3">
        <f t="shared" si="7"/>
        <v>0.91237973003651485</v>
      </c>
      <c r="R88" s="3">
        <f t="shared" si="8"/>
        <v>0.14818587249707449</v>
      </c>
      <c r="S88" s="3">
        <f t="shared" si="9"/>
        <v>0.92616170310671553</v>
      </c>
      <c r="U88" s="3"/>
      <c r="V88" s="3"/>
    </row>
    <row r="89" spans="1:22" x14ac:dyDescent="0.3">
      <c r="B89" s="4">
        <v>15.9</v>
      </c>
      <c r="C89" s="5">
        <v>3</v>
      </c>
      <c r="D89" s="4">
        <v>15.9</v>
      </c>
      <c r="E89" s="3">
        <v>3.9766081638229425</v>
      </c>
      <c r="F89" s="4">
        <v>17.46</v>
      </c>
      <c r="G89" s="4">
        <v>25.4</v>
      </c>
      <c r="H89" s="2">
        <v>0.10835067563565463</v>
      </c>
      <c r="I89" s="3">
        <v>368.25371250744291</v>
      </c>
      <c r="J89" s="3">
        <v>0.21</v>
      </c>
      <c r="K89" s="6">
        <f t="shared" si="5"/>
        <v>1.8412685625372146E-3</v>
      </c>
      <c r="O89" s="3">
        <f t="shared" si="6"/>
        <v>0.1911950760614318</v>
      </c>
      <c r="P89" s="3">
        <f t="shared" si="7"/>
        <v>0.91045274314967528</v>
      </c>
      <c r="R89" s="3">
        <f t="shared" si="8"/>
        <v>0.19508561274832875</v>
      </c>
      <c r="S89" s="3">
        <f t="shared" si="9"/>
        <v>0.928979108325375</v>
      </c>
      <c r="U89" s="3"/>
      <c r="V89" s="3"/>
    </row>
    <row r="90" spans="1:22" x14ac:dyDescent="0.3">
      <c r="A90" s="1" t="s">
        <v>25</v>
      </c>
      <c r="B90" s="4">
        <v>16</v>
      </c>
      <c r="C90" s="5">
        <v>2</v>
      </c>
      <c r="D90" s="4">
        <v>138</v>
      </c>
      <c r="E90" s="3">
        <v>3.2689999999999997</v>
      </c>
      <c r="F90" s="4">
        <v>40</v>
      </c>
      <c r="G90" s="4">
        <v>48</v>
      </c>
      <c r="H90" s="2">
        <v>1.7479097888417915E-2</v>
      </c>
      <c r="I90" s="3">
        <v>58.493281029359594</v>
      </c>
      <c r="J90" s="3">
        <v>0.15</v>
      </c>
      <c r="K90" s="6">
        <f t="shared" si="5"/>
        <v>2.9246640514679796E-4</v>
      </c>
      <c r="O90" s="3">
        <f t="shared" si="6"/>
        <v>0.10157243909996448</v>
      </c>
      <c r="P90" s="3">
        <f t="shared" si="7"/>
        <v>0.67714959399976327</v>
      </c>
      <c r="R90" s="3">
        <f t="shared" si="8"/>
        <v>9.8535618139367592E-2</v>
      </c>
      <c r="S90" s="3">
        <f t="shared" si="9"/>
        <v>0.65690412092911732</v>
      </c>
      <c r="U90" s="3"/>
      <c r="V90" s="3"/>
    </row>
    <row r="91" spans="1:22" x14ac:dyDescent="0.3">
      <c r="B91" s="4">
        <v>16</v>
      </c>
      <c r="C91" s="5">
        <v>2</v>
      </c>
      <c r="D91" s="4">
        <v>138</v>
      </c>
      <c r="E91" s="3">
        <v>3.2689999999999997</v>
      </c>
      <c r="F91" s="4">
        <v>40</v>
      </c>
      <c r="G91" s="4">
        <v>48</v>
      </c>
      <c r="H91" s="2">
        <v>1.7479097888417915E-2</v>
      </c>
      <c r="I91" s="3">
        <v>94.658333977830907</v>
      </c>
      <c r="J91" s="3">
        <v>0.2</v>
      </c>
      <c r="K91" s="6">
        <f t="shared" si="5"/>
        <v>4.7329166988915454E-4</v>
      </c>
      <c r="O91" s="3">
        <f t="shared" si="6"/>
        <v>0.15204151544276975</v>
      </c>
      <c r="P91" s="3">
        <f t="shared" si="7"/>
        <v>0.76020757721384868</v>
      </c>
      <c r="R91" s="3">
        <f t="shared" si="8"/>
        <v>0.14863613355841715</v>
      </c>
      <c r="S91" s="3">
        <f t="shared" si="9"/>
        <v>0.74318066779208569</v>
      </c>
      <c r="U91" s="3"/>
      <c r="V91" s="3"/>
    </row>
    <row r="92" spans="1:22" x14ac:dyDescent="0.3">
      <c r="B92" s="4">
        <v>16</v>
      </c>
      <c r="C92" s="5">
        <v>2</v>
      </c>
      <c r="D92" s="4">
        <v>138</v>
      </c>
      <c r="E92" s="3">
        <v>3.2689999999999997</v>
      </c>
      <c r="F92" s="4">
        <v>40</v>
      </c>
      <c r="G92" s="4">
        <v>48</v>
      </c>
      <c r="H92" s="2">
        <v>1.7479097888417915E-2</v>
      </c>
      <c r="I92" s="3">
        <v>132.93604011724216</v>
      </c>
      <c r="J92" s="3">
        <v>0.25</v>
      </c>
      <c r="K92" s="6">
        <f t="shared" si="5"/>
        <v>6.6468020058621079E-4</v>
      </c>
      <c r="O92" s="3">
        <f t="shared" si="6"/>
        <v>0.20209412214753933</v>
      </c>
      <c r="P92" s="3">
        <f t="shared" si="7"/>
        <v>0.80837648859015732</v>
      </c>
      <c r="R92" s="3">
        <f t="shared" si="8"/>
        <v>0.19864408349161311</v>
      </c>
      <c r="S92" s="3">
        <f t="shared" si="9"/>
        <v>0.79457633396645244</v>
      </c>
      <c r="U92" s="3"/>
      <c r="V92" s="3"/>
    </row>
    <row r="93" spans="1:22" x14ac:dyDescent="0.3">
      <c r="B93" s="4">
        <v>16</v>
      </c>
      <c r="C93" s="5">
        <v>2</v>
      </c>
      <c r="D93" s="4">
        <v>138</v>
      </c>
      <c r="E93" s="3">
        <v>3.2689999999999997</v>
      </c>
      <c r="F93" s="4">
        <v>40</v>
      </c>
      <c r="G93" s="4">
        <v>48</v>
      </c>
      <c r="H93" s="2">
        <v>1.7479097888417915E-2</v>
      </c>
      <c r="I93" s="3">
        <v>171.14820223929127</v>
      </c>
      <c r="J93" s="3">
        <v>0.28000000000000003</v>
      </c>
      <c r="K93" s="6">
        <f t="shared" si="5"/>
        <v>8.5574101119645634E-4</v>
      </c>
      <c r="O93" s="3">
        <f t="shared" si="6"/>
        <v>0.24975091629848734</v>
      </c>
      <c r="P93" s="3">
        <f t="shared" si="7"/>
        <v>0.89196755820888329</v>
      </c>
      <c r="R93" s="3">
        <f t="shared" si="8"/>
        <v>0.24648171999840687</v>
      </c>
      <c r="S93" s="3">
        <f t="shared" si="9"/>
        <v>0.88029185713716729</v>
      </c>
      <c r="U93" s="3"/>
      <c r="V93" s="3"/>
    </row>
    <row r="94" spans="1:22" x14ac:dyDescent="0.3">
      <c r="B94" s="4">
        <v>16</v>
      </c>
      <c r="C94" s="5">
        <v>2</v>
      </c>
      <c r="D94" s="4">
        <v>138</v>
      </c>
      <c r="E94" s="3">
        <v>3.2689999999999997</v>
      </c>
      <c r="F94" s="4">
        <v>40</v>
      </c>
      <c r="G94" s="4">
        <v>48</v>
      </c>
      <c r="H94" s="2">
        <v>1.7479097888417915E-2</v>
      </c>
      <c r="I94" s="3">
        <v>209.36036436134049</v>
      </c>
      <c r="J94" s="3">
        <v>0.28000000000000003</v>
      </c>
      <c r="K94" s="6">
        <f t="shared" si="5"/>
        <v>1.0468018218067025E-3</v>
      </c>
      <c r="O94" s="3">
        <f t="shared" si="6"/>
        <v>0.29569952714312503</v>
      </c>
      <c r="P94" s="3">
        <f t="shared" si="7"/>
        <v>1.056069739796875</v>
      </c>
      <c r="R94" s="3">
        <f t="shared" si="8"/>
        <v>0.29277137316911839</v>
      </c>
      <c r="S94" s="3">
        <f t="shared" si="9"/>
        <v>1.0456120470325656</v>
      </c>
      <c r="U94" s="3"/>
      <c r="V94" s="3"/>
    </row>
    <row r="95" spans="1:22" x14ac:dyDescent="0.3">
      <c r="B95" s="4">
        <v>16</v>
      </c>
      <c r="C95" s="5">
        <v>2</v>
      </c>
      <c r="D95" s="4">
        <v>138</v>
      </c>
      <c r="E95" s="3">
        <v>3.2689999999999997</v>
      </c>
      <c r="F95" s="4">
        <v>40</v>
      </c>
      <c r="G95" s="4">
        <v>48</v>
      </c>
      <c r="H95" s="2">
        <v>1.7479097888417915E-2</v>
      </c>
      <c r="I95" s="3">
        <v>247.63807050075155</v>
      </c>
      <c r="J95" s="3">
        <v>0.3</v>
      </c>
      <c r="K95" s="6">
        <f t="shared" si="5"/>
        <v>1.2381903525037579E-3</v>
      </c>
      <c r="O95" s="3">
        <f t="shared" si="6"/>
        <v>0.34037688449491404</v>
      </c>
      <c r="P95" s="3">
        <f t="shared" si="7"/>
        <v>1.1345896149830468</v>
      </c>
      <c r="R95" s="3">
        <f t="shared" si="8"/>
        <v>0.33791292652023591</v>
      </c>
      <c r="S95" s="3">
        <f t="shared" si="9"/>
        <v>1.1263764217341197</v>
      </c>
      <c r="U95" s="3"/>
      <c r="V95" s="3"/>
    </row>
    <row r="96" spans="1:22" x14ac:dyDescent="0.3">
      <c r="B96" s="4">
        <v>16</v>
      </c>
      <c r="C96" s="5">
        <v>2</v>
      </c>
      <c r="D96" s="4">
        <v>138</v>
      </c>
      <c r="E96" s="3">
        <v>3.2689999999999997</v>
      </c>
      <c r="F96" s="4">
        <v>40</v>
      </c>
      <c r="G96" s="4">
        <v>48</v>
      </c>
      <c r="H96" s="2">
        <v>1.7479097888417915E-2</v>
      </c>
      <c r="I96" s="3">
        <v>285.91577664016279</v>
      </c>
      <c r="J96" s="3">
        <v>0.33</v>
      </c>
      <c r="K96" s="6">
        <f t="shared" si="5"/>
        <v>1.4295788832008138E-3</v>
      </c>
      <c r="O96" s="3">
        <f t="shared" si="6"/>
        <v>0.38394464314807913</v>
      </c>
      <c r="P96" s="3">
        <f t="shared" si="7"/>
        <v>1.1634686156002398</v>
      </c>
      <c r="R96" s="3">
        <f t="shared" si="8"/>
        <v>0.38204286278761801</v>
      </c>
      <c r="S96" s="3">
        <f t="shared" si="9"/>
        <v>1.1577056448109637</v>
      </c>
      <c r="U96" s="3"/>
      <c r="V96" s="3"/>
    </row>
    <row r="97" spans="1:22" x14ac:dyDescent="0.3">
      <c r="B97" s="4">
        <v>16</v>
      </c>
      <c r="C97" s="5">
        <v>2</v>
      </c>
      <c r="D97" s="4">
        <v>138</v>
      </c>
      <c r="E97" s="3">
        <v>3.2689999999999997</v>
      </c>
      <c r="F97" s="4">
        <v>40</v>
      </c>
      <c r="G97" s="4">
        <v>48</v>
      </c>
      <c r="H97" s="2">
        <v>1.7479097888417915E-2</v>
      </c>
      <c r="I97" s="3">
        <v>324.06239474485005</v>
      </c>
      <c r="J97" s="3">
        <v>0.33</v>
      </c>
      <c r="K97" s="6">
        <f t="shared" si="5"/>
        <v>1.6203119737242502E-3</v>
      </c>
      <c r="O97" s="3">
        <f t="shared" si="6"/>
        <v>0.42643011333933817</v>
      </c>
      <c r="P97" s="3">
        <f t="shared" si="7"/>
        <v>1.2922124646646611</v>
      </c>
      <c r="R97" s="3">
        <f t="shared" si="8"/>
        <v>0.42516900052016471</v>
      </c>
      <c r="S97" s="3">
        <f t="shared" si="9"/>
        <v>1.2883909106671658</v>
      </c>
      <c r="U97" s="3"/>
      <c r="V97" s="3"/>
    </row>
    <row r="98" spans="1:22" x14ac:dyDescent="0.3">
      <c r="A98" s="1" t="s">
        <v>26</v>
      </c>
      <c r="B98" s="4">
        <v>16</v>
      </c>
      <c r="C98" s="5">
        <v>2</v>
      </c>
      <c r="D98" s="4">
        <v>138</v>
      </c>
      <c r="E98" s="3">
        <v>3.2689999999999997</v>
      </c>
      <c r="F98" s="4">
        <v>40</v>
      </c>
      <c r="G98" s="4">
        <v>48</v>
      </c>
      <c r="H98" s="2">
        <v>1.7479097888417915E-2</v>
      </c>
      <c r="I98" s="3">
        <v>94.658333977830907</v>
      </c>
      <c r="J98" s="3">
        <v>0.15</v>
      </c>
      <c r="K98" s="6">
        <f t="shared" si="5"/>
        <v>4.7329166988915454E-4</v>
      </c>
      <c r="O98" s="3">
        <f t="shared" si="6"/>
        <v>0.15204151544276975</v>
      </c>
      <c r="P98" s="3">
        <f t="shared" si="7"/>
        <v>1.0136101029517983</v>
      </c>
      <c r="R98" s="3">
        <f t="shared" si="8"/>
        <v>0.14863613355841715</v>
      </c>
      <c r="S98" s="3">
        <f t="shared" si="9"/>
        <v>0.99090755705611433</v>
      </c>
      <c r="U98" s="3"/>
      <c r="V98" s="3"/>
    </row>
    <row r="99" spans="1:22" x14ac:dyDescent="0.3">
      <c r="B99" s="4">
        <v>16</v>
      </c>
      <c r="C99" s="5">
        <v>2</v>
      </c>
      <c r="D99" s="4">
        <v>138</v>
      </c>
      <c r="E99" s="3">
        <v>3.2689999999999997</v>
      </c>
      <c r="F99" s="4">
        <v>40</v>
      </c>
      <c r="G99" s="4">
        <v>48</v>
      </c>
      <c r="H99" s="2">
        <v>1.7479097888417915E-2</v>
      </c>
      <c r="I99" s="3">
        <v>132.93604011724216</v>
      </c>
      <c r="J99" s="3">
        <v>0.18</v>
      </c>
      <c r="K99" s="6">
        <f t="shared" si="5"/>
        <v>6.6468020058621079E-4</v>
      </c>
      <c r="O99" s="3">
        <f t="shared" si="6"/>
        <v>0.20209412214753933</v>
      </c>
      <c r="P99" s="3">
        <f t="shared" si="7"/>
        <v>1.1227451230418852</v>
      </c>
      <c r="R99" s="3">
        <f t="shared" si="8"/>
        <v>0.19864408349161311</v>
      </c>
      <c r="S99" s="3">
        <f t="shared" si="9"/>
        <v>1.1035782416200728</v>
      </c>
      <c r="U99" s="3"/>
      <c r="V99" s="3"/>
    </row>
    <row r="100" spans="1:22" x14ac:dyDescent="0.3">
      <c r="B100" s="4">
        <v>16</v>
      </c>
      <c r="C100" s="5">
        <v>2</v>
      </c>
      <c r="D100" s="4">
        <v>138</v>
      </c>
      <c r="E100" s="3">
        <v>3.2689999999999997</v>
      </c>
      <c r="F100" s="4">
        <v>40</v>
      </c>
      <c r="G100" s="4">
        <v>48</v>
      </c>
      <c r="H100" s="2">
        <v>1.7479097888417915E-2</v>
      </c>
      <c r="I100" s="3">
        <v>171.14820223929127</v>
      </c>
      <c r="J100" s="3">
        <v>0.2</v>
      </c>
      <c r="K100" s="6">
        <f t="shared" si="5"/>
        <v>8.5574101119645634E-4</v>
      </c>
      <c r="O100" s="3">
        <f t="shared" si="6"/>
        <v>0.24975091629848734</v>
      </c>
      <c r="P100" s="3">
        <f t="shared" si="7"/>
        <v>1.2487545814924366</v>
      </c>
      <c r="R100" s="3">
        <f t="shared" si="8"/>
        <v>0.24648171999840687</v>
      </c>
      <c r="S100" s="3">
        <f t="shared" si="9"/>
        <v>1.2324085999920342</v>
      </c>
      <c r="U100" s="3"/>
      <c r="V100" s="3"/>
    </row>
    <row r="101" spans="1:22" x14ac:dyDescent="0.3">
      <c r="B101" s="4">
        <v>16</v>
      </c>
      <c r="C101" s="5">
        <v>2</v>
      </c>
      <c r="D101" s="4">
        <v>138</v>
      </c>
      <c r="E101" s="3">
        <v>3.2689999999999997</v>
      </c>
      <c r="F101" s="4">
        <v>40</v>
      </c>
      <c r="G101" s="4">
        <v>48</v>
      </c>
      <c r="H101" s="2">
        <v>1.7479097888417915E-2</v>
      </c>
      <c r="I101" s="3">
        <v>209.36036436134049</v>
      </c>
      <c r="J101" s="3">
        <v>0.25</v>
      </c>
      <c r="K101" s="6">
        <f t="shared" si="5"/>
        <v>1.0468018218067025E-3</v>
      </c>
      <c r="O101" s="3">
        <f t="shared" si="6"/>
        <v>0.29569952714312503</v>
      </c>
      <c r="P101" s="3">
        <f t="shared" si="7"/>
        <v>1.1827981085725001</v>
      </c>
      <c r="R101" s="3">
        <f t="shared" si="8"/>
        <v>0.29277137316911839</v>
      </c>
      <c r="S101" s="3">
        <f t="shared" si="9"/>
        <v>1.1710854926764735</v>
      </c>
      <c r="U101" s="3"/>
      <c r="V101" s="3"/>
    </row>
    <row r="102" spans="1:22" x14ac:dyDescent="0.3">
      <c r="B102" s="4">
        <v>16</v>
      </c>
      <c r="C102" s="5">
        <v>2</v>
      </c>
      <c r="D102" s="4">
        <v>138</v>
      </c>
      <c r="E102" s="3">
        <v>3.2689999999999997</v>
      </c>
      <c r="F102" s="4">
        <v>40</v>
      </c>
      <c r="G102" s="4">
        <v>48</v>
      </c>
      <c r="H102" s="2">
        <v>1.7479097888417915E-2</v>
      </c>
      <c r="I102" s="3">
        <v>247.63807050075155</v>
      </c>
      <c r="J102" s="3">
        <v>0.3</v>
      </c>
      <c r="K102" s="6">
        <f t="shared" si="5"/>
        <v>1.2381903525037579E-3</v>
      </c>
      <c r="O102" s="3">
        <f t="shared" si="6"/>
        <v>0.34037688449491404</v>
      </c>
      <c r="P102" s="3">
        <f t="shared" si="7"/>
        <v>1.1345896149830468</v>
      </c>
      <c r="R102" s="3">
        <f t="shared" si="8"/>
        <v>0.33791292652023591</v>
      </c>
      <c r="S102" s="3">
        <f t="shared" si="9"/>
        <v>1.1263764217341197</v>
      </c>
      <c r="U102" s="3"/>
      <c r="V102" s="3"/>
    </row>
    <row r="103" spans="1:22" x14ac:dyDescent="0.3">
      <c r="B103" s="4">
        <v>16</v>
      </c>
      <c r="C103" s="5">
        <v>2</v>
      </c>
      <c r="D103" s="4">
        <v>138</v>
      </c>
      <c r="E103" s="3">
        <v>3.2689999999999997</v>
      </c>
      <c r="F103" s="4">
        <v>40</v>
      </c>
      <c r="G103" s="4">
        <v>48</v>
      </c>
      <c r="H103" s="2">
        <v>1.7479097888417915E-2</v>
      </c>
      <c r="I103" s="3">
        <v>285.91577664016279</v>
      </c>
      <c r="J103" s="3">
        <v>0.33</v>
      </c>
      <c r="K103" s="6">
        <f t="shared" si="5"/>
        <v>1.4295788832008138E-3</v>
      </c>
      <c r="O103" s="3">
        <f t="shared" si="6"/>
        <v>0.38394464314807913</v>
      </c>
      <c r="P103" s="3">
        <f t="shared" si="7"/>
        <v>1.1634686156002398</v>
      </c>
      <c r="R103" s="3">
        <f t="shared" si="8"/>
        <v>0.38204286278761801</v>
      </c>
      <c r="S103" s="3">
        <f t="shared" si="9"/>
        <v>1.1577056448109637</v>
      </c>
      <c r="U103" s="3"/>
      <c r="V103" s="3"/>
    </row>
    <row r="104" spans="1:22" x14ac:dyDescent="0.3">
      <c r="B104" s="4">
        <v>16</v>
      </c>
      <c r="C104" s="5">
        <v>2</v>
      </c>
      <c r="D104" s="4">
        <v>138</v>
      </c>
      <c r="E104" s="3">
        <v>3.2689999999999997</v>
      </c>
      <c r="F104" s="4">
        <v>40</v>
      </c>
      <c r="G104" s="4">
        <v>48</v>
      </c>
      <c r="H104" s="2">
        <v>1.7479097888417915E-2</v>
      </c>
      <c r="I104" s="3">
        <v>324.06239474485005</v>
      </c>
      <c r="J104" s="3">
        <v>0.38</v>
      </c>
      <c r="K104" s="6">
        <f t="shared" si="5"/>
        <v>1.6203119737242502E-3</v>
      </c>
      <c r="O104" s="3">
        <f t="shared" si="6"/>
        <v>0.42643011333933817</v>
      </c>
      <c r="P104" s="3">
        <f t="shared" si="7"/>
        <v>1.122184508787732</v>
      </c>
      <c r="R104" s="3">
        <f t="shared" si="8"/>
        <v>0.42516900052016471</v>
      </c>
      <c r="S104" s="3">
        <f t="shared" si="9"/>
        <v>1.1188657908425388</v>
      </c>
      <c r="U104" s="3"/>
      <c r="V104" s="3"/>
    </row>
    <row r="105" spans="1:22" x14ac:dyDescent="0.3">
      <c r="A105" s="1" t="s">
        <v>27</v>
      </c>
      <c r="B105" s="4">
        <v>16</v>
      </c>
      <c r="C105" s="5">
        <v>2</v>
      </c>
      <c r="D105" s="4">
        <v>168</v>
      </c>
      <c r="E105" s="3">
        <v>3.2689999999999997</v>
      </c>
      <c r="F105" s="4">
        <v>25</v>
      </c>
      <c r="G105" s="4">
        <v>33</v>
      </c>
      <c r="H105" s="2">
        <v>1.9393939393939394E-2</v>
      </c>
      <c r="I105" s="3">
        <v>104.8924918984913</v>
      </c>
      <c r="J105" s="3">
        <v>0.15</v>
      </c>
      <c r="K105" s="6">
        <f t="shared" si="5"/>
        <v>5.2446245949245652E-4</v>
      </c>
      <c r="O105" s="3">
        <f t="shared" si="6"/>
        <v>0.1569496445763516</v>
      </c>
      <c r="P105" s="3">
        <f t="shared" si="7"/>
        <v>1.0463309638423441</v>
      </c>
      <c r="R105" s="3">
        <f t="shared" si="8"/>
        <v>0.15309468516342184</v>
      </c>
      <c r="S105" s="3">
        <f t="shared" si="9"/>
        <v>1.0206312344228123</v>
      </c>
      <c r="U105" s="3"/>
      <c r="V105" s="3"/>
    </row>
    <row r="106" spans="1:22" x14ac:dyDescent="0.3">
      <c r="B106" s="4">
        <v>16</v>
      </c>
      <c r="C106" s="5">
        <v>2</v>
      </c>
      <c r="D106" s="4">
        <v>168</v>
      </c>
      <c r="E106" s="3">
        <v>3.2689999999999997</v>
      </c>
      <c r="F106" s="4">
        <v>25</v>
      </c>
      <c r="G106" s="4">
        <v>33</v>
      </c>
      <c r="H106" s="2">
        <v>1.9393939393939394E-2</v>
      </c>
      <c r="I106" s="3">
        <v>142.14038991546758</v>
      </c>
      <c r="J106" s="3">
        <v>0.18</v>
      </c>
      <c r="K106" s="6">
        <f t="shared" si="5"/>
        <v>7.1070194957733787E-4</v>
      </c>
      <c r="O106" s="3">
        <f t="shared" si="6"/>
        <v>0.20246678838149726</v>
      </c>
      <c r="P106" s="3">
        <f t="shared" si="7"/>
        <v>1.1248154910083181</v>
      </c>
      <c r="R106" s="3">
        <f t="shared" si="8"/>
        <v>0.19845641461837424</v>
      </c>
      <c r="S106" s="3">
        <f t="shared" si="9"/>
        <v>1.1025356367687458</v>
      </c>
      <c r="U106" s="3"/>
      <c r="V106" s="3"/>
    </row>
    <row r="107" spans="1:22" x14ac:dyDescent="0.3">
      <c r="B107" s="4">
        <v>16</v>
      </c>
      <c r="C107" s="5">
        <v>2</v>
      </c>
      <c r="D107" s="4">
        <v>168</v>
      </c>
      <c r="E107" s="3">
        <v>3.2689999999999997</v>
      </c>
      <c r="F107" s="4">
        <v>25</v>
      </c>
      <c r="G107" s="4">
        <v>33</v>
      </c>
      <c r="H107" s="2">
        <v>1.9393939393939394E-2</v>
      </c>
      <c r="I107" s="3">
        <v>179.32450728515454</v>
      </c>
      <c r="J107" s="3">
        <v>0.2</v>
      </c>
      <c r="K107" s="6">
        <f t="shared" si="5"/>
        <v>8.9662253642577275E-4</v>
      </c>
      <c r="O107" s="3">
        <f t="shared" si="6"/>
        <v>0.24599515324195492</v>
      </c>
      <c r="P107" s="3">
        <f t="shared" si="7"/>
        <v>1.2299757662097746</v>
      </c>
      <c r="R107" s="3">
        <f t="shared" si="8"/>
        <v>0.24202077748671186</v>
      </c>
      <c r="S107" s="3">
        <f t="shared" si="9"/>
        <v>1.2101038874335592</v>
      </c>
      <c r="U107" s="3"/>
      <c r="V107" s="3"/>
    </row>
    <row r="108" spans="1:22" x14ac:dyDescent="0.3">
      <c r="B108" s="4">
        <v>16</v>
      </c>
      <c r="C108" s="5">
        <v>2</v>
      </c>
      <c r="D108" s="4">
        <v>168</v>
      </c>
      <c r="E108" s="3">
        <v>3.2689999999999997</v>
      </c>
      <c r="F108" s="4">
        <v>25</v>
      </c>
      <c r="G108" s="4">
        <v>33</v>
      </c>
      <c r="H108" s="2">
        <v>1.9393939393939394E-2</v>
      </c>
      <c r="I108" s="3">
        <v>216.50862465484153</v>
      </c>
      <c r="J108" s="3">
        <v>0.23</v>
      </c>
      <c r="K108" s="6">
        <f t="shared" si="5"/>
        <v>1.0825431232742077E-3</v>
      </c>
      <c r="O108" s="3">
        <f t="shared" si="6"/>
        <v>0.28807445273424354</v>
      </c>
      <c r="P108" s="3">
        <f t="shared" si="7"/>
        <v>1.2524976205836675</v>
      </c>
      <c r="R108" s="3">
        <f t="shared" si="8"/>
        <v>0.28427601295954269</v>
      </c>
      <c r="S108" s="3">
        <f t="shared" si="9"/>
        <v>1.2359826650414898</v>
      </c>
      <c r="U108" s="3"/>
      <c r="V108" s="3"/>
    </row>
    <row r="109" spans="1:22" x14ac:dyDescent="0.3">
      <c r="B109" s="4">
        <v>16</v>
      </c>
      <c r="C109" s="5">
        <v>2</v>
      </c>
      <c r="D109" s="4">
        <v>168</v>
      </c>
      <c r="E109" s="3">
        <v>3.2689999999999997</v>
      </c>
      <c r="F109" s="4">
        <v>25</v>
      </c>
      <c r="G109" s="4">
        <v>33</v>
      </c>
      <c r="H109" s="2">
        <v>1.9393939393939394E-2</v>
      </c>
      <c r="I109" s="3">
        <v>253.75652267181783</v>
      </c>
      <c r="J109" s="3">
        <v>0.25</v>
      </c>
      <c r="K109" s="6">
        <f t="shared" si="5"/>
        <v>1.2687826133590892E-3</v>
      </c>
      <c r="O109" s="3">
        <f t="shared" si="6"/>
        <v>0.32906231789622203</v>
      </c>
      <c r="P109" s="3">
        <f t="shared" si="7"/>
        <v>1.3162492715848881</v>
      </c>
      <c r="R109" s="3">
        <f t="shared" si="8"/>
        <v>0.32554924684736375</v>
      </c>
      <c r="S109" s="3">
        <f t="shared" si="9"/>
        <v>1.302196987389455</v>
      </c>
      <c r="U109" s="3"/>
      <c r="V109" s="3"/>
    </row>
    <row r="110" spans="1:22" x14ac:dyDescent="0.3">
      <c r="B110" s="4">
        <v>16</v>
      </c>
      <c r="C110" s="5">
        <v>2</v>
      </c>
      <c r="D110" s="4">
        <v>168</v>
      </c>
      <c r="E110" s="3">
        <v>3.2689999999999997</v>
      </c>
      <c r="F110" s="4">
        <v>25</v>
      </c>
      <c r="G110" s="4">
        <v>33</v>
      </c>
      <c r="H110" s="2">
        <v>1.9393939393939394E-2</v>
      </c>
      <c r="I110" s="3">
        <v>291.00442068879414</v>
      </c>
      <c r="J110" s="3">
        <v>0.3</v>
      </c>
      <c r="K110" s="6">
        <f t="shared" si="5"/>
        <v>1.4550221034439707E-3</v>
      </c>
      <c r="O110" s="3">
        <f t="shared" si="6"/>
        <v>0.36908328753320008</v>
      </c>
      <c r="P110" s="3">
        <f t="shared" si="7"/>
        <v>1.2302776251106671</v>
      </c>
      <c r="R110" s="3">
        <f t="shared" si="8"/>
        <v>0.36594400829307389</v>
      </c>
      <c r="S110" s="3">
        <f t="shared" si="9"/>
        <v>1.2198133609769131</v>
      </c>
      <c r="U110" s="3"/>
      <c r="V110" s="3"/>
    </row>
    <row r="111" spans="1:22" x14ac:dyDescent="0.3">
      <c r="B111" s="4">
        <v>16</v>
      </c>
      <c r="C111" s="5">
        <v>2</v>
      </c>
      <c r="D111" s="4">
        <v>168</v>
      </c>
      <c r="E111" s="3">
        <v>3.2689999999999997</v>
      </c>
      <c r="F111" s="4">
        <v>25</v>
      </c>
      <c r="G111" s="4">
        <v>33</v>
      </c>
      <c r="H111" s="2">
        <v>1.9393939393939394E-2</v>
      </c>
      <c r="I111" s="3">
        <v>328.12475741119187</v>
      </c>
      <c r="J111" s="3">
        <v>0.3</v>
      </c>
      <c r="K111" s="6">
        <f t="shared" si="5"/>
        <v>1.6406237870559594E-3</v>
      </c>
      <c r="O111" s="3">
        <f t="shared" si="6"/>
        <v>0.40814756383327627</v>
      </c>
      <c r="P111" s="3">
        <f t="shared" si="7"/>
        <v>1.3604918794442542</v>
      </c>
      <c r="R111" s="3">
        <f t="shared" si="8"/>
        <v>0.40545410297407058</v>
      </c>
      <c r="S111" s="3">
        <f t="shared" si="9"/>
        <v>1.3515136765802354</v>
      </c>
      <c r="U111" s="3"/>
      <c r="V111" s="3"/>
    </row>
    <row r="112" spans="1:22" x14ac:dyDescent="0.3">
      <c r="A112" s="1" t="s">
        <v>28</v>
      </c>
      <c r="B112" s="4">
        <v>16</v>
      </c>
      <c r="C112" s="5">
        <v>2</v>
      </c>
      <c r="D112" s="4">
        <v>168</v>
      </c>
      <c r="E112" s="3">
        <v>3.2689999999999997</v>
      </c>
      <c r="F112" s="4">
        <v>25</v>
      </c>
      <c r="G112" s="4">
        <v>33</v>
      </c>
      <c r="H112" s="2">
        <v>1.9393939393939394E-2</v>
      </c>
      <c r="I112" s="3">
        <v>69.572622681268641</v>
      </c>
      <c r="J112" s="3">
        <v>0.15</v>
      </c>
      <c r="K112" s="6">
        <f t="shared" si="5"/>
        <v>3.4786311340634319E-4</v>
      </c>
      <c r="O112" s="3">
        <f t="shared" si="6"/>
        <v>0.11126021257443759</v>
      </c>
      <c r="P112" s="3">
        <f t="shared" si="7"/>
        <v>0.74173475049625059</v>
      </c>
      <c r="R112" s="3">
        <f t="shared" si="8"/>
        <v>0.1078168815616742</v>
      </c>
      <c r="S112" s="3">
        <f t="shared" si="9"/>
        <v>0.71877921041116133</v>
      </c>
      <c r="U112" s="3"/>
      <c r="V112" s="3"/>
    </row>
    <row r="113" spans="1:22" x14ac:dyDescent="0.3">
      <c r="B113" s="4">
        <v>16</v>
      </c>
      <c r="C113" s="5">
        <v>2</v>
      </c>
      <c r="D113" s="4">
        <v>168</v>
      </c>
      <c r="E113" s="3">
        <v>3.2689999999999997</v>
      </c>
      <c r="F113" s="4">
        <v>25</v>
      </c>
      <c r="G113" s="4">
        <v>33</v>
      </c>
      <c r="H113" s="2">
        <v>1.9393939393939394E-2</v>
      </c>
      <c r="I113" s="3">
        <v>104.8924918984913</v>
      </c>
      <c r="J113" s="3">
        <v>0.18</v>
      </c>
      <c r="K113" s="6">
        <f t="shared" si="5"/>
        <v>5.2446245949245652E-4</v>
      </c>
      <c r="O113" s="3">
        <f t="shared" si="6"/>
        <v>0.1569496445763516</v>
      </c>
      <c r="P113" s="3">
        <f t="shared" si="7"/>
        <v>0.87194246986862001</v>
      </c>
      <c r="R113" s="3">
        <f t="shared" si="8"/>
        <v>0.15309468516342184</v>
      </c>
      <c r="S113" s="3">
        <f t="shared" si="9"/>
        <v>0.85052602868567695</v>
      </c>
      <c r="U113" s="3"/>
      <c r="V113" s="3"/>
    </row>
    <row r="114" spans="1:22" x14ac:dyDescent="0.3">
      <c r="B114" s="4">
        <v>16</v>
      </c>
      <c r="C114" s="5">
        <v>2</v>
      </c>
      <c r="D114" s="4">
        <v>168</v>
      </c>
      <c r="E114" s="3">
        <v>3.2689999999999997</v>
      </c>
      <c r="F114" s="4">
        <v>25</v>
      </c>
      <c r="G114" s="4">
        <v>33</v>
      </c>
      <c r="H114" s="2">
        <v>1.9393939393939394E-2</v>
      </c>
      <c r="I114" s="3">
        <v>142.14038991546758</v>
      </c>
      <c r="J114" s="3">
        <v>0.18</v>
      </c>
      <c r="K114" s="6">
        <f t="shared" si="5"/>
        <v>7.1070194957733787E-4</v>
      </c>
      <c r="O114" s="3">
        <f t="shared" si="6"/>
        <v>0.20246678838149726</v>
      </c>
      <c r="P114" s="3">
        <f t="shared" si="7"/>
        <v>1.1248154910083181</v>
      </c>
      <c r="R114" s="3">
        <f t="shared" si="8"/>
        <v>0.19845641461837424</v>
      </c>
      <c r="S114" s="3">
        <f t="shared" si="9"/>
        <v>1.1025356367687458</v>
      </c>
      <c r="U114" s="3"/>
      <c r="V114" s="3"/>
    </row>
    <row r="115" spans="1:22" x14ac:dyDescent="0.3">
      <c r="B115" s="4">
        <v>16</v>
      </c>
      <c r="C115" s="5">
        <v>2</v>
      </c>
      <c r="D115" s="4">
        <v>168</v>
      </c>
      <c r="E115" s="3">
        <v>3.2689999999999997</v>
      </c>
      <c r="F115" s="4">
        <v>25</v>
      </c>
      <c r="G115" s="4">
        <v>33</v>
      </c>
      <c r="H115" s="2">
        <v>1.9393939393939394E-2</v>
      </c>
      <c r="I115" s="3">
        <v>179.32450728515454</v>
      </c>
      <c r="J115" s="3">
        <v>0.25</v>
      </c>
      <c r="K115" s="6">
        <f t="shared" si="5"/>
        <v>8.9662253642577275E-4</v>
      </c>
      <c r="O115" s="3">
        <f t="shared" si="6"/>
        <v>0.24599515324195492</v>
      </c>
      <c r="P115" s="3">
        <f t="shared" si="7"/>
        <v>0.98398061296781969</v>
      </c>
      <c r="R115" s="3">
        <f t="shared" si="8"/>
        <v>0.24202077748671186</v>
      </c>
      <c r="S115" s="3">
        <f t="shared" si="9"/>
        <v>0.96808310994684743</v>
      </c>
      <c r="U115" s="3"/>
      <c r="V115" s="3"/>
    </row>
    <row r="116" spans="1:22" x14ac:dyDescent="0.3">
      <c r="B116" s="4">
        <v>16</v>
      </c>
      <c r="C116" s="5">
        <v>2</v>
      </c>
      <c r="D116" s="4">
        <v>168</v>
      </c>
      <c r="E116" s="3">
        <v>3.2689999999999997</v>
      </c>
      <c r="F116" s="4">
        <v>25</v>
      </c>
      <c r="G116" s="4">
        <v>33</v>
      </c>
      <c r="H116" s="2">
        <v>1.9393939393939394E-2</v>
      </c>
      <c r="I116" s="3">
        <v>216.50862465484153</v>
      </c>
      <c r="J116" s="3">
        <v>0.28000000000000003</v>
      </c>
      <c r="K116" s="6">
        <f t="shared" si="5"/>
        <v>1.0825431232742077E-3</v>
      </c>
      <c r="O116" s="3">
        <f t="shared" si="6"/>
        <v>0.28807445273424354</v>
      </c>
      <c r="P116" s="3">
        <f t="shared" si="7"/>
        <v>1.0288373311937269</v>
      </c>
      <c r="R116" s="3">
        <f t="shared" si="8"/>
        <v>0.28427601295954269</v>
      </c>
      <c r="S116" s="3">
        <f t="shared" si="9"/>
        <v>1.0152714748555096</v>
      </c>
      <c r="U116" s="3"/>
      <c r="V116" s="3"/>
    </row>
    <row r="117" spans="1:22" x14ac:dyDescent="0.3">
      <c r="B117" s="4">
        <v>16</v>
      </c>
      <c r="C117" s="5">
        <v>2</v>
      </c>
      <c r="D117" s="4">
        <v>168</v>
      </c>
      <c r="E117" s="3">
        <v>3.2689999999999997</v>
      </c>
      <c r="F117" s="4">
        <v>25</v>
      </c>
      <c r="G117" s="4">
        <v>33</v>
      </c>
      <c r="H117" s="2">
        <v>1.9393939393939394E-2</v>
      </c>
      <c r="I117" s="3">
        <v>253.75652267181783</v>
      </c>
      <c r="J117" s="3">
        <v>0.33</v>
      </c>
      <c r="K117" s="6">
        <f t="shared" si="5"/>
        <v>1.2687826133590892E-3</v>
      </c>
      <c r="O117" s="3">
        <f t="shared" si="6"/>
        <v>0.32906231789622203</v>
      </c>
      <c r="P117" s="3">
        <f t="shared" si="7"/>
        <v>0.99715853907946062</v>
      </c>
      <c r="R117" s="3">
        <f t="shared" si="8"/>
        <v>0.32554924684736375</v>
      </c>
      <c r="S117" s="3">
        <f t="shared" si="9"/>
        <v>0.9865128692344356</v>
      </c>
      <c r="U117" s="3"/>
      <c r="V117" s="3"/>
    </row>
    <row r="118" spans="1:22" x14ac:dyDescent="0.3">
      <c r="B118" s="4">
        <v>16</v>
      </c>
      <c r="C118" s="5">
        <v>2</v>
      </c>
      <c r="D118" s="4">
        <v>168</v>
      </c>
      <c r="E118" s="3">
        <v>3.2689999999999997</v>
      </c>
      <c r="F118" s="4">
        <v>25</v>
      </c>
      <c r="G118" s="4">
        <v>33</v>
      </c>
      <c r="H118" s="2">
        <v>1.9393939393939394E-2</v>
      </c>
      <c r="I118" s="3">
        <v>291.00442068879414</v>
      </c>
      <c r="J118" s="3">
        <v>0.38</v>
      </c>
      <c r="K118" s="6">
        <f t="shared" si="5"/>
        <v>1.4550221034439707E-3</v>
      </c>
      <c r="O118" s="3">
        <f t="shared" si="6"/>
        <v>0.36908328753320008</v>
      </c>
      <c r="P118" s="3">
        <f t="shared" si="7"/>
        <v>0.97127180929789492</v>
      </c>
      <c r="R118" s="3">
        <f t="shared" si="8"/>
        <v>0.36594400829307389</v>
      </c>
      <c r="S118" s="3">
        <f t="shared" si="9"/>
        <v>0.96301054813966813</v>
      </c>
      <c r="U118" s="3"/>
      <c r="V118" s="3"/>
    </row>
    <row r="119" spans="1:22" x14ac:dyDescent="0.3">
      <c r="B119" s="4">
        <v>16</v>
      </c>
      <c r="C119" s="5">
        <v>2</v>
      </c>
      <c r="D119" s="4">
        <v>168</v>
      </c>
      <c r="E119" s="3">
        <v>3.2689999999999997</v>
      </c>
      <c r="F119" s="4">
        <v>25</v>
      </c>
      <c r="G119" s="4">
        <v>33</v>
      </c>
      <c r="H119" s="2">
        <v>1.9393939393939394E-2</v>
      </c>
      <c r="I119" s="3">
        <v>328.12475741119187</v>
      </c>
      <c r="J119" s="3">
        <v>0.43</v>
      </c>
      <c r="K119" s="6">
        <f t="shared" si="5"/>
        <v>1.6406237870559594E-3</v>
      </c>
      <c r="O119" s="3">
        <f t="shared" si="6"/>
        <v>0.40814756383327627</v>
      </c>
      <c r="P119" s="3">
        <f t="shared" si="7"/>
        <v>0.94918038100761926</v>
      </c>
      <c r="R119" s="3">
        <f t="shared" si="8"/>
        <v>0.40545410297407058</v>
      </c>
      <c r="S119" s="3">
        <f t="shared" si="9"/>
        <v>0.94291651854435021</v>
      </c>
      <c r="U119" s="3"/>
      <c r="V119" s="3"/>
    </row>
    <row r="120" spans="1:22" x14ac:dyDescent="0.3">
      <c r="A120" s="1" t="s">
        <v>29</v>
      </c>
      <c r="B120" s="4">
        <v>16</v>
      </c>
      <c r="C120" s="5">
        <v>3</v>
      </c>
      <c r="D120" s="4">
        <v>76</v>
      </c>
      <c r="E120" s="3">
        <v>3.2689999999999997</v>
      </c>
      <c r="F120" s="4">
        <v>25</v>
      </c>
      <c r="G120" s="4">
        <v>33</v>
      </c>
      <c r="H120" s="2">
        <v>2.9281922513849066E-2</v>
      </c>
      <c r="I120" s="3">
        <v>164.13760009693152</v>
      </c>
      <c r="J120" s="3">
        <v>0.15</v>
      </c>
      <c r="K120" s="6">
        <f t="shared" si="5"/>
        <v>8.2068800048465764E-4</v>
      </c>
      <c r="O120" s="3">
        <f t="shared" si="6"/>
        <v>0.18649999595344458</v>
      </c>
      <c r="P120" s="3">
        <f t="shared" si="7"/>
        <v>1.2433333063562972</v>
      </c>
      <c r="R120" s="3">
        <f t="shared" si="8"/>
        <v>0.1796767258687933</v>
      </c>
      <c r="S120" s="3">
        <f t="shared" si="9"/>
        <v>1.1978448391252887</v>
      </c>
      <c r="U120" s="3"/>
      <c r="V120" s="3"/>
    </row>
    <row r="121" spans="1:22" x14ac:dyDescent="0.3">
      <c r="B121" s="4">
        <v>16</v>
      </c>
      <c r="C121" s="5">
        <v>3</v>
      </c>
      <c r="D121" s="4">
        <v>76</v>
      </c>
      <c r="E121" s="3">
        <v>3.2689999999999997</v>
      </c>
      <c r="F121" s="4">
        <v>25</v>
      </c>
      <c r="G121" s="4">
        <v>33</v>
      </c>
      <c r="H121" s="2">
        <v>2.9281922513849066E-2</v>
      </c>
      <c r="I121" s="3">
        <v>187.15784074170205</v>
      </c>
      <c r="J121" s="3">
        <v>0.18</v>
      </c>
      <c r="K121" s="6">
        <f t="shared" si="5"/>
        <v>9.3578920370851026E-4</v>
      </c>
      <c r="O121" s="3">
        <f t="shared" si="6"/>
        <v>0.20818276971134519</v>
      </c>
      <c r="P121" s="3">
        <f t="shared" si="7"/>
        <v>1.1565709428408066</v>
      </c>
      <c r="R121" s="3">
        <f t="shared" si="8"/>
        <v>0.20098783854503946</v>
      </c>
      <c r="S121" s="3">
        <f t="shared" si="9"/>
        <v>1.1165991030279971</v>
      </c>
      <c r="U121" s="3"/>
      <c r="V121" s="3"/>
    </row>
    <row r="122" spans="1:22" x14ac:dyDescent="0.3">
      <c r="B122" s="4">
        <v>16</v>
      </c>
      <c r="C122" s="5">
        <v>3</v>
      </c>
      <c r="D122" s="4">
        <v>76</v>
      </c>
      <c r="E122" s="3">
        <v>3.2689999999999997</v>
      </c>
      <c r="F122" s="4">
        <v>25</v>
      </c>
      <c r="G122" s="4">
        <v>33</v>
      </c>
      <c r="H122" s="2">
        <v>2.9281922513849066E-2</v>
      </c>
      <c r="I122" s="3">
        <v>210.2571887426401</v>
      </c>
      <c r="J122" s="3">
        <v>0.18</v>
      </c>
      <c r="K122" s="6">
        <f t="shared" si="5"/>
        <v>1.0512859437132006E-3</v>
      </c>
      <c r="O122" s="3">
        <f t="shared" si="6"/>
        <v>0.22950897398711478</v>
      </c>
      <c r="P122" s="3">
        <f t="shared" si="7"/>
        <v>1.2750498554839711</v>
      </c>
      <c r="R122" s="3">
        <f t="shared" si="8"/>
        <v>0.22198997089873906</v>
      </c>
      <c r="S122" s="3">
        <f t="shared" si="9"/>
        <v>1.2332776161041059</v>
      </c>
      <c r="U122" s="3"/>
      <c r="V122" s="3"/>
    </row>
    <row r="123" spans="1:22" x14ac:dyDescent="0.3">
      <c r="B123" s="4">
        <v>16</v>
      </c>
      <c r="C123" s="5">
        <v>3</v>
      </c>
      <c r="D123" s="4">
        <v>76</v>
      </c>
      <c r="E123" s="3">
        <v>3.2689999999999997</v>
      </c>
      <c r="F123" s="4">
        <v>25</v>
      </c>
      <c r="G123" s="4">
        <v>33</v>
      </c>
      <c r="H123" s="2">
        <v>2.9281922513849066E-2</v>
      </c>
      <c r="I123" s="3">
        <v>233.35653674357815</v>
      </c>
      <c r="J123" s="3">
        <v>0.2</v>
      </c>
      <c r="K123" s="6">
        <f t="shared" si="5"/>
        <v>1.1667826837178908E-3</v>
      </c>
      <c r="O123" s="3">
        <f t="shared" si="6"/>
        <v>0.25045816356013384</v>
      </c>
      <c r="P123" s="3">
        <f t="shared" si="7"/>
        <v>1.2522908178006691</v>
      </c>
      <c r="R123" s="3">
        <f t="shared" si="8"/>
        <v>0.24265719918101636</v>
      </c>
      <c r="S123" s="3">
        <f t="shared" si="9"/>
        <v>1.2132859959050817</v>
      </c>
      <c r="U123" s="3"/>
      <c r="V123" s="3"/>
    </row>
    <row r="124" spans="1:22" x14ac:dyDescent="0.3">
      <c r="B124" s="4">
        <v>16</v>
      </c>
      <c r="C124" s="5">
        <v>3</v>
      </c>
      <c r="D124" s="4">
        <v>76</v>
      </c>
      <c r="E124" s="3">
        <v>3.2689999999999997</v>
      </c>
      <c r="F124" s="4">
        <v>25</v>
      </c>
      <c r="G124" s="4">
        <v>33</v>
      </c>
      <c r="H124" s="2">
        <v>2.9281922513849066E-2</v>
      </c>
      <c r="I124" s="3">
        <v>256.45588474451637</v>
      </c>
      <c r="J124" s="3">
        <v>0.2</v>
      </c>
      <c r="K124" s="6">
        <f t="shared" si="5"/>
        <v>1.2822794237225819E-3</v>
      </c>
      <c r="O124" s="3">
        <f t="shared" si="6"/>
        <v>0.27107350607933445</v>
      </c>
      <c r="P124" s="3">
        <f t="shared" si="7"/>
        <v>1.3553675303966721</v>
      </c>
      <c r="R124" s="3">
        <f t="shared" si="8"/>
        <v>0.26302737142530791</v>
      </c>
      <c r="S124" s="3">
        <f t="shared" si="9"/>
        <v>1.3151368571265394</v>
      </c>
      <c r="U124" s="3"/>
      <c r="V124" s="3"/>
    </row>
    <row r="125" spans="1:22" x14ac:dyDescent="0.3">
      <c r="A125" s="1" t="s">
        <v>30</v>
      </c>
      <c r="B125" s="4">
        <v>16</v>
      </c>
      <c r="C125" s="5">
        <v>3</v>
      </c>
      <c r="D125" s="4">
        <v>76</v>
      </c>
      <c r="E125" s="3">
        <v>3.2689999999999997</v>
      </c>
      <c r="F125" s="4">
        <v>25</v>
      </c>
      <c r="G125" s="4">
        <v>33</v>
      </c>
      <c r="H125" s="2">
        <v>2.9281922513849066E-2</v>
      </c>
      <c r="I125" s="3">
        <v>187.15784074170205</v>
      </c>
      <c r="J125" s="3">
        <v>0.15</v>
      </c>
      <c r="K125" s="6">
        <f t="shared" si="5"/>
        <v>9.3578920370851026E-4</v>
      </c>
      <c r="O125" s="3">
        <f t="shared" si="6"/>
        <v>0.20818276971134519</v>
      </c>
      <c r="P125" s="3">
        <f t="shared" si="7"/>
        <v>1.387885131408968</v>
      </c>
      <c r="R125" s="3">
        <f t="shared" si="8"/>
        <v>0.20098783854503946</v>
      </c>
      <c r="S125" s="3">
        <f t="shared" si="9"/>
        <v>1.3399189236335964</v>
      </c>
      <c r="U125" s="3"/>
      <c r="V125" s="3"/>
    </row>
    <row r="126" spans="1:22" x14ac:dyDescent="0.3">
      <c r="B126" s="4">
        <v>16</v>
      </c>
      <c r="C126" s="5">
        <v>3</v>
      </c>
      <c r="D126" s="4">
        <v>76</v>
      </c>
      <c r="E126" s="3">
        <v>3.2689999999999997</v>
      </c>
      <c r="F126" s="4">
        <v>25</v>
      </c>
      <c r="G126" s="4">
        <v>33</v>
      </c>
      <c r="H126" s="2">
        <v>2.9281922513849066E-2</v>
      </c>
      <c r="I126" s="3">
        <v>210.2571887426401</v>
      </c>
      <c r="J126" s="3">
        <v>0.18</v>
      </c>
      <c r="K126" s="6">
        <f t="shared" si="5"/>
        <v>1.0512859437132006E-3</v>
      </c>
      <c r="O126" s="3">
        <f t="shared" si="6"/>
        <v>0.22950897398711478</v>
      </c>
      <c r="P126" s="3">
        <f t="shared" si="7"/>
        <v>1.2750498554839711</v>
      </c>
      <c r="R126" s="3">
        <f t="shared" si="8"/>
        <v>0.22198997089873906</v>
      </c>
      <c r="S126" s="3">
        <f t="shared" si="9"/>
        <v>1.2332776161041059</v>
      </c>
      <c r="U126" s="3"/>
      <c r="V126" s="3"/>
    </row>
    <row r="127" spans="1:22" x14ac:dyDescent="0.3">
      <c r="B127" s="4">
        <v>16</v>
      </c>
      <c r="C127" s="5">
        <v>3</v>
      </c>
      <c r="D127" s="4">
        <v>76</v>
      </c>
      <c r="E127" s="3">
        <v>3.2689999999999997</v>
      </c>
      <c r="F127" s="4">
        <v>25</v>
      </c>
      <c r="G127" s="4">
        <v>33</v>
      </c>
      <c r="H127" s="2">
        <v>2.9281922513849066E-2</v>
      </c>
      <c r="I127" s="3">
        <v>233.35653674357815</v>
      </c>
      <c r="J127" s="3">
        <v>0.2</v>
      </c>
      <c r="K127" s="6">
        <f t="shared" si="5"/>
        <v>1.1667826837178908E-3</v>
      </c>
      <c r="O127" s="3">
        <f t="shared" si="6"/>
        <v>0.25045816356013384</v>
      </c>
      <c r="P127" s="3">
        <f t="shared" si="7"/>
        <v>1.2522908178006691</v>
      </c>
      <c r="R127" s="3">
        <f t="shared" si="8"/>
        <v>0.24265719918101636</v>
      </c>
      <c r="S127" s="3">
        <f t="shared" si="9"/>
        <v>1.2132859959050817</v>
      </c>
      <c r="U127" s="3"/>
      <c r="V127" s="3"/>
    </row>
    <row r="128" spans="1:22" x14ac:dyDescent="0.3">
      <c r="B128" s="4">
        <v>16</v>
      </c>
      <c r="C128" s="5">
        <v>3</v>
      </c>
      <c r="D128" s="4">
        <v>76</v>
      </c>
      <c r="E128" s="3">
        <v>3.2689999999999997</v>
      </c>
      <c r="F128" s="4">
        <v>25</v>
      </c>
      <c r="G128" s="4">
        <v>33</v>
      </c>
      <c r="H128" s="2">
        <v>2.9281922513849066E-2</v>
      </c>
      <c r="I128" s="3">
        <v>256.45588474451637</v>
      </c>
      <c r="J128" s="3">
        <v>0.2</v>
      </c>
      <c r="K128" s="6">
        <f t="shared" si="5"/>
        <v>1.2822794237225819E-3</v>
      </c>
      <c r="O128" s="3">
        <f t="shared" si="6"/>
        <v>0.27107350607933445</v>
      </c>
      <c r="P128" s="3">
        <f t="shared" si="7"/>
        <v>1.3553675303966721</v>
      </c>
      <c r="R128" s="3">
        <f t="shared" si="8"/>
        <v>0.26302737142530791</v>
      </c>
      <c r="S128" s="3">
        <f t="shared" si="9"/>
        <v>1.3151368571265394</v>
      </c>
      <c r="U128" s="3"/>
      <c r="V128" s="3"/>
    </row>
    <row r="129" spans="1:22" x14ac:dyDescent="0.3">
      <c r="A129" s="1" t="s">
        <v>31</v>
      </c>
      <c r="B129" s="4">
        <v>12</v>
      </c>
      <c r="C129" s="5">
        <v>2</v>
      </c>
      <c r="D129" s="4">
        <v>296</v>
      </c>
      <c r="E129" s="3">
        <v>3.2689999999999997</v>
      </c>
      <c r="F129" s="4">
        <v>25</v>
      </c>
      <c r="G129" s="4">
        <v>31</v>
      </c>
      <c r="H129" s="2">
        <v>1.2477206469672451E-2</v>
      </c>
      <c r="I129" s="3">
        <v>4.5208702575442885</v>
      </c>
      <c r="J129" s="3">
        <v>0.2</v>
      </c>
      <c r="K129" s="6">
        <f t="shared" si="5"/>
        <v>2.2604351287721442E-5</v>
      </c>
      <c r="O129" s="3">
        <f t="shared" si="6"/>
        <v>1.0205395340499846E-2</v>
      </c>
      <c r="P129" s="3">
        <f t="shared" si="7"/>
        <v>5.1026976702499227E-2</v>
      </c>
      <c r="R129" s="3">
        <f t="shared" si="8"/>
        <v>9.6522290282874419E-3</v>
      </c>
      <c r="S129" s="3">
        <f t="shared" si="9"/>
        <v>4.8261145141437208E-2</v>
      </c>
      <c r="U129" s="3"/>
      <c r="V129" s="3"/>
    </row>
    <row r="130" spans="1:22" x14ac:dyDescent="0.3">
      <c r="B130" s="4">
        <v>12</v>
      </c>
      <c r="C130" s="5">
        <v>2</v>
      </c>
      <c r="D130" s="4">
        <v>296</v>
      </c>
      <c r="E130" s="3">
        <v>3.2689999999999997</v>
      </c>
      <c r="F130" s="4">
        <v>25</v>
      </c>
      <c r="G130" s="4">
        <v>31</v>
      </c>
      <c r="H130" s="2">
        <v>1.2477206469672451E-2</v>
      </c>
      <c r="I130" s="3">
        <v>102.11108807035959</v>
      </c>
      <c r="J130" s="3">
        <v>0.25</v>
      </c>
      <c r="K130" s="6">
        <f t="shared" si="5"/>
        <v>5.1055544035179788E-4</v>
      </c>
      <c r="O130" s="3">
        <f t="shared" si="6"/>
        <v>0.13910952068889321</v>
      </c>
      <c r="P130" s="3">
        <f t="shared" si="7"/>
        <v>0.55643808275557283</v>
      </c>
      <c r="R130" s="3">
        <f t="shared" si="8"/>
        <v>0.1382981125578775</v>
      </c>
      <c r="S130" s="3">
        <f t="shared" si="9"/>
        <v>0.55319245023150998</v>
      </c>
      <c r="U130" s="3"/>
      <c r="V130" s="3"/>
    </row>
    <row r="131" spans="1:22" x14ac:dyDescent="0.3">
      <c r="B131" s="4">
        <v>12</v>
      </c>
      <c r="C131" s="5">
        <v>2</v>
      </c>
      <c r="D131" s="4">
        <v>296</v>
      </c>
      <c r="E131" s="3">
        <v>3.2689999999999997</v>
      </c>
      <c r="F131" s="4">
        <v>25</v>
      </c>
      <c r="G131" s="4">
        <v>31</v>
      </c>
      <c r="H131" s="2">
        <v>1.2477206469672451E-2</v>
      </c>
      <c r="I131" s="3">
        <v>207.9797077961241</v>
      </c>
      <c r="J131" s="3">
        <v>0.33</v>
      </c>
      <c r="K131" s="6">
        <f t="shared" si="5"/>
        <v>1.0398985389806206E-3</v>
      </c>
      <c r="O131" s="3">
        <f t="shared" si="6"/>
        <v>0.2524964801222131</v>
      </c>
      <c r="P131" s="3">
        <f t="shared" si="7"/>
        <v>0.76514084885519118</v>
      </c>
      <c r="R131" s="3">
        <f t="shared" si="8"/>
        <v>0.25389719100967184</v>
      </c>
      <c r="S131" s="3">
        <f t="shared" si="9"/>
        <v>0.76938542730203585</v>
      </c>
      <c r="U131" s="3"/>
      <c r="V131" s="3"/>
    </row>
    <row r="132" spans="1:22" x14ac:dyDescent="0.3">
      <c r="A132" s="1" t="s">
        <v>32</v>
      </c>
      <c r="B132" s="4">
        <v>12</v>
      </c>
      <c r="C132" s="5">
        <v>2</v>
      </c>
      <c r="D132" s="4">
        <v>296</v>
      </c>
      <c r="E132" s="3">
        <v>3.2689999999999997</v>
      </c>
      <c r="F132" s="4">
        <v>25</v>
      </c>
      <c r="G132" s="4">
        <v>31</v>
      </c>
      <c r="H132" s="2">
        <v>1.2477206469672451E-2</v>
      </c>
      <c r="I132" s="3">
        <v>102.11108807035959</v>
      </c>
      <c r="J132" s="3">
        <v>0.23</v>
      </c>
      <c r="K132" s="6">
        <f t="shared" si="5"/>
        <v>5.1055544035179788E-4</v>
      </c>
      <c r="O132" s="3">
        <f t="shared" si="6"/>
        <v>0.13910952068889321</v>
      </c>
      <c r="P132" s="3">
        <f t="shared" si="7"/>
        <v>0.60482400299518779</v>
      </c>
      <c r="R132" s="3">
        <f t="shared" si="8"/>
        <v>0.1382981125578775</v>
      </c>
      <c r="S132" s="3">
        <f t="shared" si="9"/>
        <v>0.60129614155598909</v>
      </c>
      <c r="U132" s="3"/>
      <c r="V132" s="3"/>
    </row>
    <row r="133" spans="1:22" x14ac:dyDescent="0.3">
      <c r="B133" s="4">
        <v>12</v>
      </c>
      <c r="C133" s="5">
        <v>2</v>
      </c>
      <c r="D133" s="4">
        <v>296</v>
      </c>
      <c r="E133" s="3">
        <v>3.2689999999999997</v>
      </c>
      <c r="F133" s="4">
        <v>25</v>
      </c>
      <c r="G133" s="4">
        <v>31</v>
      </c>
      <c r="H133" s="2">
        <v>1.2477206469672451E-2</v>
      </c>
      <c r="I133" s="3">
        <v>207.9797077961241</v>
      </c>
      <c r="J133" s="3">
        <v>0.28000000000000003</v>
      </c>
      <c r="K133" s="6">
        <f t="shared" si="5"/>
        <v>1.0398985389806206E-3</v>
      </c>
      <c r="O133" s="3">
        <f t="shared" si="6"/>
        <v>0.2524964801222131</v>
      </c>
      <c r="P133" s="3">
        <f t="shared" si="7"/>
        <v>0.90177314329361813</v>
      </c>
      <c r="R133" s="3">
        <f t="shared" si="8"/>
        <v>0.25389719100967184</v>
      </c>
      <c r="S133" s="3">
        <f t="shared" si="9"/>
        <v>0.90677568217739934</v>
      </c>
      <c r="U133" s="3"/>
      <c r="V133" s="3"/>
    </row>
    <row r="134" spans="1:22" x14ac:dyDescent="0.3">
      <c r="A134" s="1" t="s">
        <v>33</v>
      </c>
      <c r="B134" s="4">
        <v>12</v>
      </c>
      <c r="C134" s="5">
        <v>3</v>
      </c>
      <c r="D134" s="4">
        <v>142</v>
      </c>
      <c r="E134" s="3">
        <v>3.2689999999999997</v>
      </c>
      <c r="F134" s="4">
        <v>25</v>
      </c>
      <c r="G134" s="4">
        <v>31</v>
      </c>
      <c r="H134" s="2">
        <v>1.9527117912145887E-2</v>
      </c>
      <c r="I134" s="3">
        <v>101.33617586056053</v>
      </c>
      <c r="J134" s="3">
        <v>0.18</v>
      </c>
      <c r="K134" s="6">
        <f t="shared" si="5"/>
        <v>5.0668087930280268E-4</v>
      </c>
      <c r="O134" s="3">
        <f t="shared" si="6"/>
        <v>0.11090166141889522</v>
      </c>
      <c r="P134" s="3">
        <f t="shared" si="7"/>
        <v>0.61612034121608461</v>
      </c>
      <c r="R134" s="3">
        <f t="shared" si="8"/>
        <v>0.10643581239363446</v>
      </c>
      <c r="S134" s="3">
        <f t="shared" si="9"/>
        <v>0.59131006885352477</v>
      </c>
      <c r="U134" s="3"/>
      <c r="V134" s="3"/>
    </row>
    <row r="135" spans="1:22" x14ac:dyDescent="0.3">
      <c r="B135" s="4">
        <v>12</v>
      </c>
      <c r="C135" s="5">
        <v>3</v>
      </c>
      <c r="D135" s="4">
        <v>142</v>
      </c>
      <c r="E135" s="3">
        <v>3.2689999999999997</v>
      </c>
      <c r="F135" s="4">
        <v>25</v>
      </c>
      <c r="G135" s="4">
        <v>31</v>
      </c>
      <c r="H135" s="2">
        <v>1.9527117912145887E-2</v>
      </c>
      <c r="I135" s="3">
        <v>164.10101835243688</v>
      </c>
      <c r="J135" s="3">
        <v>0.23</v>
      </c>
      <c r="K135" s="6">
        <f t="shared" si="5"/>
        <v>8.2050509176218446E-4</v>
      </c>
      <c r="O135" s="3">
        <f t="shared" si="6"/>
        <v>0.16610038586939277</v>
      </c>
      <c r="P135" s="3">
        <f t="shared" si="7"/>
        <v>0.72217559073649029</v>
      </c>
      <c r="R135" s="3">
        <f t="shared" si="8"/>
        <v>0.16064600009884961</v>
      </c>
      <c r="S135" s="3">
        <f t="shared" si="9"/>
        <v>0.69846086999499823</v>
      </c>
      <c r="U135" s="3"/>
      <c r="V135" s="3"/>
    </row>
    <row r="136" spans="1:22" x14ac:dyDescent="0.3">
      <c r="B136" s="4">
        <v>12</v>
      </c>
      <c r="C136" s="5">
        <v>3</v>
      </c>
      <c r="D136" s="4">
        <v>142</v>
      </c>
      <c r="E136" s="3">
        <v>3.2689999999999997</v>
      </c>
      <c r="F136" s="4">
        <v>25</v>
      </c>
      <c r="G136" s="4">
        <v>31</v>
      </c>
      <c r="H136" s="2">
        <v>1.9527117912145887E-2</v>
      </c>
      <c r="I136" s="3">
        <v>226.86586084431309</v>
      </c>
      <c r="J136" s="3">
        <v>0.25</v>
      </c>
      <c r="K136" s="6">
        <f t="shared" si="5"/>
        <v>1.1343293042215654E-3</v>
      </c>
      <c r="O136" s="3">
        <f t="shared" si="6"/>
        <v>0.21789232726324531</v>
      </c>
      <c r="P136" s="3">
        <f t="shared" si="7"/>
        <v>0.87156930905298124</v>
      </c>
      <c r="R136" s="3">
        <f t="shared" si="8"/>
        <v>0.21183208393271824</v>
      </c>
      <c r="S136" s="3">
        <f t="shared" si="9"/>
        <v>0.84732833573087296</v>
      </c>
      <c r="U136" s="3"/>
      <c r="V136" s="3"/>
    </row>
    <row r="137" spans="1:22" x14ac:dyDescent="0.3">
      <c r="A137" s="1" t="s">
        <v>34</v>
      </c>
      <c r="B137" s="4">
        <v>12</v>
      </c>
      <c r="C137" s="5">
        <v>3</v>
      </c>
      <c r="D137" s="4">
        <v>142</v>
      </c>
      <c r="E137" s="3">
        <v>3.2689999999999997</v>
      </c>
      <c r="F137" s="4">
        <v>25</v>
      </c>
      <c r="G137" s="4">
        <v>31</v>
      </c>
      <c r="H137" s="2">
        <v>1.9527117912145887E-2</v>
      </c>
      <c r="I137" s="3">
        <v>101.33617586056053</v>
      </c>
      <c r="J137" s="3">
        <v>0.18</v>
      </c>
      <c r="K137" s="6">
        <f t="shared" si="5"/>
        <v>5.0668087930280268E-4</v>
      </c>
      <c r="O137" s="3">
        <f t="shared" si="6"/>
        <v>0.11090166141889522</v>
      </c>
      <c r="P137" s="3">
        <f t="shared" si="7"/>
        <v>0.61612034121608461</v>
      </c>
      <c r="R137" s="3">
        <f t="shared" si="8"/>
        <v>0.10643581239363446</v>
      </c>
      <c r="S137" s="3">
        <f t="shared" si="9"/>
        <v>0.59131006885352477</v>
      </c>
      <c r="U137" s="3"/>
      <c r="V137" s="3"/>
    </row>
    <row r="138" spans="1:22" x14ac:dyDescent="0.3">
      <c r="B138" s="4">
        <v>12</v>
      </c>
      <c r="C138" s="5">
        <v>3</v>
      </c>
      <c r="D138" s="4">
        <v>142</v>
      </c>
      <c r="E138" s="3">
        <v>3.2689999999999997</v>
      </c>
      <c r="F138" s="4">
        <v>25</v>
      </c>
      <c r="G138" s="4">
        <v>31</v>
      </c>
      <c r="H138" s="2">
        <v>1.9527117912145887E-2</v>
      </c>
      <c r="I138" s="3">
        <v>164.10101835243688</v>
      </c>
      <c r="J138" s="3">
        <v>0.23</v>
      </c>
      <c r="K138" s="6">
        <f t="shared" si="5"/>
        <v>8.2050509176218446E-4</v>
      </c>
      <c r="O138" s="3">
        <f t="shared" si="6"/>
        <v>0.16610038586939277</v>
      </c>
      <c r="P138" s="3">
        <f t="shared" si="7"/>
        <v>0.72217559073649029</v>
      </c>
      <c r="R138" s="3">
        <f t="shared" si="8"/>
        <v>0.16064600009884961</v>
      </c>
      <c r="S138" s="3">
        <f t="shared" si="9"/>
        <v>0.69846086999499823</v>
      </c>
      <c r="U138" s="3"/>
      <c r="V138" s="3"/>
    </row>
    <row r="139" spans="1:22" x14ac:dyDescent="0.3">
      <c r="B139" s="4">
        <v>12</v>
      </c>
      <c r="C139" s="5">
        <v>3</v>
      </c>
      <c r="D139" s="4">
        <v>142</v>
      </c>
      <c r="E139" s="3">
        <v>3.2689999999999997</v>
      </c>
      <c r="F139" s="4">
        <v>25</v>
      </c>
      <c r="G139" s="4">
        <v>31</v>
      </c>
      <c r="H139" s="2">
        <v>1.9527117912145887E-2</v>
      </c>
      <c r="I139" s="3">
        <v>226.86586084431309</v>
      </c>
      <c r="J139" s="3">
        <v>0.25</v>
      </c>
      <c r="K139" s="6">
        <f t="shared" si="5"/>
        <v>1.1343293042215654E-3</v>
      </c>
      <c r="O139" s="3">
        <f t="shared" si="6"/>
        <v>0.21789232726324531</v>
      </c>
      <c r="P139" s="3">
        <f t="shared" si="7"/>
        <v>0.87156930905298124</v>
      </c>
      <c r="R139" s="3">
        <f t="shared" si="8"/>
        <v>0.21183208393271824</v>
      </c>
      <c r="S139" s="3">
        <f t="shared" si="9"/>
        <v>0.84732833573087296</v>
      </c>
      <c r="U139" s="3"/>
      <c r="V139" s="3"/>
    </row>
    <row r="140" spans="1:22" x14ac:dyDescent="0.3">
      <c r="A140" s="1" t="s">
        <v>35</v>
      </c>
      <c r="B140" s="4">
        <v>12</v>
      </c>
      <c r="C140" s="5">
        <v>4</v>
      </c>
      <c r="D140" s="4">
        <v>90.67</v>
      </c>
      <c r="E140" s="3">
        <v>3.2689999999999997</v>
      </c>
      <c r="F140" s="4">
        <v>25</v>
      </c>
      <c r="G140" s="4">
        <v>31</v>
      </c>
      <c r="H140" s="2">
        <v>2.6968773854657992E-2</v>
      </c>
      <c r="I140" s="3">
        <v>150.31764348514901</v>
      </c>
      <c r="J140" s="3">
        <v>0.15</v>
      </c>
      <c r="K140" s="6">
        <f t="shared" ref="K140:K203" si="10">I140/200000</f>
        <v>7.5158821742574503E-4</v>
      </c>
      <c r="O140" s="3">
        <f t="shared" ref="O140:O203" si="11">$P$2*($P$3*$F140+$P$4*$B140^$P$5*$H140^$P$6)*$K140^$P$7</f>
        <v>0.13170114883701214</v>
      </c>
      <c r="P140" s="3">
        <f t="shared" ref="P140:P203" si="12">O140/$J140</f>
        <v>0.87800765891341437</v>
      </c>
      <c r="R140" s="3">
        <f t="shared" ref="R140:R203" si="13">$S$2*$B140^$S$3*$K140^$S$4*($S$5*$H140^$S$6+$S$7)</f>
        <v>0.12509798761072397</v>
      </c>
      <c r="S140" s="3">
        <f t="shared" ref="S140:S203" si="14">R140/$J140</f>
        <v>0.83398658407149318</v>
      </c>
      <c r="U140" s="3"/>
      <c r="V140" s="3"/>
    </row>
    <row r="141" spans="1:22" x14ac:dyDescent="0.3">
      <c r="B141" s="4">
        <v>12</v>
      </c>
      <c r="C141" s="5">
        <v>4</v>
      </c>
      <c r="D141" s="4">
        <v>90.67</v>
      </c>
      <c r="E141" s="3">
        <v>3.2689999999999997</v>
      </c>
      <c r="F141" s="4">
        <v>25</v>
      </c>
      <c r="G141" s="4">
        <v>31</v>
      </c>
      <c r="H141" s="2">
        <v>2.6968773854657992E-2</v>
      </c>
      <c r="I141" s="3">
        <v>194.67641883399705</v>
      </c>
      <c r="J141" s="3">
        <v>0.15</v>
      </c>
      <c r="K141" s="6">
        <f t="shared" si="10"/>
        <v>9.7338209416998524E-4</v>
      </c>
      <c r="O141" s="3">
        <f t="shared" si="11"/>
        <v>0.16356855010068214</v>
      </c>
      <c r="P141" s="3">
        <f t="shared" si="12"/>
        <v>1.0904570006712142</v>
      </c>
      <c r="R141" s="3">
        <f t="shared" si="13"/>
        <v>0.15601178950948966</v>
      </c>
      <c r="S141" s="3">
        <f t="shared" si="14"/>
        <v>1.0400785967299311</v>
      </c>
      <c r="U141" s="3"/>
      <c r="V141" s="3"/>
    </row>
    <row r="142" spans="1:22" x14ac:dyDescent="0.3">
      <c r="B142" s="4">
        <v>12</v>
      </c>
      <c r="C142" s="5">
        <v>4</v>
      </c>
      <c r="D142" s="4">
        <v>90.67</v>
      </c>
      <c r="E142" s="3">
        <v>3.2689999999999997</v>
      </c>
      <c r="F142" s="4">
        <v>25</v>
      </c>
      <c r="G142" s="4">
        <v>31</v>
      </c>
      <c r="H142" s="2">
        <v>2.6968773854657992E-2</v>
      </c>
      <c r="I142" s="3">
        <v>239.03519418284523</v>
      </c>
      <c r="J142" s="3">
        <v>0.18</v>
      </c>
      <c r="K142" s="6">
        <f t="shared" si="10"/>
        <v>1.1951759709142261E-3</v>
      </c>
      <c r="O142" s="3">
        <f t="shared" si="11"/>
        <v>0.19427022677467357</v>
      </c>
      <c r="P142" s="3">
        <f t="shared" si="12"/>
        <v>1.0792790376370753</v>
      </c>
      <c r="R142" s="3">
        <f t="shared" si="13"/>
        <v>0.18590464342930471</v>
      </c>
      <c r="S142" s="3">
        <f t="shared" si="14"/>
        <v>1.0328035746072484</v>
      </c>
      <c r="U142" s="3"/>
      <c r="V142" s="3"/>
    </row>
    <row r="143" spans="1:22" x14ac:dyDescent="0.3">
      <c r="A143" s="1" t="s">
        <v>36</v>
      </c>
      <c r="B143" s="4">
        <v>12</v>
      </c>
      <c r="C143" s="5">
        <v>4</v>
      </c>
      <c r="D143" s="4">
        <v>90.67</v>
      </c>
      <c r="E143" s="3">
        <v>3.2689999999999997</v>
      </c>
      <c r="F143" s="4">
        <v>25</v>
      </c>
      <c r="G143" s="4">
        <v>31</v>
      </c>
      <c r="H143" s="2">
        <v>2.6968773854657992E-2</v>
      </c>
      <c r="I143" s="3">
        <v>150.31764348514901</v>
      </c>
      <c r="J143" s="3">
        <v>0.18</v>
      </c>
      <c r="K143" s="6">
        <f t="shared" si="10"/>
        <v>7.5158821742574503E-4</v>
      </c>
      <c r="O143" s="3">
        <f t="shared" si="11"/>
        <v>0.13170114883701214</v>
      </c>
      <c r="P143" s="3">
        <f t="shared" si="12"/>
        <v>0.73167304909451192</v>
      </c>
      <c r="R143" s="3">
        <f t="shared" si="13"/>
        <v>0.12509798761072397</v>
      </c>
      <c r="S143" s="3">
        <f t="shared" si="14"/>
        <v>0.69498882005957763</v>
      </c>
      <c r="U143" s="3"/>
      <c r="V143" s="3"/>
    </row>
    <row r="144" spans="1:22" x14ac:dyDescent="0.3">
      <c r="B144" s="4">
        <v>12</v>
      </c>
      <c r="C144" s="5">
        <v>4</v>
      </c>
      <c r="D144" s="4">
        <v>90.67</v>
      </c>
      <c r="E144" s="3">
        <v>3.2689999999999997</v>
      </c>
      <c r="F144" s="4">
        <v>25</v>
      </c>
      <c r="G144" s="4">
        <v>31</v>
      </c>
      <c r="H144" s="2">
        <v>2.6968773854657992E-2</v>
      </c>
      <c r="I144" s="3">
        <v>194.67641883399705</v>
      </c>
      <c r="J144" s="3">
        <v>0.2</v>
      </c>
      <c r="K144" s="6">
        <f t="shared" si="10"/>
        <v>9.7338209416998524E-4</v>
      </c>
      <c r="O144" s="3">
        <f t="shared" si="11"/>
        <v>0.16356855010068214</v>
      </c>
      <c r="P144" s="3">
        <f t="shared" si="12"/>
        <v>0.8178427505034106</v>
      </c>
      <c r="R144" s="3">
        <f t="shared" si="13"/>
        <v>0.15601178950948966</v>
      </c>
      <c r="S144" s="3">
        <f t="shared" si="14"/>
        <v>0.7800589475474482</v>
      </c>
      <c r="U144" s="3"/>
      <c r="V144" s="3"/>
    </row>
    <row r="145" spans="1:22" x14ac:dyDescent="0.3">
      <c r="B145" s="4">
        <v>12</v>
      </c>
      <c r="C145" s="5">
        <v>4</v>
      </c>
      <c r="D145" s="4">
        <v>90.67</v>
      </c>
      <c r="E145" s="3">
        <v>3.2689999999999997</v>
      </c>
      <c r="F145" s="4">
        <v>25</v>
      </c>
      <c r="G145" s="4">
        <v>31</v>
      </c>
      <c r="H145" s="2">
        <v>2.6968773854657992E-2</v>
      </c>
      <c r="I145" s="3">
        <v>239.03519418284523</v>
      </c>
      <c r="J145" s="3">
        <v>0.23</v>
      </c>
      <c r="K145" s="6">
        <f t="shared" si="10"/>
        <v>1.1951759709142261E-3</v>
      </c>
      <c r="O145" s="3">
        <f t="shared" si="11"/>
        <v>0.19427022677467357</v>
      </c>
      <c r="P145" s="3">
        <f t="shared" si="12"/>
        <v>0.84465315988988499</v>
      </c>
      <c r="R145" s="3">
        <f t="shared" si="13"/>
        <v>0.18590464342930471</v>
      </c>
      <c r="S145" s="3">
        <f t="shared" si="14"/>
        <v>0.80828105838828135</v>
      </c>
      <c r="U145" s="3"/>
      <c r="V145" s="3"/>
    </row>
    <row r="146" spans="1:22" x14ac:dyDescent="0.3">
      <c r="A146" s="1" t="s">
        <v>37</v>
      </c>
      <c r="B146" s="4">
        <v>10</v>
      </c>
      <c r="C146" s="5">
        <v>1</v>
      </c>
      <c r="D146" s="4">
        <v>45</v>
      </c>
      <c r="E146" s="3">
        <v>2.8</v>
      </c>
      <c r="F146" s="4">
        <v>40</v>
      </c>
      <c r="G146" s="4">
        <v>45</v>
      </c>
      <c r="H146" s="2">
        <v>1.140137516348016E-2</v>
      </c>
      <c r="I146" s="3">
        <v>144.99393119402299</v>
      </c>
      <c r="J146" s="3">
        <v>0.16</v>
      </c>
      <c r="K146" s="6">
        <f t="shared" si="10"/>
        <v>7.2496965597011493E-4</v>
      </c>
      <c r="O146" s="3">
        <f t="shared" si="11"/>
        <v>0.16044907470919675</v>
      </c>
      <c r="P146" s="3">
        <f t="shared" si="12"/>
        <v>1.0028067169324797</v>
      </c>
      <c r="R146" s="3">
        <f t="shared" si="13"/>
        <v>0.15956940472895886</v>
      </c>
      <c r="S146" s="3">
        <f t="shared" si="14"/>
        <v>0.99730877955599284</v>
      </c>
      <c r="U146" s="3"/>
      <c r="V146" s="3"/>
    </row>
    <row r="147" spans="1:22" x14ac:dyDescent="0.3">
      <c r="B147" s="4">
        <v>10</v>
      </c>
      <c r="C147" s="5">
        <v>1</v>
      </c>
      <c r="D147" s="4">
        <v>45</v>
      </c>
      <c r="E147" s="3">
        <v>2.8</v>
      </c>
      <c r="F147" s="4">
        <v>40</v>
      </c>
      <c r="G147" s="4">
        <v>45</v>
      </c>
      <c r="H147" s="2">
        <v>1.140137516348016E-2</v>
      </c>
      <c r="I147" s="3">
        <v>175.09750810638224</v>
      </c>
      <c r="J147" s="3">
        <v>0.18</v>
      </c>
      <c r="K147" s="6">
        <f t="shared" si="10"/>
        <v>8.7548754053191121E-4</v>
      </c>
      <c r="O147" s="3">
        <f t="shared" si="11"/>
        <v>0.18792937726998654</v>
      </c>
      <c r="P147" s="3">
        <f t="shared" si="12"/>
        <v>1.0440520959443698</v>
      </c>
      <c r="R147" s="3">
        <f t="shared" si="13"/>
        <v>0.18746403686249494</v>
      </c>
      <c r="S147" s="3">
        <f t="shared" si="14"/>
        <v>1.0414668714583053</v>
      </c>
      <c r="U147" s="3"/>
      <c r="V147" s="3"/>
    </row>
    <row r="148" spans="1:22" x14ac:dyDescent="0.3">
      <c r="B148" s="4">
        <v>10</v>
      </c>
      <c r="C148" s="5">
        <v>1</v>
      </c>
      <c r="D148" s="4">
        <v>45</v>
      </c>
      <c r="E148" s="3">
        <v>2.8</v>
      </c>
      <c r="F148" s="4">
        <v>40</v>
      </c>
      <c r="G148" s="4">
        <v>45</v>
      </c>
      <c r="H148" s="2">
        <v>1.140137516348016E-2</v>
      </c>
      <c r="I148" s="3">
        <v>209.21489527372268</v>
      </c>
      <c r="J148" s="3">
        <v>0.2</v>
      </c>
      <c r="K148" s="6">
        <f t="shared" si="10"/>
        <v>1.0460744763686133E-3</v>
      </c>
      <c r="O148" s="3">
        <f t="shared" si="11"/>
        <v>0.21816378690659285</v>
      </c>
      <c r="P148" s="3">
        <f t="shared" si="12"/>
        <v>1.0908189345329642</v>
      </c>
      <c r="R148" s="3">
        <f t="shared" si="13"/>
        <v>0.2182443231734702</v>
      </c>
      <c r="S148" s="3">
        <f t="shared" si="14"/>
        <v>1.0912216158673509</v>
      </c>
      <c r="U148" s="3"/>
      <c r="V148" s="3"/>
    </row>
    <row r="149" spans="1:22" x14ac:dyDescent="0.3">
      <c r="B149" s="4">
        <v>10</v>
      </c>
      <c r="C149" s="5">
        <v>1</v>
      </c>
      <c r="D149" s="4">
        <v>45</v>
      </c>
      <c r="E149" s="3">
        <v>2.8</v>
      </c>
      <c r="F149" s="4">
        <v>40</v>
      </c>
      <c r="G149" s="4">
        <v>45</v>
      </c>
      <c r="H149" s="2">
        <v>1.140137516348016E-2</v>
      </c>
      <c r="I149" s="3">
        <v>239.31847218608186</v>
      </c>
      <c r="J149" s="3">
        <v>0.22</v>
      </c>
      <c r="K149" s="6">
        <f t="shared" si="10"/>
        <v>1.1965923609304093E-3</v>
      </c>
      <c r="O149" s="3">
        <f t="shared" si="11"/>
        <v>0.24417890245697327</v>
      </c>
      <c r="P149" s="3">
        <f t="shared" si="12"/>
        <v>1.1099041020771512</v>
      </c>
      <c r="R149" s="3">
        <f t="shared" si="13"/>
        <v>0.24479501391171465</v>
      </c>
      <c r="S149" s="3">
        <f t="shared" si="14"/>
        <v>1.112704608689612</v>
      </c>
      <c r="U149" s="3"/>
      <c r="V149" s="3"/>
    </row>
    <row r="150" spans="1:22" x14ac:dyDescent="0.3">
      <c r="B150" s="4">
        <v>10</v>
      </c>
      <c r="C150" s="5">
        <v>1</v>
      </c>
      <c r="D150" s="4">
        <v>45</v>
      </c>
      <c r="E150" s="3">
        <v>2.8</v>
      </c>
      <c r="F150" s="4">
        <v>40</v>
      </c>
      <c r="G150" s="4">
        <v>45</v>
      </c>
      <c r="H150" s="2">
        <v>1.140137516348016E-2</v>
      </c>
      <c r="I150" s="3">
        <v>273.4358593534223</v>
      </c>
      <c r="J150" s="3">
        <v>0.24</v>
      </c>
      <c r="K150" s="6">
        <f t="shared" si="10"/>
        <v>1.3671792967671116E-3</v>
      </c>
      <c r="O150" s="3">
        <f t="shared" si="11"/>
        <v>0.27303036302137546</v>
      </c>
      <c r="P150" s="3">
        <f t="shared" si="12"/>
        <v>1.1376265125890643</v>
      </c>
      <c r="R150" s="3">
        <f t="shared" si="13"/>
        <v>0.27430356048925814</v>
      </c>
      <c r="S150" s="3">
        <f t="shared" si="14"/>
        <v>1.1429315020385755</v>
      </c>
      <c r="U150" s="3"/>
      <c r="V150" s="3"/>
    </row>
    <row r="151" spans="1:22" x14ac:dyDescent="0.3">
      <c r="B151" s="4">
        <v>10</v>
      </c>
      <c r="C151" s="5">
        <v>1</v>
      </c>
      <c r="D151" s="4">
        <v>45</v>
      </c>
      <c r="E151" s="3">
        <v>2.8</v>
      </c>
      <c r="F151" s="4">
        <v>40</v>
      </c>
      <c r="G151" s="4">
        <v>45</v>
      </c>
      <c r="H151" s="2">
        <v>1.140137516348016E-2</v>
      </c>
      <c r="I151" s="3">
        <v>303.53943626578155</v>
      </c>
      <c r="J151" s="3">
        <v>0.26</v>
      </c>
      <c r="K151" s="6">
        <f t="shared" si="10"/>
        <v>1.5176971813289078E-3</v>
      </c>
      <c r="O151" s="3">
        <f t="shared" si="11"/>
        <v>0.29800416698748849</v>
      </c>
      <c r="P151" s="3">
        <f t="shared" si="12"/>
        <v>1.1461698730288019</v>
      </c>
      <c r="R151" s="3">
        <f t="shared" si="13"/>
        <v>0.2998945612215218</v>
      </c>
      <c r="S151" s="3">
        <f t="shared" si="14"/>
        <v>1.153440620082776</v>
      </c>
      <c r="U151" s="3"/>
      <c r="V151" s="3"/>
    </row>
    <row r="152" spans="1:22" x14ac:dyDescent="0.3">
      <c r="B152" s="4">
        <v>10</v>
      </c>
      <c r="C152" s="5">
        <v>1</v>
      </c>
      <c r="D152" s="4">
        <v>45</v>
      </c>
      <c r="E152" s="3">
        <v>2.8</v>
      </c>
      <c r="F152" s="4">
        <v>40</v>
      </c>
      <c r="G152" s="4">
        <v>45</v>
      </c>
      <c r="H152" s="2">
        <v>1.140137516348016E-2</v>
      </c>
      <c r="I152" s="3">
        <v>339.66372856061264</v>
      </c>
      <c r="J152" s="3">
        <v>0.28000000000000003</v>
      </c>
      <c r="K152" s="6">
        <f t="shared" si="10"/>
        <v>1.6983186428030633E-3</v>
      </c>
      <c r="O152" s="3">
        <f t="shared" si="11"/>
        <v>0.32745020772034344</v>
      </c>
      <c r="P152" s="3">
        <f t="shared" si="12"/>
        <v>1.169465027572655</v>
      </c>
      <c r="R152" s="3">
        <f t="shared" si="13"/>
        <v>0.33012078399003886</v>
      </c>
      <c r="S152" s="3">
        <f t="shared" si="14"/>
        <v>1.1790027999644244</v>
      </c>
      <c r="U152" s="3"/>
      <c r="V152" s="3"/>
    </row>
    <row r="153" spans="1:22" x14ac:dyDescent="0.3">
      <c r="A153" s="1" t="s">
        <v>38</v>
      </c>
      <c r="B153" s="4">
        <v>10</v>
      </c>
      <c r="C153" s="5">
        <v>1</v>
      </c>
      <c r="D153" s="4">
        <v>45</v>
      </c>
      <c r="E153" s="3">
        <v>2.8</v>
      </c>
      <c r="F153" s="4">
        <v>40</v>
      </c>
      <c r="G153" s="4">
        <v>45</v>
      </c>
      <c r="H153" s="2">
        <v>1.140137516348016E-2</v>
      </c>
      <c r="I153" s="3">
        <v>110.87654402668258</v>
      </c>
      <c r="J153" s="3">
        <v>0.15</v>
      </c>
      <c r="K153" s="6">
        <f t="shared" si="10"/>
        <v>5.5438272013341294E-4</v>
      </c>
      <c r="O153" s="3">
        <f t="shared" si="11"/>
        <v>0.12814501493301264</v>
      </c>
      <c r="P153" s="3">
        <f t="shared" si="12"/>
        <v>0.85430009955341768</v>
      </c>
      <c r="R153" s="3">
        <f t="shared" si="13"/>
        <v>0.12689659290722391</v>
      </c>
      <c r="S153" s="3">
        <f t="shared" si="14"/>
        <v>0.84597728604815947</v>
      </c>
      <c r="U153" s="3"/>
      <c r="V153" s="3"/>
    </row>
    <row r="154" spans="1:22" x14ac:dyDescent="0.3">
      <c r="B154" s="4">
        <v>10</v>
      </c>
      <c r="C154" s="5">
        <v>1</v>
      </c>
      <c r="D154" s="4">
        <v>45</v>
      </c>
      <c r="E154" s="3">
        <v>2.8</v>
      </c>
      <c r="F154" s="4">
        <v>40</v>
      </c>
      <c r="G154" s="4">
        <v>45</v>
      </c>
      <c r="H154" s="2">
        <v>1.140137516348016E-2</v>
      </c>
      <c r="I154" s="3">
        <v>144.99393119402299</v>
      </c>
      <c r="J154" s="3">
        <v>0.17</v>
      </c>
      <c r="K154" s="6">
        <f t="shared" si="10"/>
        <v>7.2496965597011493E-4</v>
      </c>
      <c r="O154" s="3">
        <f t="shared" si="11"/>
        <v>0.16044907470919675</v>
      </c>
      <c r="P154" s="3">
        <f t="shared" si="12"/>
        <v>0.94381808652468668</v>
      </c>
      <c r="R154" s="3">
        <f t="shared" si="13"/>
        <v>0.15956940472895886</v>
      </c>
      <c r="S154" s="3">
        <f t="shared" si="14"/>
        <v>0.9386435572291697</v>
      </c>
      <c r="U154" s="3"/>
      <c r="V154" s="3"/>
    </row>
    <row r="155" spans="1:22" x14ac:dyDescent="0.3">
      <c r="B155" s="4">
        <v>10</v>
      </c>
      <c r="C155" s="5">
        <v>1</v>
      </c>
      <c r="D155" s="4">
        <v>45</v>
      </c>
      <c r="E155" s="3">
        <v>2.8</v>
      </c>
      <c r="F155" s="4">
        <v>40</v>
      </c>
      <c r="G155" s="4">
        <v>45</v>
      </c>
      <c r="H155" s="2">
        <v>1.140137516348016E-2</v>
      </c>
      <c r="I155" s="3">
        <v>177.1044132338728</v>
      </c>
      <c r="J155" s="3">
        <v>0.19</v>
      </c>
      <c r="K155" s="6">
        <f t="shared" si="10"/>
        <v>8.8552206616936407E-4</v>
      </c>
      <c r="O155" s="3">
        <f t="shared" si="11"/>
        <v>0.18973274364506373</v>
      </c>
      <c r="P155" s="3">
        <f t="shared" si="12"/>
        <v>0.99859338760559857</v>
      </c>
      <c r="R155" s="3">
        <f t="shared" si="13"/>
        <v>0.1892974518152285</v>
      </c>
      <c r="S155" s="3">
        <f t="shared" si="14"/>
        <v>0.99630237797488685</v>
      </c>
      <c r="U155" s="3"/>
      <c r="V155" s="3"/>
    </row>
    <row r="156" spans="1:22" x14ac:dyDescent="0.3">
      <c r="B156" s="4">
        <v>10</v>
      </c>
      <c r="C156" s="5">
        <v>1</v>
      </c>
      <c r="D156" s="4">
        <v>45</v>
      </c>
      <c r="E156" s="3">
        <v>2.8</v>
      </c>
      <c r="F156" s="4">
        <v>40</v>
      </c>
      <c r="G156" s="4">
        <v>45</v>
      </c>
      <c r="H156" s="2">
        <v>1.140137516348016E-2</v>
      </c>
      <c r="I156" s="3">
        <v>206.20453758248684</v>
      </c>
      <c r="J156" s="3">
        <v>0.2</v>
      </c>
      <c r="K156" s="6">
        <f t="shared" si="10"/>
        <v>1.0310226879124342E-3</v>
      </c>
      <c r="O156" s="3">
        <f t="shared" si="11"/>
        <v>0.21553011970262823</v>
      </c>
      <c r="P156" s="3">
        <f t="shared" si="12"/>
        <v>1.077650598513141</v>
      </c>
      <c r="R156" s="3">
        <f t="shared" si="13"/>
        <v>0.21555969101612629</v>
      </c>
      <c r="S156" s="3">
        <f t="shared" si="14"/>
        <v>1.0777984550806314</v>
      </c>
      <c r="U156" s="3"/>
      <c r="V156" s="3"/>
    </row>
    <row r="157" spans="1:22" x14ac:dyDescent="0.3">
      <c r="B157" s="4">
        <v>10</v>
      </c>
      <c r="C157" s="5">
        <v>1</v>
      </c>
      <c r="D157" s="4">
        <v>45</v>
      </c>
      <c r="E157" s="3">
        <v>2.8</v>
      </c>
      <c r="F157" s="4">
        <v>40</v>
      </c>
      <c r="G157" s="4">
        <v>45</v>
      </c>
      <c r="H157" s="2">
        <v>1.140137516348016E-2</v>
      </c>
      <c r="I157" s="3">
        <v>239.31847218608186</v>
      </c>
      <c r="J157" s="3">
        <v>0.22</v>
      </c>
      <c r="K157" s="6">
        <f t="shared" si="10"/>
        <v>1.1965923609304093E-3</v>
      </c>
      <c r="O157" s="3">
        <f t="shared" si="11"/>
        <v>0.24417890245697327</v>
      </c>
      <c r="P157" s="3">
        <f t="shared" si="12"/>
        <v>1.1099041020771512</v>
      </c>
      <c r="R157" s="3">
        <f t="shared" si="13"/>
        <v>0.24479501391171465</v>
      </c>
      <c r="S157" s="3">
        <f t="shared" si="14"/>
        <v>1.112704608689612</v>
      </c>
      <c r="U157" s="3"/>
      <c r="V157" s="3"/>
    </row>
    <row r="158" spans="1:22" x14ac:dyDescent="0.3">
      <c r="B158" s="4">
        <v>10</v>
      </c>
      <c r="C158" s="5">
        <v>1</v>
      </c>
      <c r="D158" s="4">
        <v>45</v>
      </c>
      <c r="E158" s="3">
        <v>2.8</v>
      </c>
      <c r="F158" s="4">
        <v>40</v>
      </c>
      <c r="G158" s="4">
        <v>45</v>
      </c>
      <c r="H158" s="2">
        <v>1.140137516348016E-2</v>
      </c>
      <c r="I158" s="3">
        <v>272.43240678967703</v>
      </c>
      <c r="J158" s="3">
        <v>0.24</v>
      </c>
      <c r="K158" s="6">
        <f t="shared" si="10"/>
        <v>1.3621620339483852E-3</v>
      </c>
      <c r="O158" s="3">
        <f t="shared" si="11"/>
        <v>0.27219046684689657</v>
      </c>
      <c r="P158" s="3">
        <f t="shared" si="12"/>
        <v>1.1341269451954024</v>
      </c>
      <c r="R158" s="3">
        <f t="shared" si="13"/>
        <v>0.27344366199884057</v>
      </c>
      <c r="S158" s="3">
        <f t="shared" si="14"/>
        <v>1.1393485916618358</v>
      </c>
      <c r="U158" s="3"/>
      <c r="V158" s="3"/>
    </row>
    <row r="159" spans="1:22" x14ac:dyDescent="0.3">
      <c r="B159" s="4">
        <v>10</v>
      </c>
      <c r="C159" s="5">
        <v>1</v>
      </c>
      <c r="D159" s="4">
        <v>45</v>
      </c>
      <c r="E159" s="3">
        <v>2.8</v>
      </c>
      <c r="F159" s="4">
        <v>40</v>
      </c>
      <c r="G159" s="4">
        <v>45</v>
      </c>
      <c r="H159" s="2">
        <v>1.140137516348016E-2</v>
      </c>
      <c r="I159" s="3">
        <v>300.52907857454568</v>
      </c>
      <c r="J159" s="3">
        <v>0.26</v>
      </c>
      <c r="K159" s="6">
        <f t="shared" si="10"/>
        <v>1.5026453928727284E-3</v>
      </c>
      <c r="O159" s="3">
        <f t="shared" si="11"/>
        <v>0.29552549295419805</v>
      </c>
      <c r="P159" s="3">
        <f t="shared" si="12"/>
        <v>1.1366365113623003</v>
      </c>
      <c r="R159" s="3">
        <f t="shared" si="13"/>
        <v>0.29735274034918613</v>
      </c>
      <c r="S159" s="3">
        <f t="shared" si="14"/>
        <v>1.1436643859584081</v>
      </c>
      <c r="U159" s="3"/>
      <c r="V159" s="3"/>
    </row>
    <row r="160" spans="1:22" x14ac:dyDescent="0.3">
      <c r="B160" s="4">
        <v>10</v>
      </c>
      <c r="C160" s="5">
        <v>1</v>
      </c>
      <c r="D160" s="4">
        <v>45</v>
      </c>
      <c r="E160" s="3">
        <v>2.8</v>
      </c>
      <c r="F160" s="4">
        <v>40</v>
      </c>
      <c r="G160" s="4">
        <v>45</v>
      </c>
      <c r="H160" s="2">
        <v>1.140137516348016E-2</v>
      </c>
      <c r="I160" s="3">
        <v>327.62229779566889</v>
      </c>
      <c r="J160" s="3">
        <v>0.28999999999999998</v>
      </c>
      <c r="K160" s="6">
        <f t="shared" si="10"/>
        <v>1.6381114889783444E-3</v>
      </c>
      <c r="O160" s="3">
        <f t="shared" si="11"/>
        <v>0.31769400259175168</v>
      </c>
      <c r="P160" s="3">
        <f t="shared" si="12"/>
        <v>1.0954965606612128</v>
      </c>
      <c r="R160" s="3">
        <f t="shared" si="13"/>
        <v>0.32010009449657029</v>
      </c>
      <c r="S160" s="3">
        <f t="shared" si="14"/>
        <v>1.1037934292985183</v>
      </c>
      <c r="U160" s="3"/>
      <c r="V160" s="3"/>
    </row>
    <row r="161" spans="1:22" x14ac:dyDescent="0.3">
      <c r="A161" s="1" t="s">
        <v>39</v>
      </c>
      <c r="B161" s="4">
        <v>20</v>
      </c>
      <c r="C161" s="5">
        <v>1</v>
      </c>
      <c r="D161" s="4">
        <v>40</v>
      </c>
      <c r="E161" s="3">
        <v>2.8</v>
      </c>
      <c r="F161" s="4">
        <v>40</v>
      </c>
      <c r="G161" s="4">
        <v>50</v>
      </c>
      <c r="H161" s="2">
        <v>5.4123833185813645E-2</v>
      </c>
      <c r="I161" s="3">
        <v>158.12531340890922</v>
      </c>
      <c r="J161" s="3">
        <v>0.17</v>
      </c>
      <c r="K161" s="6">
        <f t="shared" si="10"/>
        <v>7.9062656704454609E-4</v>
      </c>
      <c r="O161" s="3">
        <f t="shared" si="11"/>
        <v>0.17132677907285965</v>
      </c>
      <c r="P161" s="3">
        <f t="shared" si="12"/>
        <v>1.0078045827815272</v>
      </c>
      <c r="R161" s="3">
        <f t="shared" si="13"/>
        <v>0.16592397026654745</v>
      </c>
      <c r="S161" s="3">
        <f t="shared" si="14"/>
        <v>0.9760233545091026</v>
      </c>
      <c r="U161" s="3"/>
      <c r="V161" s="3"/>
    </row>
    <row r="162" spans="1:22" x14ac:dyDescent="0.3">
      <c r="B162" s="4">
        <v>20</v>
      </c>
      <c r="C162" s="5">
        <v>1</v>
      </c>
      <c r="D162" s="4">
        <v>40</v>
      </c>
      <c r="E162" s="3">
        <v>2.8</v>
      </c>
      <c r="F162" s="4">
        <v>40</v>
      </c>
      <c r="G162" s="4">
        <v>50</v>
      </c>
      <c r="H162" s="2">
        <v>5.4123833185813645E-2</v>
      </c>
      <c r="I162" s="3">
        <v>195.98969345647063</v>
      </c>
      <c r="J162" s="3">
        <v>0.2</v>
      </c>
      <c r="K162" s="6">
        <f t="shared" si="10"/>
        <v>9.7994846728235324E-4</v>
      </c>
      <c r="O162" s="3">
        <f t="shared" si="11"/>
        <v>0.20509427017991008</v>
      </c>
      <c r="P162" s="3">
        <f t="shared" si="12"/>
        <v>1.0254713508995503</v>
      </c>
      <c r="R162" s="3">
        <f t="shared" si="13"/>
        <v>0.19931001305252416</v>
      </c>
      <c r="S162" s="3">
        <f t="shared" si="14"/>
        <v>0.9965500652626208</v>
      </c>
      <c r="U162" s="3"/>
      <c r="V162" s="3"/>
    </row>
    <row r="163" spans="1:22" x14ac:dyDescent="0.3">
      <c r="B163" s="4">
        <v>20</v>
      </c>
      <c r="C163" s="5">
        <v>1</v>
      </c>
      <c r="D163" s="4">
        <v>40</v>
      </c>
      <c r="E163" s="3">
        <v>2.8</v>
      </c>
      <c r="F163" s="4">
        <v>40</v>
      </c>
      <c r="G163" s="4">
        <v>50</v>
      </c>
      <c r="H163" s="2">
        <v>5.4123833185813645E-2</v>
      </c>
      <c r="I163" s="3">
        <v>233.41898234294672</v>
      </c>
      <c r="J163" s="3">
        <v>0.24</v>
      </c>
      <c r="K163" s="6">
        <f t="shared" si="10"/>
        <v>1.1670949117147337E-3</v>
      </c>
      <c r="O163" s="3">
        <f t="shared" si="11"/>
        <v>0.23744344745711282</v>
      </c>
      <c r="P163" s="3">
        <f t="shared" si="12"/>
        <v>0.98934769773797016</v>
      </c>
      <c r="R163" s="3">
        <f t="shared" si="13"/>
        <v>0.23139300512542899</v>
      </c>
      <c r="S163" s="3">
        <f t="shared" si="14"/>
        <v>0.9641375213559541</v>
      </c>
      <c r="U163" s="3"/>
      <c r="V163" s="3"/>
    </row>
    <row r="164" spans="1:22" x14ac:dyDescent="0.3">
      <c r="B164" s="4">
        <v>20</v>
      </c>
      <c r="C164" s="5">
        <v>1</v>
      </c>
      <c r="D164" s="4">
        <v>40</v>
      </c>
      <c r="E164" s="3">
        <v>2.8</v>
      </c>
      <c r="F164" s="4">
        <v>40</v>
      </c>
      <c r="G164" s="4">
        <v>50</v>
      </c>
      <c r="H164" s="2">
        <v>5.4123833185813645E-2</v>
      </c>
      <c r="I164" s="3">
        <v>270.64147957811639</v>
      </c>
      <c r="J164" s="3">
        <v>0.27</v>
      </c>
      <c r="K164" s="6">
        <f t="shared" si="10"/>
        <v>1.353207397890582E-3</v>
      </c>
      <c r="O164" s="3">
        <f t="shared" si="11"/>
        <v>0.26878717977910066</v>
      </c>
      <c r="P164" s="3">
        <f t="shared" si="12"/>
        <v>0.99550807325592827</v>
      </c>
      <c r="R164" s="3">
        <f t="shared" si="13"/>
        <v>0.26255888456152066</v>
      </c>
      <c r="S164" s="3">
        <f t="shared" si="14"/>
        <v>0.97244031319081714</v>
      </c>
      <c r="U164" s="3"/>
      <c r="V164" s="3"/>
    </row>
    <row r="165" spans="1:22" x14ac:dyDescent="0.3">
      <c r="B165" s="4">
        <v>20</v>
      </c>
      <c r="C165" s="5">
        <v>1</v>
      </c>
      <c r="D165" s="4">
        <v>40</v>
      </c>
      <c r="E165" s="3">
        <v>2.8</v>
      </c>
      <c r="F165" s="4">
        <v>40</v>
      </c>
      <c r="G165" s="4">
        <v>50</v>
      </c>
      <c r="H165" s="2">
        <v>5.4123833185813645E-2</v>
      </c>
      <c r="I165" s="3">
        <v>307.45039351067317</v>
      </c>
      <c r="J165" s="3">
        <v>0.32</v>
      </c>
      <c r="K165" s="6">
        <f t="shared" si="10"/>
        <v>1.5372519675533659E-3</v>
      </c>
      <c r="O165" s="3">
        <f t="shared" si="11"/>
        <v>0.29910079836910003</v>
      </c>
      <c r="P165" s="3">
        <f t="shared" si="12"/>
        <v>0.93468999490343763</v>
      </c>
      <c r="R165" s="3">
        <f t="shared" si="13"/>
        <v>0.29276680384742459</v>
      </c>
      <c r="S165" s="3">
        <f t="shared" si="14"/>
        <v>0.91489626202320185</v>
      </c>
      <c r="U165" s="3"/>
      <c r="V165" s="3"/>
    </row>
    <row r="166" spans="1:22" x14ac:dyDescent="0.3">
      <c r="B166" s="4">
        <v>20</v>
      </c>
      <c r="C166" s="5">
        <v>1</v>
      </c>
      <c r="D166" s="4">
        <v>40</v>
      </c>
      <c r="E166" s="3">
        <v>2.8</v>
      </c>
      <c r="F166" s="4">
        <v>40</v>
      </c>
      <c r="G166" s="4">
        <v>50</v>
      </c>
      <c r="H166" s="2">
        <v>5.4123833185813645E-2</v>
      </c>
      <c r="I166" s="3">
        <v>345.29326569976212</v>
      </c>
      <c r="J166" s="3">
        <v>0.34</v>
      </c>
      <c r="K166" s="6">
        <f t="shared" si="10"/>
        <v>1.7264663284988107E-3</v>
      </c>
      <c r="O166" s="3">
        <f t="shared" si="11"/>
        <v>0.32965807055328772</v>
      </c>
      <c r="P166" s="3">
        <f t="shared" si="12"/>
        <v>0.96958256045084612</v>
      </c>
      <c r="R166" s="3">
        <f t="shared" si="13"/>
        <v>0.32327683129446638</v>
      </c>
      <c r="S166" s="3">
        <f t="shared" si="14"/>
        <v>0.95081420968960695</v>
      </c>
      <c r="U166" s="3"/>
      <c r="V166" s="3"/>
    </row>
    <row r="167" spans="1:22" x14ac:dyDescent="0.3">
      <c r="A167" s="1" t="s">
        <v>40</v>
      </c>
      <c r="B167" s="4">
        <v>20</v>
      </c>
      <c r="C167" s="5">
        <v>1</v>
      </c>
      <c r="D167" s="4">
        <v>40</v>
      </c>
      <c r="E167" s="3">
        <v>2.8</v>
      </c>
      <c r="F167" s="4">
        <v>40</v>
      </c>
      <c r="G167" s="4">
        <v>50</v>
      </c>
      <c r="H167" s="2">
        <v>5.4123833185813645E-2</v>
      </c>
      <c r="I167" s="3">
        <v>126.53659631420494</v>
      </c>
      <c r="J167" s="3">
        <v>0.16</v>
      </c>
      <c r="K167" s="6">
        <f t="shared" si="10"/>
        <v>6.3268298157102474E-4</v>
      </c>
      <c r="O167" s="3">
        <f t="shared" si="11"/>
        <v>0.14214094874708214</v>
      </c>
      <c r="P167" s="3">
        <f t="shared" si="12"/>
        <v>0.8883809296692633</v>
      </c>
      <c r="R167" s="3">
        <f t="shared" si="13"/>
        <v>0.13716854334206585</v>
      </c>
      <c r="S167" s="3">
        <f t="shared" si="14"/>
        <v>0.8573033958879116</v>
      </c>
      <c r="U167" s="3"/>
      <c r="V167" s="3"/>
    </row>
    <row r="168" spans="1:22" x14ac:dyDescent="0.3">
      <c r="B168" s="4">
        <v>20</v>
      </c>
      <c r="C168" s="5">
        <v>1</v>
      </c>
      <c r="D168" s="4">
        <v>40</v>
      </c>
      <c r="E168" s="3">
        <v>2.8</v>
      </c>
      <c r="F168" s="4">
        <v>40</v>
      </c>
      <c r="G168" s="4">
        <v>50</v>
      </c>
      <c r="H168" s="2">
        <v>5.4123833185813645E-2</v>
      </c>
      <c r="I168" s="3">
        <v>158.66994646226618</v>
      </c>
      <c r="J168" s="3">
        <v>0.2</v>
      </c>
      <c r="K168" s="6">
        <f t="shared" si="10"/>
        <v>7.9334973231133088E-4</v>
      </c>
      <c r="O168" s="3">
        <f t="shared" si="11"/>
        <v>0.17182114763501705</v>
      </c>
      <c r="P168" s="3">
        <f t="shared" si="12"/>
        <v>0.85910573817508518</v>
      </c>
      <c r="R168" s="3">
        <f t="shared" si="13"/>
        <v>0.16641190364717739</v>
      </c>
      <c r="S168" s="3">
        <f t="shared" si="14"/>
        <v>0.83205951823588697</v>
      </c>
      <c r="U168" s="3"/>
      <c r="V168" s="3"/>
    </row>
    <row r="169" spans="1:22" x14ac:dyDescent="0.3">
      <c r="B169" s="4">
        <v>20</v>
      </c>
      <c r="C169" s="5">
        <v>1</v>
      </c>
      <c r="D169" s="4">
        <v>40</v>
      </c>
      <c r="E169" s="3">
        <v>2.8</v>
      </c>
      <c r="F169" s="4">
        <v>40</v>
      </c>
      <c r="G169" s="4">
        <v>50</v>
      </c>
      <c r="H169" s="2">
        <v>5.4123833185813645E-2</v>
      </c>
      <c r="I169" s="3">
        <v>195.3693185025511</v>
      </c>
      <c r="J169" s="3">
        <v>0.24</v>
      </c>
      <c r="K169" s="6">
        <f t="shared" si="10"/>
        <v>9.768465925127554E-4</v>
      </c>
      <c r="O169" s="3">
        <f t="shared" si="11"/>
        <v>0.20455010588686617</v>
      </c>
      <c r="P169" s="3">
        <f t="shared" si="12"/>
        <v>0.85229210786194243</v>
      </c>
      <c r="R169" s="3">
        <f t="shared" si="13"/>
        <v>0.19877111269339806</v>
      </c>
      <c r="S169" s="3">
        <f t="shared" si="14"/>
        <v>0.82821296955582524</v>
      </c>
      <c r="U169" s="3"/>
      <c r="V169" s="3"/>
    </row>
    <row r="170" spans="1:22" x14ac:dyDescent="0.3">
      <c r="B170" s="4">
        <v>20</v>
      </c>
      <c r="C170" s="5">
        <v>1</v>
      </c>
      <c r="D170" s="4">
        <v>40</v>
      </c>
      <c r="E170" s="3">
        <v>2.8</v>
      </c>
      <c r="F170" s="4">
        <v>40</v>
      </c>
      <c r="G170" s="4">
        <v>50</v>
      </c>
      <c r="H170" s="2">
        <v>5.4123833185813645E-2</v>
      </c>
      <c r="I170" s="3">
        <v>232.38502408641426</v>
      </c>
      <c r="J170" s="3">
        <v>0.27</v>
      </c>
      <c r="K170" s="6">
        <f t="shared" si="10"/>
        <v>1.1619251204320713E-3</v>
      </c>
      <c r="O170" s="3">
        <f t="shared" si="11"/>
        <v>0.23656173473605108</v>
      </c>
      <c r="P170" s="3">
        <f t="shared" si="12"/>
        <v>0.87615457309648537</v>
      </c>
      <c r="R170" s="3">
        <f t="shared" si="13"/>
        <v>0.23051738530976096</v>
      </c>
      <c r="S170" s="3">
        <f t="shared" si="14"/>
        <v>0.85376809373985529</v>
      </c>
      <c r="U170" s="3"/>
      <c r="V170" s="3"/>
    </row>
    <row r="171" spans="1:22" x14ac:dyDescent="0.3">
      <c r="B171" s="4">
        <v>20</v>
      </c>
      <c r="C171" s="5">
        <v>1</v>
      </c>
      <c r="D171" s="4">
        <v>40</v>
      </c>
      <c r="E171" s="3">
        <v>2.8</v>
      </c>
      <c r="F171" s="4">
        <v>40</v>
      </c>
      <c r="G171" s="4">
        <v>50</v>
      </c>
      <c r="H171" s="2">
        <v>5.4123833185813645E-2</v>
      </c>
      <c r="I171" s="3">
        <v>270.84827122942283</v>
      </c>
      <c r="J171" s="3">
        <v>0.28999999999999998</v>
      </c>
      <c r="K171" s="6">
        <f t="shared" si="10"/>
        <v>1.3542413561471141E-3</v>
      </c>
      <c r="O171" s="3">
        <f t="shared" si="11"/>
        <v>0.26895927322858387</v>
      </c>
      <c r="P171" s="3">
        <f t="shared" si="12"/>
        <v>0.9274457697537376</v>
      </c>
      <c r="R171" s="3">
        <f t="shared" si="13"/>
        <v>0.26273020099082428</v>
      </c>
      <c r="S171" s="3">
        <f t="shared" si="14"/>
        <v>0.90596621031318725</v>
      </c>
      <c r="U171" s="3"/>
      <c r="V171" s="3"/>
    </row>
    <row r="172" spans="1:22" x14ac:dyDescent="0.3">
      <c r="B172" s="4">
        <v>20</v>
      </c>
      <c r="C172" s="5">
        <v>1</v>
      </c>
      <c r="D172" s="4">
        <v>40</v>
      </c>
      <c r="E172" s="3">
        <v>2.8</v>
      </c>
      <c r="F172" s="4">
        <v>40</v>
      </c>
      <c r="G172" s="4">
        <v>50</v>
      </c>
      <c r="H172" s="2">
        <v>5.4123833185813645E-2</v>
      </c>
      <c r="I172" s="3">
        <v>307.45039351067317</v>
      </c>
      <c r="J172" s="3">
        <v>0.32</v>
      </c>
      <c r="K172" s="6">
        <f t="shared" si="10"/>
        <v>1.5372519675533659E-3</v>
      </c>
      <c r="O172" s="3">
        <f t="shared" si="11"/>
        <v>0.29910079836910003</v>
      </c>
      <c r="P172" s="3">
        <f t="shared" si="12"/>
        <v>0.93468999490343763</v>
      </c>
      <c r="R172" s="3">
        <f t="shared" si="13"/>
        <v>0.29276680384742459</v>
      </c>
      <c r="S172" s="3">
        <f t="shared" si="14"/>
        <v>0.91489626202320185</v>
      </c>
      <c r="U172" s="3"/>
      <c r="V172" s="3"/>
    </row>
    <row r="173" spans="1:22" x14ac:dyDescent="0.3">
      <c r="B173" s="4">
        <v>20</v>
      </c>
      <c r="C173" s="5">
        <v>1</v>
      </c>
      <c r="D173" s="4">
        <v>40</v>
      </c>
      <c r="E173" s="3">
        <v>2.8</v>
      </c>
      <c r="F173" s="4">
        <v>40</v>
      </c>
      <c r="G173" s="4">
        <v>50</v>
      </c>
      <c r="H173" s="2">
        <v>5.4123833185813645E-2</v>
      </c>
      <c r="I173" s="3">
        <v>325.23447552303179</v>
      </c>
      <c r="J173" s="3">
        <v>0.33</v>
      </c>
      <c r="K173" s="6">
        <f t="shared" si="10"/>
        <v>1.6261723776151589E-3</v>
      </c>
      <c r="O173" s="3">
        <f t="shared" si="11"/>
        <v>0.31353267507336585</v>
      </c>
      <c r="P173" s="3">
        <f t="shared" si="12"/>
        <v>0.9500990153738359</v>
      </c>
      <c r="R173" s="3">
        <f t="shared" si="13"/>
        <v>0.30716930247179902</v>
      </c>
      <c r="S173" s="3">
        <f t="shared" si="14"/>
        <v>0.93081606809636064</v>
      </c>
      <c r="U173" s="3"/>
      <c r="V173" s="3"/>
    </row>
    <row r="174" spans="1:22" x14ac:dyDescent="0.3">
      <c r="A174" s="1" t="s">
        <v>41</v>
      </c>
      <c r="B174" s="4">
        <v>10</v>
      </c>
      <c r="C174" s="5">
        <v>1</v>
      </c>
      <c r="D174" s="4">
        <v>45</v>
      </c>
      <c r="E174" s="3">
        <v>2.8</v>
      </c>
      <c r="F174" s="4">
        <v>40</v>
      </c>
      <c r="G174" s="4">
        <v>45</v>
      </c>
      <c r="H174" s="2">
        <v>7.9598096831560491E-3</v>
      </c>
      <c r="I174" s="3">
        <v>155.01440265260516</v>
      </c>
      <c r="J174" s="3">
        <v>0.15</v>
      </c>
      <c r="K174" s="6">
        <f t="shared" si="10"/>
        <v>7.7507201326302579E-4</v>
      </c>
      <c r="O174" s="3">
        <f t="shared" si="11"/>
        <v>0.20235778516529807</v>
      </c>
      <c r="P174" s="3">
        <f t="shared" si="12"/>
        <v>1.3490519011019872</v>
      </c>
      <c r="R174" s="3">
        <f t="shared" si="13"/>
        <v>0.20953338209159178</v>
      </c>
      <c r="S174" s="3">
        <f t="shared" si="14"/>
        <v>1.3968892139439453</v>
      </c>
      <c r="U174" s="3"/>
      <c r="V174" s="3"/>
    </row>
    <row r="175" spans="1:22" x14ac:dyDescent="0.3">
      <c r="B175" s="4">
        <v>10</v>
      </c>
      <c r="C175" s="5">
        <v>1</v>
      </c>
      <c r="D175" s="4">
        <v>45</v>
      </c>
      <c r="E175" s="3">
        <v>2.8</v>
      </c>
      <c r="F175" s="4">
        <v>40</v>
      </c>
      <c r="G175" s="4">
        <v>45</v>
      </c>
      <c r="H175" s="2">
        <v>7.9598096831560491E-3</v>
      </c>
      <c r="I175" s="3">
        <v>188.98127924359721</v>
      </c>
      <c r="J175" s="3">
        <v>0.19</v>
      </c>
      <c r="K175" s="6">
        <f t="shared" si="10"/>
        <v>9.4490639621798607E-4</v>
      </c>
      <c r="O175" s="3">
        <f t="shared" si="11"/>
        <v>0.23890601262840547</v>
      </c>
      <c r="P175" s="3">
        <f t="shared" si="12"/>
        <v>1.257400066465292</v>
      </c>
      <c r="R175" s="3">
        <f t="shared" si="13"/>
        <v>0.24816305869529276</v>
      </c>
      <c r="S175" s="3">
        <f t="shared" si="14"/>
        <v>1.3061213615541725</v>
      </c>
      <c r="U175" s="3"/>
      <c r="V175" s="3"/>
    </row>
    <row r="176" spans="1:22" x14ac:dyDescent="0.3">
      <c r="B176" s="4">
        <v>10</v>
      </c>
      <c r="C176" s="5">
        <v>1</v>
      </c>
      <c r="D176" s="4">
        <v>45</v>
      </c>
      <c r="E176" s="3">
        <v>2.8</v>
      </c>
      <c r="F176" s="4">
        <v>40</v>
      </c>
      <c r="G176" s="4">
        <v>45</v>
      </c>
      <c r="H176" s="2">
        <v>7.9598096831560491E-3</v>
      </c>
      <c r="I176" s="3">
        <v>195.77465456179567</v>
      </c>
      <c r="J176" s="3">
        <v>0.2</v>
      </c>
      <c r="K176" s="6">
        <f t="shared" si="10"/>
        <v>9.7887327280897843E-4</v>
      </c>
      <c r="O176" s="3">
        <f t="shared" si="11"/>
        <v>0.24608211872091396</v>
      </c>
      <c r="P176" s="3">
        <f t="shared" si="12"/>
        <v>1.2304105936045697</v>
      </c>
      <c r="R176" s="3">
        <f t="shared" si="13"/>
        <v>0.25576170218053584</v>
      </c>
      <c r="S176" s="3">
        <f t="shared" si="14"/>
        <v>1.2788085109026792</v>
      </c>
      <c r="U176" s="3"/>
      <c r="V176" s="3"/>
    </row>
    <row r="177" spans="1:22" x14ac:dyDescent="0.3">
      <c r="B177" s="4">
        <v>10</v>
      </c>
      <c r="C177" s="5">
        <v>1</v>
      </c>
      <c r="D177" s="4">
        <v>45</v>
      </c>
      <c r="E177" s="3">
        <v>2.8</v>
      </c>
      <c r="F177" s="4">
        <v>40</v>
      </c>
      <c r="G177" s="4">
        <v>45</v>
      </c>
      <c r="H177" s="2">
        <v>7.9598096831560491E-3</v>
      </c>
      <c r="I177" s="3">
        <v>224.4577947941888</v>
      </c>
      <c r="J177" s="3">
        <v>0.23</v>
      </c>
      <c r="K177" s="6">
        <f t="shared" si="10"/>
        <v>1.122288973970944E-3</v>
      </c>
      <c r="O177" s="3">
        <f t="shared" si="11"/>
        <v>0.27595547203891019</v>
      </c>
      <c r="P177" s="3">
        <f t="shared" si="12"/>
        <v>1.1998064001691746</v>
      </c>
      <c r="R177" s="3">
        <f t="shared" si="13"/>
        <v>0.28743822228068638</v>
      </c>
      <c r="S177" s="3">
        <f t="shared" si="14"/>
        <v>1.2497314012203755</v>
      </c>
      <c r="U177" s="3"/>
      <c r="V177" s="3"/>
    </row>
    <row r="178" spans="1:22" x14ac:dyDescent="0.3">
      <c r="B178" s="4">
        <v>10</v>
      </c>
      <c r="C178" s="5">
        <v>1</v>
      </c>
      <c r="D178" s="4">
        <v>45</v>
      </c>
      <c r="E178" s="3">
        <v>2.8</v>
      </c>
      <c r="F178" s="4">
        <v>40</v>
      </c>
      <c r="G178" s="4">
        <v>45</v>
      </c>
      <c r="H178" s="2">
        <v>7.9598096831560491E-3</v>
      </c>
      <c r="I178" s="3">
        <v>244.08310126898419</v>
      </c>
      <c r="J178" s="3">
        <v>0.25</v>
      </c>
      <c r="K178" s="6">
        <f t="shared" si="10"/>
        <v>1.2204155063449209E-3</v>
      </c>
      <c r="O178" s="3">
        <f t="shared" si="11"/>
        <v>0.29603614611426488</v>
      </c>
      <c r="P178" s="3">
        <f t="shared" si="12"/>
        <v>1.1841445844570595</v>
      </c>
      <c r="R178" s="3">
        <f t="shared" si="13"/>
        <v>0.30876829386945848</v>
      </c>
      <c r="S178" s="3">
        <f t="shared" si="14"/>
        <v>1.2350731754778339</v>
      </c>
      <c r="U178" s="3"/>
      <c r="V178" s="3"/>
    </row>
    <row r="179" spans="1:22" x14ac:dyDescent="0.3">
      <c r="B179" s="4">
        <v>10</v>
      </c>
      <c r="C179" s="5">
        <v>1</v>
      </c>
      <c r="D179" s="4">
        <v>45</v>
      </c>
      <c r="E179" s="3">
        <v>2.8</v>
      </c>
      <c r="F179" s="4">
        <v>40</v>
      </c>
      <c r="G179" s="4">
        <v>45</v>
      </c>
      <c r="H179" s="2">
        <v>7.9598096831560491E-3</v>
      </c>
      <c r="I179" s="3">
        <v>265.97286618317912</v>
      </c>
      <c r="J179" s="3">
        <v>0.28000000000000003</v>
      </c>
      <c r="K179" s="6">
        <f t="shared" si="10"/>
        <v>1.3298643309158956E-3</v>
      </c>
      <c r="O179" s="3">
        <f t="shared" si="11"/>
        <v>0.31812794779388542</v>
      </c>
      <c r="P179" s="3">
        <f t="shared" si="12"/>
        <v>1.1361712421210193</v>
      </c>
      <c r="R179" s="3">
        <f t="shared" si="13"/>
        <v>0.33226651326597856</v>
      </c>
      <c r="S179" s="3">
        <f t="shared" si="14"/>
        <v>1.1866661188070662</v>
      </c>
      <c r="U179" s="3"/>
      <c r="V179" s="3"/>
    </row>
    <row r="180" spans="1:22" x14ac:dyDescent="0.3">
      <c r="B180" s="4">
        <v>10</v>
      </c>
      <c r="C180" s="5">
        <v>1</v>
      </c>
      <c r="D180" s="4">
        <v>45</v>
      </c>
      <c r="E180" s="3">
        <v>2.8</v>
      </c>
      <c r="F180" s="4">
        <v>40</v>
      </c>
      <c r="G180" s="4">
        <v>45</v>
      </c>
      <c r="H180" s="2">
        <v>7.9598096831560491E-3</v>
      </c>
      <c r="I180" s="3">
        <v>285.59817265797443</v>
      </c>
      <c r="J180" s="3">
        <v>0.31</v>
      </c>
      <c r="K180" s="6">
        <f t="shared" si="10"/>
        <v>1.4279908632898722E-3</v>
      </c>
      <c r="O180" s="3">
        <f t="shared" si="11"/>
        <v>0.33768454474283233</v>
      </c>
      <c r="P180" s="3">
        <f t="shared" si="12"/>
        <v>1.0893049830413946</v>
      </c>
      <c r="R180" s="3">
        <f t="shared" si="13"/>
        <v>0.35309423251771133</v>
      </c>
      <c r="S180" s="3">
        <f t="shared" si="14"/>
        <v>1.1390136532829398</v>
      </c>
      <c r="U180" s="3"/>
      <c r="V180" s="3"/>
    </row>
    <row r="181" spans="1:22" x14ac:dyDescent="0.3">
      <c r="B181" s="4">
        <v>10</v>
      </c>
      <c r="C181" s="5">
        <v>1</v>
      </c>
      <c r="D181" s="4">
        <v>45</v>
      </c>
      <c r="E181" s="3">
        <v>2.8</v>
      </c>
      <c r="F181" s="4">
        <v>40</v>
      </c>
      <c r="G181" s="4">
        <v>45</v>
      </c>
      <c r="H181" s="2">
        <v>7.9598096831560491E-3</v>
      </c>
      <c r="I181" s="3">
        <v>308.99757653176869</v>
      </c>
      <c r="J181" s="3">
        <v>0.36</v>
      </c>
      <c r="K181" s="6">
        <f t="shared" si="10"/>
        <v>1.5449878826588434E-3</v>
      </c>
      <c r="O181" s="3">
        <f t="shared" si="11"/>
        <v>0.36072022229555928</v>
      </c>
      <c r="P181" s="3">
        <f t="shared" si="12"/>
        <v>1.0020006174876648</v>
      </c>
      <c r="R181" s="3">
        <f t="shared" si="13"/>
        <v>0.37765663917449172</v>
      </c>
      <c r="S181" s="3">
        <f t="shared" si="14"/>
        <v>1.0490462199291437</v>
      </c>
      <c r="U181" s="3"/>
      <c r="V181" s="3"/>
    </row>
    <row r="182" spans="1:22" x14ac:dyDescent="0.3">
      <c r="A182" s="1" t="s">
        <v>42</v>
      </c>
      <c r="B182" s="4">
        <v>10</v>
      </c>
      <c r="C182" s="5">
        <v>1</v>
      </c>
      <c r="D182" s="4">
        <v>45</v>
      </c>
      <c r="E182" s="3">
        <v>2.8</v>
      </c>
      <c r="F182" s="4">
        <v>40</v>
      </c>
      <c r="G182" s="4">
        <v>45</v>
      </c>
      <c r="H182" s="2">
        <v>7.9598096831560491E-3</v>
      </c>
      <c r="I182" s="3">
        <v>152.74994421320577</v>
      </c>
      <c r="J182" s="3">
        <v>0.16</v>
      </c>
      <c r="K182" s="6">
        <f t="shared" si="10"/>
        <v>7.6374972106602881E-4</v>
      </c>
      <c r="O182" s="3">
        <f t="shared" si="11"/>
        <v>0.19987766489082298</v>
      </c>
      <c r="P182" s="3">
        <f t="shared" si="12"/>
        <v>1.2492354055676436</v>
      </c>
      <c r="R182" s="3">
        <f t="shared" si="13"/>
        <v>0.20691659204911733</v>
      </c>
      <c r="S182" s="3">
        <f t="shared" si="14"/>
        <v>1.2932287003069833</v>
      </c>
      <c r="U182" s="3"/>
      <c r="V182" s="3"/>
    </row>
    <row r="183" spans="1:22" x14ac:dyDescent="0.3">
      <c r="B183" s="4">
        <v>10</v>
      </c>
      <c r="C183" s="5">
        <v>1</v>
      </c>
      <c r="D183" s="4">
        <v>45</v>
      </c>
      <c r="E183" s="3">
        <v>2.8</v>
      </c>
      <c r="F183" s="4">
        <v>40</v>
      </c>
      <c r="G183" s="4">
        <v>45</v>
      </c>
      <c r="H183" s="2">
        <v>7.9598096831560491E-3</v>
      </c>
      <c r="I183" s="3">
        <v>175.39452860720044</v>
      </c>
      <c r="J183" s="3">
        <v>0.18</v>
      </c>
      <c r="K183" s="6">
        <f t="shared" si="10"/>
        <v>8.7697264303600222E-4</v>
      </c>
      <c r="O183" s="3">
        <f t="shared" si="11"/>
        <v>0.22442621308060853</v>
      </c>
      <c r="P183" s="3">
        <f t="shared" si="12"/>
        <v>1.2468122948922697</v>
      </c>
      <c r="R183" s="3">
        <f t="shared" si="13"/>
        <v>0.23284407478311756</v>
      </c>
      <c r="S183" s="3">
        <f t="shared" si="14"/>
        <v>1.293578193239542</v>
      </c>
      <c r="U183" s="3"/>
      <c r="V183" s="3"/>
    </row>
    <row r="184" spans="1:22" x14ac:dyDescent="0.3">
      <c r="B184" s="4">
        <v>10</v>
      </c>
      <c r="C184" s="5">
        <v>1</v>
      </c>
      <c r="D184" s="4">
        <v>45</v>
      </c>
      <c r="E184" s="3">
        <v>2.8</v>
      </c>
      <c r="F184" s="4">
        <v>40</v>
      </c>
      <c r="G184" s="4">
        <v>45</v>
      </c>
      <c r="H184" s="2">
        <v>7.9598096831560491E-3</v>
      </c>
      <c r="I184" s="3">
        <v>196.52947404159548</v>
      </c>
      <c r="J184" s="3">
        <v>0.2</v>
      </c>
      <c r="K184" s="6">
        <f t="shared" si="10"/>
        <v>9.8264737020797746E-4</v>
      </c>
      <c r="O184" s="3">
        <f t="shared" si="11"/>
        <v>0.24687695056831277</v>
      </c>
      <c r="P184" s="3">
        <f t="shared" si="12"/>
        <v>1.2343847528415637</v>
      </c>
      <c r="R184" s="3">
        <f t="shared" si="13"/>
        <v>0.25660359721022513</v>
      </c>
      <c r="S184" s="3">
        <f t="shared" si="14"/>
        <v>1.2830179860511255</v>
      </c>
      <c r="U184" s="3"/>
      <c r="V184" s="3"/>
    </row>
    <row r="185" spans="1:22" x14ac:dyDescent="0.3">
      <c r="B185" s="4">
        <v>10</v>
      </c>
      <c r="C185" s="5">
        <v>1</v>
      </c>
      <c r="D185" s="4">
        <v>45</v>
      </c>
      <c r="E185" s="3">
        <v>2.8</v>
      </c>
      <c r="F185" s="4">
        <v>40</v>
      </c>
      <c r="G185" s="4">
        <v>45</v>
      </c>
      <c r="H185" s="2">
        <v>7.9598096831560491E-3</v>
      </c>
      <c r="I185" s="3">
        <v>218.41923895579026</v>
      </c>
      <c r="J185" s="3">
        <v>0.23</v>
      </c>
      <c r="K185" s="6">
        <f t="shared" si="10"/>
        <v>1.0920961947789513E-3</v>
      </c>
      <c r="O185" s="3">
        <f t="shared" si="11"/>
        <v>0.26972046763698709</v>
      </c>
      <c r="P185" s="3">
        <f t="shared" si="12"/>
        <v>1.1726976853782047</v>
      </c>
      <c r="R185" s="3">
        <f t="shared" si="13"/>
        <v>0.28082121308277758</v>
      </c>
      <c r="S185" s="3">
        <f t="shared" si="14"/>
        <v>1.2209617960120764</v>
      </c>
      <c r="U185" s="3"/>
      <c r="V185" s="3"/>
    </row>
    <row r="186" spans="1:22" x14ac:dyDescent="0.3">
      <c r="B186" s="4">
        <v>10</v>
      </c>
      <c r="C186" s="5">
        <v>1</v>
      </c>
      <c r="D186" s="4">
        <v>45</v>
      </c>
      <c r="E186" s="3">
        <v>2.8</v>
      </c>
      <c r="F186" s="4">
        <v>40</v>
      </c>
      <c r="G186" s="4">
        <v>45</v>
      </c>
      <c r="H186" s="2">
        <v>7.9598096831560491E-3</v>
      </c>
      <c r="I186" s="3">
        <v>241.81864282958486</v>
      </c>
      <c r="J186" s="3">
        <v>0.24</v>
      </c>
      <c r="K186" s="6">
        <f t="shared" si="10"/>
        <v>1.2090932141479243E-3</v>
      </c>
      <c r="O186" s="3">
        <f t="shared" si="11"/>
        <v>0.29373288690393223</v>
      </c>
      <c r="P186" s="3">
        <f t="shared" si="12"/>
        <v>1.2238870287663843</v>
      </c>
      <c r="R186" s="3">
        <f t="shared" si="13"/>
        <v>0.30632028896299474</v>
      </c>
      <c r="S186" s="3">
        <f t="shared" si="14"/>
        <v>1.2763345373458115</v>
      </c>
      <c r="U186" s="3"/>
      <c r="V186" s="3"/>
    </row>
    <row r="187" spans="1:22" x14ac:dyDescent="0.3">
      <c r="B187" s="4">
        <v>10</v>
      </c>
      <c r="C187" s="5">
        <v>1</v>
      </c>
      <c r="D187" s="4">
        <v>45</v>
      </c>
      <c r="E187" s="3">
        <v>2.8</v>
      </c>
      <c r="F187" s="4">
        <v>40</v>
      </c>
      <c r="G187" s="4">
        <v>45</v>
      </c>
      <c r="H187" s="2">
        <v>7.9598096831560491E-3</v>
      </c>
      <c r="I187" s="3">
        <v>265.97286618317912</v>
      </c>
      <c r="J187" s="3">
        <v>0.25</v>
      </c>
      <c r="K187" s="6">
        <f t="shared" si="10"/>
        <v>1.3298643309158956E-3</v>
      </c>
      <c r="O187" s="3">
        <f t="shared" si="11"/>
        <v>0.31812794779388542</v>
      </c>
      <c r="P187" s="3">
        <f t="shared" si="12"/>
        <v>1.2725117911755417</v>
      </c>
      <c r="R187" s="3">
        <f t="shared" si="13"/>
        <v>0.33226651326597856</v>
      </c>
      <c r="S187" s="3">
        <f t="shared" si="14"/>
        <v>1.3290660530639142</v>
      </c>
      <c r="U187" s="3"/>
      <c r="V187" s="3"/>
    </row>
    <row r="188" spans="1:22" x14ac:dyDescent="0.3">
      <c r="B188" s="4">
        <v>10</v>
      </c>
      <c r="C188" s="5">
        <v>1</v>
      </c>
      <c r="D188" s="4">
        <v>45</v>
      </c>
      <c r="E188" s="3">
        <v>2.8</v>
      </c>
      <c r="F188" s="4">
        <v>40</v>
      </c>
      <c r="G188" s="4">
        <v>45</v>
      </c>
      <c r="H188" s="2">
        <v>7.9598096831560491E-3</v>
      </c>
      <c r="I188" s="3">
        <v>287.86263109737382</v>
      </c>
      <c r="J188" s="3">
        <v>0.27</v>
      </c>
      <c r="K188" s="6">
        <f t="shared" si="10"/>
        <v>1.439313155486869E-3</v>
      </c>
      <c r="O188" s="3">
        <f t="shared" si="11"/>
        <v>0.33992680478381954</v>
      </c>
      <c r="P188" s="3">
        <f t="shared" si="12"/>
        <v>1.2589881658659983</v>
      </c>
      <c r="R188" s="3">
        <f t="shared" si="13"/>
        <v>0.35548373088814017</v>
      </c>
      <c r="S188" s="3">
        <f t="shared" si="14"/>
        <v>1.3166064106968154</v>
      </c>
      <c r="U188" s="3"/>
      <c r="V188" s="3"/>
    </row>
    <row r="189" spans="1:22" x14ac:dyDescent="0.3">
      <c r="B189" s="4">
        <v>10</v>
      </c>
      <c r="C189" s="5">
        <v>1</v>
      </c>
      <c r="D189" s="4">
        <v>45</v>
      </c>
      <c r="E189" s="3">
        <v>2.8</v>
      </c>
      <c r="F189" s="4">
        <v>40</v>
      </c>
      <c r="G189" s="4">
        <v>45</v>
      </c>
      <c r="H189" s="2">
        <v>7.9598096831560491E-3</v>
      </c>
      <c r="I189" s="3">
        <v>307.48793757216924</v>
      </c>
      <c r="J189" s="3">
        <v>0.28999999999999998</v>
      </c>
      <c r="K189" s="6">
        <f t="shared" si="10"/>
        <v>1.5374396878608462E-3</v>
      </c>
      <c r="O189" s="3">
        <f t="shared" si="11"/>
        <v>0.35924279986780583</v>
      </c>
      <c r="P189" s="3">
        <f t="shared" si="12"/>
        <v>1.238768275406227</v>
      </c>
      <c r="R189" s="3">
        <f t="shared" si="13"/>
        <v>0.37608037803274613</v>
      </c>
      <c r="S189" s="3">
        <f t="shared" si="14"/>
        <v>1.2968288897680902</v>
      </c>
      <c r="U189" s="3"/>
      <c r="V189" s="3"/>
    </row>
    <row r="190" spans="1:22" x14ac:dyDescent="0.3">
      <c r="A190" s="1" t="s">
        <v>43</v>
      </c>
      <c r="B190" s="4">
        <v>10</v>
      </c>
      <c r="C190" s="5">
        <v>1</v>
      </c>
      <c r="D190" s="4">
        <v>45</v>
      </c>
      <c r="E190" s="3">
        <v>2.8</v>
      </c>
      <c r="F190" s="4">
        <v>40</v>
      </c>
      <c r="G190" s="4">
        <v>45</v>
      </c>
      <c r="H190" s="2">
        <v>7.9598096831560491E-3</v>
      </c>
      <c r="I190" s="3">
        <v>177.65898704659995</v>
      </c>
      <c r="J190" s="3">
        <v>0.15</v>
      </c>
      <c r="K190" s="6">
        <f t="shared" si="10"/>
        <v>8.8829493523299974E-4</v>
      </c>
      <c r="O190" s="3">
        <f t="shared" si="11"/>
        <v>0.22685178280810864</v>
      </c>
      <c r="P190" s="3">
        <f t="shared" si="12"/>
        <v>1.5123452187207242</v>
      </c>
      <c r="R190" s="3">
        <f t="shared" si="13"/>
        <v>0.23540893602592278</v>
      </c>
      <c r="S190" s="3">
        <f t="shared" si="14"/>
        <v>1.5693929068394852</v>
      </c>
      <c r="U190" s="3"/>
      <c r="V190" s="3"/>
    </row>
    <row r="191" spans="1:22" x14ac:dyDescent="0.3">
      <c r="B191" s="4">
        <v>10</v>
      </c>
      <c r="C191" s="5">
        <v>1</v>
      </c>
      <c r="D191" s="4">
        <v>45</v>
      </c>
      <c r="E191" s="3">
        <v>2.8</v>
      </c>
      <c r="F191" s="4">
        <v>40</v>
      </c>
      <c r="G191" s="4">
        <v>45</v>
      </c>
      <c r="H191" s="2">
        <v>7.9598096831560491E-3</v>
      </c>
      <c r="I191" s="3">
        <v>199.54875196079473</v>
      </c>
      <c r="J191" s="3">
        <v>0.16</v>
      </c>
      <c r="K191" s="6">
        <f t="shared" si="10"/>
        <v>9.9774375980397358E-4</v>
      </c>
      <c r="O191" s="3">
        <f t="shared" si="11"/>
        <v>0.25005135591754379</v>
      </c>
      <c r="P191" s="3">
        <f t="shared" si="12"/>
        <v>1.5628209744846486</v>
      </c>
      <c r="R191" s="3">
        <f t="shared" si="13"/>
        <v>0.25996647832837227</v>
      </c>
      <c r="S191" s="3">
        <f t="shared" si="14"/>
        <v>1.6247904895523266</v>
      </c>
      <c r="U191" s="3"/>
      <c r="V191" s="3"/>
    </row>
    <row r="192" spans="1:22" x14ac:dyDescent="0.3">
      <c r="B192" s="4">
        <v>10</v>
      </c>
      <c r="C192" s="5">
        <v>1</v>
      </c>
      <c r="D192" s="4">
        <v>45</v>
      </c>
      <c r="E192" s="3">
        <v>2.8</v>
      </c>
      <c r="F192" s="4">
        <v>40</v>
      </c>
      <c r="G192" s="4">
        <v>45</v>
      </c>
      <c r="H192" s="2">
        <v>7.9598096831560491E-3</v>
      </c>
      <c r="I192" s="3">
        <v>230.49635063258745</v>
      </c>
      <c r="J192" s="3">
        <v>0.18</v>
      </c>
      <c r="K192" s="6">
        <f t="shared" si="10"/>
        <v>1.1524817531629373E-3</v>
      </c>
      <c r="O192" s="3">
        <f t="shared" si="11"/>
        <v>0.28216335825364136</v>
      </c>
      <c r="P192" s="3">
        <f t="shared" si="12"/>
        <v>1.5675742125202299</v>
      </c>
      <c r="R192" s="3">
        <f t="shared" si="13"/>
        <v>0.29402928870122824</v>
      </c>
      <c r="S192" s="3">
        <f t="shared" si="14"/>
        <v>1.633496048340157</v>
      </c>
      <c r="U192" s="3"/>
      <c r="V192" s="3"/>
    </row>
    <row r="193" spans="1:22" x14ac:dyDescent="0.3">
      <c r="B193" s="4">
        <v>10</v>
      </c>
      <c r="C193" s="5">
        <v>1</v>
      </c>
      <c r="D193" s="4">
        <v>45</v>
      </c>
      <c r="E193" s="3">
        <v>2.8</v>
      </c>
      <c r="F193" s="4">
        <v>40</v>
      </c>
      <c r="G193" s="4">
        <v>45</v>
      </c>
      <c r="H193" s="2">
        <v>7.9598096831560491E-3</v>
      </c>
      <c r="I193" s="3">
        <v>248.61201814778312</v>
      </c>
      <c r="J193" s="3">
        <v>0.18</v>
      </c>
      <c r="K193" s="6">
        <f t="shared" si="10"/>
        <v>1.2430600907389156E-3</v>
      </c>
      <c r="O193" s="3">
        <f t="shared" si="11"/>
        <v>0.3006323241139392</v>
      </c>
      <c r="P193" s="3">
        <f t="shared" si="12"/>
        <v>1.6701795784107734</v>
      </c>
      <c r="R193" s="3">
        <f t="shared" si="13"/>
        <v>0.31365439766823128</v>
      </c>
      <c r="S193" s="3">
        <f t="shared" si="14"/>
        <v>1.7425244314901738</v>
      </c>
      <c r="U193" s="3"/>
      <c r="V193" s="3"/>
    </row>
    <row r="194" spans="1:22" x14ac:dyDescent="0.3">
      <c r="B194" s="4">
        <v>10</v>
      </c>
      <c r="C194" s="5">
        <v>1</v>
      </c>
      <c r="D194" s="4">
        <v>45</v>
      </c>
      <c r="E194" s="3">
        <v>2.8</v>
      </c>
      <c r="F194" s="4">
        <v>40</v>
      </c>
      <c r="G194" s="4">
        <v>45</v>
      </c>
      <c r="H194" s="2">
        <v>7.9598096831560491E-3</v>
      </c>
      <c r="I194" s="3">
        <v>265.97286618317912</v>
      </c>
      <c r="J194" s="3">
        <v>0.19</v>
      </c>
      <c r="K194" s="6">
        <f t="shared" si="10"/>
        <v>1.3298643309158956E-3</v>
      </c>
      <c r="O194" s="3">
        <f t="shared" si="11"/>
        <v>0.31812794779388542</v>
      </c>
      <c r="P194" s="3">
        <f t="shared" si="12"/>
        <v>1.6743576199678181</v>
      </c>
      <c r="R194" s="3">
        <f t="shared" si="13"/>
        <v>0.33226651326597856</v>
      </c>
      <c r="S194" s="3">
        <f t="shared" si="14"/>
        <v>1.7487711224525186</v>
      </c>
      <c r="U194" s="3"/>
      <c r="V194" s="3"/>
    </row>
    <row r="195" spans="1:22" x14ac:dyDescent="0.3">
      <c r="B195" s="4">
        <v>10</v>
      </c>
      <c r="C195" s="5">
        <v>1</v>
      </c>
      <c r="D195" s="4">
        <v>45</v>
      </c>
      <c r="E195" s="3">
        <v>2.8</v>
      </c>
      <c r="F195" s="4">
        <v>40</v>
      </c>
      <c r="G195" s="4">
        <v>45</v>
      </c>
      <c r="H195" s="2">
        <v>7.9598096831560491E-3</v>
      </c>
      <c r="I195" s="3">
        <v>284.84335317817465</v>
      </c>
      <c r="J195" s="3">
        <v>0.2</v>
      </c>
      <c r="K195" s="6">
        <f t="shared" si="10"/>
        <v>1.4242167658908734E-3</v>
      </c>
      <c r="O195" s="3">
        <f t="shared" si="11"/>
        <v>0.33693648559812789</v>
      </c>
      <c r="P195" s="3">
        <f t="shared" si="12"/>
        <v>1.6846824279906394</v>
      </c>
      <c r="R195" s="3">
        <f t="shared" si="13"/>
        <v>0.35229711925194823</v>
      </c>
      <c r="S195" s="3">
        <f t="shared" si="14"/>
        <v>1.7614855962597411</v>
      </c>
      <c r="U195" s="3"/>
      <c r="V195" s="3"/>
    </row>
    <row r="196" spans="1:22" x14ac:dyDescent="0.3">
      <c r="B196" s="4">
        <v>10</v>
      </c>
      <c r="C196" s="5">
        <v>1</v>
      </c>
      <c r="D196" s="4">
        <v>45</v>
      </c>
      <c r="E196" s="3">
        <v>2.8</v>
      </c>
      <c r="F196" s="4">
        <v>40</v>
      </c>
      <c r="G196" s="4">
        <v>45</v>
      </c>
      <c r="H196" s="2">
        <v>7.9598096831560491E-3</v>
      </c>
      <c r="I196" s="3">
        <v>309.75239601156881</v>
      </c>
      <c r="J196" s="3">
        <v>0.22</v>
      </c>
      <c r="K196" s="6">
        <f t="shared" si="10"/>
        <v>1.548761980057844E-3</v>
      </c>
      <c r="O196" s="3">
        <f t="shared" si="11"/>
        <v>0.36145849476745656</v>
      </c>
      <c r="P196" s="3">
        <f t="shared" si="12"/>
        <v>1.6429931580338935</v>
      </c>
      <c r="R196" s="3">
        <f t="shared" si="13"/>
        <v>0.37844434787226772</v>
      </c>
      <c r="S196" s="3">
        <f t="shared" si="14"/>
        <v>1.7202015812375806</v>
      </c>
      <c r="U196" s="3"/>
      <c r="V196" s="3"/>
    </row>
    <row r="197" spans="1:22" x14ac:dyDescent="0.3">
      <c r="A197" s="1" t="s">
        <v>44</v>
      </c>
      <c r="B197" s="4">
        <v>20</v>
      </c>
      <c r="C197" s="5">
        <v>1</v>
      </c>
      <c r="D197" s="4">
        <v>40</v>
      </c>
      <c r="E197" s="3">
        <v>2.8</v>
      </c>
      <c r="F197" s="4">
        <v>40</v>
      </c>
      <c r="G197" s="4">
        <v>50</v>
      </c>
      <c r="H197" s="2">
        <v>3.7261485294905368E-2</v>
      </c>
      <c r="I197" s="3">
        <v>170.96444225131484</v>
      </c>
      <c r="J197" s="3">
        <v>0.16</v>
      </c>
      <c r="K197" s="6">
        <f t="shared" si="10"/>
        <v>8.5482221125657417E-4</v>
      </c>
      <c r="O197" s="3">
        <f t="shared" si="11"/>
        <v>0.2196201334798849</v>
      </c>
      <c r="P197" s="3">
        <f t="shared" si="12"/>
        <v>1.3726258342492805</v>
      </c>
      <c r="R197" s="3">
        <f t="shared" si="13"/>
        <v>0.21244434353732305</v>
      </c>
      <c r="S197" s="3">
        <f t="shared" si="14"/>
        <v>1.3277771471082691</v>
      </c>
      <c r="U197" s="3"/>
      <c r="V197" s="3"/>
    </row>
    <row r="198" spans="1:22" x14ac:dyDescent="0.3">
      <c r="B198" s="4">
        <v>20</v>
      </c>
      <c r="C198" s="5">
        <v>1</v>
      </c>
      <c r="D198" s="4">
        <v>40</v>
      </c>
      <c r="E198" s="3">
        <v>2.8</v>
      </c>
      <c r="F198" s="4">
        <v>40</v>
      </c>
      <c r="G198" s="4">
        <v>50</v>
      </c>
      <c r="H198" s="2">
        <v>3.7261485294905368E-2</v>
      </c>
      <c r="I198" s="3">
        <v>212.3682872108875</v>
      </c>
      <c r="J198" s="3">
        <v>0.2</v>
      </c>
      <c r="K198" s="6">
        <f t="shared" si="10"/>
        <v>1.0618414360544376E-3</v>
      </c>
      <c r="O198" s="3">
        <f t="shared" si="11"/>
        <v>0.26338936468171442</v>
      </c>
      <c r="P198" s="3">
        <f t="shared" si="12"/>
        <v>1.3169468234085719</v>
      </c>
      <c r="R198" s="3">
        <f t="shared" si="13"/>
        <v>0.25566907355051549</v>
      </c>
      <c r="S198" s="3">
        <f t="shared" si="14"/>
        <v>1.2783453677525773</v>
      </c>
      <c r="U198" s="3"/>
      <c r="V198" s="3"/>
    </row>
    <row r="199" spans="1:22" x14ac:dyDescent="0.3">
      <c r="B199" s="4">
        <v>20</v>
      </c>
      <c r="C199" s="5">
        <v>1</v>
      </c>
      <c r="D199" s="4">
        <v>40</v>
      </c>
      <c r="E199" s="3">
        <v>2.8</v>
      </c>
      <c r="F199" s="4">
        <v>40</v>
      </c>
      <c r="G199" s="4">
        <v>50</v>
      </c>
      <c r="H199" s="2">
        <v>3.7261485294905368E-2</v>
      </c>
      <c r="I199" s="3">
        <v>253.63178015364812</v>
      </c>
      <c r="J199" s="3">
        <v>0.23</v>
      </c>
      <c r="K199" s="6">
        <f t="shared" si="10"/>
        <v>1.2681589007682405E-3</v>
      </c>
      <c r="O199" s="3">
        <f t="shared" si="11"/>
        <v>0.3056467423365789</v>
      </c>
      <c r="P199" s="3">
        <f t="shared" si="12"/>
        <v>1.328898879724256</v>
      </c>
      <c r="R199" s="3">
        <f t="shared" si="13"/>
        <v>0.29753191560950465</v>
      </c>
      <c r="S199" s="3">
        <f t="shared" si="14"/>
        <v>1.2936170243891505</v>
      </c>
      <c r="U199" s="3"/>
      <c r="V199" s="3"/>
    </row>
    <row r="200" spans="1:22" x14ac:dyDescent="0.3">
      <c r="A200" s="1" t="s">
        <v>45</v>
      </c>
      <c r="B200" s="4">
        <v>20</v>
      </c>
      <c r="C200" s="5">
        <v>1</v>
      </c>
      <c r="D200" s="4">
        <v>40</v>
      </c>
      <c r="E200" s="3">
        <v>2.8</v>
      </c>
      <c r="F200" s="4">
        <v>40</v>
      </c>
      <c r="G200" s="4">
        <v>50</v>
      </c>
      <c r="H200" s="2">
        <v>3.7261485294905368E-2</v>
      </c>
      <c r="I200" s="3">
        <v>179.90822357375421</v>
      </c>
      <c r="J200" s="3">
        <v>0.14000000000000001</v>
      </c>
      <c r="K200" s="6">
        <f t="shared" si="10"/>
        <v>8.9954111786877107E-4</v>
      </c>
      <c r="O200" s="3">
        <f t="shared" si="11"/>
        <v>0.22920803966799369</v>
      </c>
      <c r="P200" s="3">
        <f t="shared" si="12"/>
        <v>1.6372002833428119</v>
      </c>
      <c r="R200" s="3">
        <f t="shared" si="13"/>
        <v>0.22189994337826877</v>
      </c>
      <c r="S200" s="3">
        <f t="shared" si="14"/>
        <v>1.5849995955590626</v>
      </c>
      <c r="U200" s="3"/>
      <c r="V200" s="3"/>
    </row>
    <row r="201" spans="1:22" x14ac:dyDescent="0.3">
      <c r="B201" s="4">
        <v>20</v>
      </c>
      <c r="C201" s="5">
        <v>1</v>
      </c>
      <c r="D201" s="4">
        <v>40</v>
      </c>
      <c r="E201" s="3">
        <v>2.8</v>
      </c>
      <c r="F201" s="4">
        <v>40</v>
      </c>
      <c r="G201" s="4">
        <v>50</v>
      </c>
      <c r="H201" s="2">
        <v>3.7261485294905368E-2</v>
      </c>
      <c r="I201" s="3">
        <v>219.74815493493134</v>
      </c>
      <c r="J201" s="3">
        <v>0.17</v>
      </c>
      <c r="K201" s="6">
        <f t="shared" si="10"/>
        <v>1.0987407746746566E-3</v>
      </c>
      <c r="O201" s="3">
        <f t="shared" si="11"/>
        <v>0.27103816279177267</v>
      </c>
      <c r="P201" s="3">
        <f t="shared" si="12"/>
        <v>1.594342134069251</v>
      </c>
      <c r="R201" s="3">
        <f t="shared" si="13"/>
        <v>0.26323751175224702</v>
      </c>
      <c r="S201" s="3">
        <f t="shared" si="14"/>
        <v>1.5484559514838059</v>
      </c>
      <c r="U201" s="3"/>
      <c r="V201" s="3"/>
    </row>
    <row r="202" spans="1:22" x14ac:dyDescent="0.3">
      <c r="B202" s="4">
        <v>20</v>
      </c>
      <c r="C202" s="5">
        <v>1</v>
      </c>
      <c r="D202" s="4">
        <v>40</v>
      </c>
      <c r="E202" s="3">
        <v>2.8</v>
      </c>
      <c r="F202" s="4">
        <v>40</v>
      </c>
      <c r="G202" s="4">
        <v>50</v>
      </c>
      <c r="H202" s="2">
        <v>3.7261485294905368E-2</v>
      </c>
      <c r="I202" s="3">
        <v>259.21917671157712</v>
      </c>
      <c r="J202" s="3">
        <v>0.21</v>
      </c>
      <c r="K202" s="6">
        <f t="shared" si="10"/>
        <v>1.2960958835578856E-3</v>
      </c>
      <c r="O202" s="3">
        <f t="shared" si="11"/>
        <v>0.31127923348140923</v>
      </c>
      <c r="P202" s="3">
        <f t="shared" si="12"/>
        <v>1.4822820641971868</v>
      </c>
      <c r="R202" s="3">
        <f t="shared" si="13"/>
        <v>0.30312052938621209</v>
      </c>
      <c r="S202" s="3">
        <f t="shared" si="14"/>
        <v>1.4434310923152958</v>
      </c>
      <c r="U202" s="3"/>
      <c r="V202" s="3"/>
    </row>
    <row r="203" spans="1:22" x14ac:dyDescent="0.3">
      <c r="A203" s="1" t="s">
        <v>46</v>
      </c>
      <c r="B203" s="4">
        <v>20</v>
      </c>
      <c r="C203" s="5">
        <v>1</v>
      </c>
      <c r="D203" s="4">
        <v>40</v>
      </c>
      <c r="E203" s="3">
        <v>2.8</v>
      </c>
      <c r="F203" s="4">
        <v>40</v>
      </c>
      <c r="G203" s="4">
        <v>50</v>
      </c>
      <c r="H203" s="2">
        <v>3.7261485294905368E-2</v>
      </c>
      <c r="I203" s="3">
        <v>97.048902003038179</v>
      </c>
      <c r="J203" s="3">
        <v>0.21</v>
      </c>
      <c r="K203" s="6">
        <f t="shared" si="10"/>
        <v>4.8524451001519091E-4</v>
      </c>
      <c r="O203" s="3">
        <f t="shared" si="11"/>
        <v>0.13664547062053078</v>
      </c>
      <c r="P203" s="3">
        <f t="shared" si="12"/>
        <v>0.65069271724062283</v>
      </c>
      <c r="R203" s="3">
        <f t="shared" si="13"/>
        <v>0.130988635790245</v>
      </c>
      <c r="S203" s="3">
        <f t="shared" si="14"/>
        <v>0.62375540852497624</v>
      </c>
      <c r="U203" s="3"/>
      <c r="V203" s="3"/>
    </row>
    <row r="204" spans="1:22" x14ac:dyDescent="0.3">
      <c r="B204" s="4">
        <v>20</v>
      </c>
      <c r="C204" s="5">
        <v>1</v>
      </c>
      <c r="D204" s="4">
        <v>40</v>
      </c>
      <c r="E204" s="3">
        <v>2.8</v>
      </c>
      <c r="F204" s="4">
        <v>40</v>
      </c>
      <c r="G204" s="4">
        <v>50</v>
      </c>
      <c r="H204" s="2">
        <v>3.7261485294905368E-2</v>
      </c>
      <c r="I204" s="3">
        <v>133.0766642710534</v>
      </c>
      <c r="J204" s="3">
        <v>0.25</v>
      </c>
      <c r="K204" s="6">
        <f t="shared" ref="K204:K267" si="15">I204/200000</f>
        <v>6.6538332135526702E-4</v>
      </c>
      <c r="O204" s="3">
        <f t="shared" ref="O204:O267" si="16">$P$2*($P$3*$F204+$P$4*$B204^$P$5*$H204^$P$6)*$K204^$P$7</f>
        <v>0.17803053353836917</v>
      </c>
      <c r="P204" s="3">
        <f t="shared" ref="P204:P267" si="17">O204/$J204</f>
        <v>0.71212213415347669</v>
      </c>
      <c r="R204" s="3">
        <f t="shared" ref="R204:R267" si="18">$S$2*$B204^$S$3*$K204^$S$4*($S$5*$H204^$S$6+$S$7)</f>
        <v>0.17152469361053579</v>
      </c>
      <c r="S204" s="3">
        <f t="shared" ref="S204:S267" si="19">R204/$J204</f>
        <v>0.68609877444214318</v>
      </c>
      <c r="U204" s="3"/>
      <c r="V204" s="3"/>
    </row>
    <row r="205" spans="1:22" x14ac:dyDescent="0.3">
      <c r="B205" s="4">
        <v>20</v>
      </c>
      <c r="C205" s="5">
        <v>1</v>
      </c>
      <c r="D205" s="4">
        <v>40</v>
      </c>
      <c r="E205" s="3">
        <v>2.8</v>
      </c>
      <c r="F205" s="4">
        <v>40</v>
      </c>
      <c r="G205" s="4">
        <v>50</v>
      </c>
      <c r="H205" s="2">
        <v>3.7261485294905368E-2</v>
      </c>
      <c r="I205" s="3">
        <v>170.2626821672543</v>
      </c>
      <c r="J205" s="3">
        <v>0.28999999999999998</v>
      </c>
      <c r="K205" s="6">
        <f t="shared" si="15"/>
        <v>8.513134108362715E-4</v>
      </c>
      <c r="O205" s="3">
        <f t="shared" si="16"/>
        <v>0.21886444354289861</v>
      </c>
      <c r="P205" s="3">
        <f t="shared" si="17"/>
        <v>0.75470497773413314</v>
      </c>
      <c r="R205" s="3">
        <f t="shared" si="18"/>
        <v>0.21169941222475186</v>
      </c>
      <c r="S205" s="3">
        <f t="shared" si="19"/>
        <v>0.72999797318879955</v>
      </c>
      <c r="U205" s="3"/>
      <c r="V205" s="3"/>
    </row>
    <row r="206" spans="1:22" x14ac:dyDescent="0.3">
      <c r="B206" s="4">
        <v>20</v>
      </c>
      <c r="C206" s="5">
        <v>1</v>
      </c>
      <c r="D206" s="4">
        <v>40</v>
      </c>
      <c r="E206" s="3">
        <v>2.8</v>
      </c>
      <c r="F206" s="4">
        <v>40</v>
      </c>
      <c r="G206" s="4">
        <v>50</v>
      </c>
      <c r="H206" s="2">
        <v>3.7261485294905368E-2</v>
      </c>
      <c r="I206" s="3">
        <v>210.68406300914214</v>
      </c>
      <c r="J206" s="3">
        <v>0.33</v>
      </c>
      <c r="K206" s="6">
        <f t="shared" si="15"/>
        <v>1.0534203150457107E-3</v>
      </c>
      <c r="O206" s="3">
        <f t="shared" si="16"/>
        <v>0.26163777552733231</v>
      </c>
      <c r="P206" s="3">
        <f t="shared" si="17"/>
        <v>0.79284174402221907</v>
      </c>
      <c r="R206" s="3">
        <f t="shared" si="18"/>
        <v>0.25393647307322764</v>
      </c>
      <c r="S206" s="3">
        <f t="shared" si="19"/>
        <v>0.76950446385826554</v>
      </c>
      <c r="U206" s="3"/>
      <c r="V206" s="3"/>
    </row>
    <row r="207" spans="1:22" x14ac:dyDescent="0.3">
      <c r="B207" s="4">
        <v>20</v>
      </c>
      <c r="C207" s="5">
        <v>1</v>
      </c>
      <c r="D207" s="4">
        <v>40</v>
      </c>
      <c r="E207" s="3">
        <v>2.8</v>
      </c>
      <c r="F207" s="4">
        <v>40</v>
      </c>
      <c r="G207" s="4">
        <v>50</v>
      </c>
      <c r="H207" s="2">
        <v>3.7261485294905368E-2</v>
      </c>
      <c r="I207" s="3">
        <v>267.80733385167122</v>
      </c>
      <c r="J207" s="3">
        <v>0.37</v>
      </c>
      <c r="K207" s="6">
        <f t="shared" si="15"/>
        <v>1.339036669258356E-3</v>
      </c>
      <c r="O207" s="3">
        <f t="shared" si="16"/>
        <v>0.31989858744432492</v>
      </c>
      <c r="P207" s="3">
        <f t="shared" si="17"/>
        <v>0.86459077687655383</v>
      </c>
      <c r="R207" s="3">
        <f t="shared" si="18"/>
        <v>0.31167646550674866</v>
      </c>
      <c r="S207" s="3">
        <f t="shared" si="19"/>
        <v>0.84236882569391525</v>
      </c>
      <c r="U207" s="3"/>
      <c r="V207" s="3"/>
    </row>
    <row r="208" spans="1:22" x14ac:dyDescent="0.3">
      <c r="A208" s="1" t="s">
        <v>47</v>
      </c>
      <c r="B208" s="4">
        <v>20</v>
      </c>
      <c r="C208" s="5">
        <v>6</v>
      </c>
      <c r="D208" s="4">
        <v>84</v>
      </c>
      <c r="E208" s="3">
        <v>3.5088212858554391</v>
      </c>
      <c r="F208" s="4">
        <v>50</v>
      </c>
      <c r="G208" s="4">
        <v>64</v>
      </c>
      <c r="H208" s="2">
        <v>3.1012448894699375E-2</v>
      </c>
      <c r="I208" s="3">
        <v>99.048548598782915</v>
      </c>
      <c r="J208" s="3">
        <v>0.15</v>
      </c>
      <c r="K208" s="6">
        <f t="shared" si="15"/>
        <v>4.9524274299391456E-4</v>
      </c>
      <c r="O208" s="3">
        <f t="shared" si="16"/>
        <v>0.15242343556522867</v>
      </c>
      <c r="P208" s="3">
        <f t="shared" si="17"/>
        <v>1.0161562371015245</v>
      </c>
      <c r="R208" s="3">
        <f t="shared" si="18"/>
        <v>0.14636425528769501</v>
      </c>
      <c r="S208" s="3">
        <f t="shared" si="19"/>
        <v>0.97576170191796674</v>
      </c>
      <c r="U208" s="3"/>
      <c r="V208" s="3"/>
    </row>
    <row r="209" spans="1:22" x14ac:dyDescent="0.3">
      <c r="B209" s="4">
        <v>20</v>
      </c>
      <c r="C209" s="5">
        <v>6</v>
      </c>
      <c r="D209" s="4">
        <v>84</v>
      </c>
      <c r="E209" s="3">
        <v>3.5088212858554391</v>
      </c>
      <c r="F209" s="4">
        <v>50</v>
      </c>
      <c r="G209" s="4">
        <v>64</v>
      </c>
      <c r="H209" s="2">
        <v>3.1012448894699375E-2</v>
      </c>
      <c r="I209" s="3">
        <v>151.41829365606156</v>
      </c>
      <c r="J209" s="3">
        <v>0.23</v>
      </c>
      <c r="K209" s="6">
        <f t="shared" si="15"/>
        <v>7.5709146828030786E-4</v>
      </c>
      <c r="O209" s="3">
        <f t="shared" si="16"/>
        <v>0.21753066146527561</v>
      </c>
      <c r="P209" s="3">
        <f t="shared" si="17"/>
        <v>0.94578548463163303</v>
      </c>
      <c r="R209" s="3">
        <f t="shared" si="18"/>
        <v>0.21030666926135108</v>
      </c>
      <c r="S209" s="3">
        <f t="shared" si="19"/>
        <v>0.91437682287543942</v>
      </c>
      <c r="U209" s="3"/>
      <c r="V209" s="3"/>
    </row>
    <row r="210" spans="1:22" x14ac:dyDescent="0.3">
      <c r="B210" s="4">
        <v>20</v>
      </c>
      <c r="C210" s="5">
        <v>6</v>
      </c>
      <c r="D210" s="4">
        <v>84</v>
      </c>
      <c r="E210" s="3">
        <v>3.5088212858554391</v>
      </c>
      <c r="F210" s="4">
        <v>50</v>
      </c>
      <c r="G210" s="4">
        <v>64</v>
      </c>
      <c r="H210" s="2">
        <v>3.1012448894699375E-2</v>
      </c>
      <c r="I210" s="3">
        <v>209.09209422845237</v>
      </c>
      <c r="J210" s="3">
        <v>0.28000000000000003</v>
      </c>
      <c r="K210" s="6">
        <f t="shared" si="15"/>
        <v>1.0454604711422619E-3</v>
      </c>
      <c r="O210" s="3">
        <f t="shared" si="16"/>
        <v>0.28508472241091987</v>
      </c>
      <c r="P210" s="3">
        <f t="shared" si="17"/>
        <v>1.0181597228961423</v>
      </c>
      <c r="R210" s="3">
        <f t="shared" si="18"/>
        <v>0.27704419668707758</v>
      </c>
      <c r="S210" s="3">
        <f t="shared" si="19"/>
        <v>0.9894435595967056</v>
      </c>
      <c r="U210" s="3"/>
      <c r="V210" s="3"/>
    </row>
    <row r="211" spans="1:22" x14ac:dyDescent="0.3">
      <c r="A211" s="1" t="s">
        <v>48</v>
      </c>
      <c r="B211" s="4">
        <v>20</v>
      </c>
      <c r="C211" s="5">
        <v>9</v>
      </c>
      <c r="D211" s="4">
        <v>45</v>
      </c>
      <c r="E211" s="3">
        <v>3.5088212858554391</v>
      </c>
      <c r="F211" s="4">
        <v>50</v>
      </c>
      <c r="G211" s="4">
        <v>64</v>
      </c>
      <c r="H211" s="2">
        <v>4.9328037963777847E-2</v>
      </c>
      <c r="I211" s="3">
        <v>121.2060562562981</v>
      </c>
      <c r="J211" s="3">
        <v>0.18</v>
      </c>
      <c r="K211" s="6">
        <f t="shared" si="15"/>
        <v>6.0603028128149053E-4</v>
      </c>
      <c r="O211" s="3">
        <f t="shared" si="16"/>
        <v>0.14386000354447873</v>
      </c>
      <c r="P211" s="3">
        <f t="shared" si="17"/>
        <v>0.79922224191377078</v>
      </c>
      <c r="R211" s="3">
        <f t="shared" si="18"/>
        <v>0.13810663278736143</v>
      </c>
      <c r="S211" s="3">
        <f t="shared" si="19"/>
        <v>0.76725907104089686</v>
      </c>
      <c r="U211" s="3"/>
      <c r="V211" s="3"/>
    </row>
    <row r="212" spans="1:22" x14ac:dyDescent="0.3">
      <c r="B212" s="4">
        <v>20</v>
      </c>
      <c r="C212" s="5">
        <v>9</v>
      </c>
      <c r="D212" s="4">
        <v>45</v>
      </c>
      <c r="E212" s="3">
        <v>3.5088212858554391</v>
      </c>
      <c r="F212" s="4">
        <v>50</v>
      </c>
      <c r="G212" s="4">
        <v>64</v>
      </c>
      <c r="H212" s="2">
        <v>4.9328037963777847E-2</v>
      </c>
      <c r="I212" s="3">
        <v>169.06520538520951</v>
      </c>
      <c r="J212" s="3">
        <v>0.26</v>
      </c>
      <c r="K212" s="6">
        <f t="shared" si="15"/>
        <v>8.4532602692604752E-4</v>
      </c>
      <c r="O212" s="3">
        <f t="shared" si="16"/>
        <v>0.19013240258131231</v>
      </c>
      <c r="P212" s="3">
        <f t="shared" si="17"/>
        <v>0.73127847146658576</v>
      </c>
      <c r="R212" s="3">
        <f t="shared" si="18"/>
        <v>0.18350296457621323</v>
      </c>
      <c r="S212" s="3">
        <f t="shared" si="19"/>
        <v>0.70578063298543547</v>
      </c>
      <c r="U212" s="3"/>
      <c r="V212" s="3"/>
    </row>
    <row r="213" spans="1:22" x14ac:dyDescent="0.3">
      <c r="B213" s="4">
        <v>20</v>
      </c>
      <c r="C213" s="5">
        <v>9</v>
      </c>
      <c r="D213" s="4">
        <v>45</v>
      </c>
      <c r="E213" s="3">
        <v>3.5088212858554391</v>
      </c>
      <c r="F213" s="4">
        <v>50</v>
      </c>
      <c r="G213" s="4">
        <v>64</v>
      </c>
      <c r="H213" s="2">
        <v>4.9328037963777847E-2</v>
      </c>
      <c r="I213" s="3">
        <v>221.141260100343</v>
      </c>
      <c r="J213" s="3">
        <v>0.34</v>
      </c>
      <c r="K213" s="6">
        <f t="shared" si="15"/>
        <v>1.105706300501715E-3</v>
      </c>
      <c r="O213" s="3">
        <f t="shared" si="16"/>
        <v>0.23811127559118359</v>
      </c>
      <c r="P213" s="3">
        <f t="shared" si="17"/>
        <v>0.70032728115053988</v>
      </c>
      <c r="R213" s="3">
        <f t="shared" si="18"/>
        <v>0.2307983815436512</v>
      </c>
      <c r="S213" s="3">
        <f t="shared" si="19"/>
        <v>0.6788187692460329</v>
      </c>
      <c r="U213" s="3"/>
      <c r="V213" s="3"/>
    </row>
    <row r="214" spans="1:22" x14ac:dyDescent="0.3">
      <c r="A214" s="1" t="s">
        <v>49</v>
      </c>
      <c r="B214" s="4">
        <v>16</v>
      </c>
      <c r="C214" s="5">
        <v>2</v>
      </c>
      <c r="D214" s="4">
        <v>52</v>
      </c>
      <c r="E214" s="3">
        <v>3.42</v>
      </c>
      <c r="F214" s="4">
        <v>27</v>
      </c>
      <c r="G214" s="4">
        <v>35</v>
      </c>
      <c r="H214" s="2">
        <v>4.8680193563528699E-2</v>
      </c>
      <c r="I214" s="3">
        <v>187.0831213230353</v>
      </c>
      <c r="J214" s="3">
        <v>0.15</v>
      </c>
      <c r="K214" s="6">
        <f t="shared" si="15"/>
        <v>9.3541560661517648E-4</v>
      </c>
      <c r="O214" s="3">
        <f t="shared" si="16"/>
        <v>0.1622341487202828</v>
      </c>
      <c r="P214" s="3">
        <f t="shared" si="17"/>
        <v>1.081560991468552</v>
      </c>
      <c r="R214" s="3">
        <f t="shared" si="18"/>
        <v>0.15583919049188985</v>
      </c>
      <c r="S214" s="3">
        <f t="shared" si="19"/>
        <v>1.038927936612599</v>
      </c>
      <c r="U214" s="3"/>
      <c r="V214" s="3"/>
    </row>
    <row r="215" spans="1:22" x14ac:dyDescent="0.3">
      <c r="B215" s="4">
        <v>16</v>
      </c>
      <c r="C215" s="5">
        <v>2</v>
      </c>
      <c r="D215" s="4">
        <v>52</v>
      </c>
      <c r="E215" s="3">
        <v>3.42</v>
      </c>
      <c r="F215" s="4">
        <v>27</v>
      </c>
      <c r="G215" s="4">
        <v>35</v>
      </c>
      <c r="H215" s="2">
        <v>4.8680193563528699E-2</v>
      </c>
      <c r="I215" s="3">
        <v>284.06540901800247</v>
      </c>
      <c r="J215" s="3">
        <v>0.19</v>
      </c>
      <c r="K215" s="6">
        <f t="shared" si="15"/>
        <v>1.4203270450900123E-3</v>
      </c>
      <c r="O215" s="3">
        <f t="shared" si="16"/>
        <v>0.23021936559243555</v>
      </c>
      <c r="P215" s="3">
        <f t="shared" si="17"/>
        <v>1.2116808715391345</v>
      </c>
      <c r="R215" s="3">
        <f t="shared" si="18"/>
        <v>0.22262729117224583</v>
      </c>
      <c r="S215" s="3">
        <f t="shared" si="19"/>
        <v>1.1717225851170834</v>
      </c>
      <c r="U215" s="3"/>
      <c r="V215" s="3"/>
    </row>
    <row r="216" spans="1:22" x14ac:dyDescent="0.3">
      <c r="B216" s="4">
        <v>16</v>
      </c>
      <c r="C216" s="5">
        <v>2</v>
      </c>
      <c r="D216" s="4">
        <v>52</v>
      </c>
      <c r="E216" s="3">
        <v>3.42</v>
      </c>
      <c r="F216" s="4">
        <v>27</v>
      </c>
      <c r="G216" s="4">
        <v>35</v>
      </c>
      <c r="H216" s="2">
        <v>4.8680193563528699E-2</v>
      </c>
      <c r="I216" s="3">
        <v>342.25478163498269</v>
      </c>
      <c r="J216" s="3">
        <v>0.22</v>
      </c>
      <c r="K216" s="6">
        <f t="shared" si="15"/>
        <v>1.7112739081749134E-3</v>
      </c>
      <c r="O216" s="3">
        <f t="shared" si="16"/>
        <v>0.2691300393737508</v>
      </c>
      <c r="P216" s="3">
        <f t="shared" si="17"/>
        <v>1.2233183607897764</v>
      </c>
      <c r="R216" s="3">
        <f t="shared" si="18"/>
        <v>0.2610319230696832</v>
      </c>
      <c r="S216" s="3">
        <f t="shared" si="19"/>
        <v>1.1865087412258328</v>
      </c>
      <c r="U216" s="3"/>
      <c r="V216" s="3"/>
    </row>
    <row r="217" spans="1:22" x14ac:dyDescent="0.3">
      <c r="B217" s="4">
        <v>16</v>
      </c>
      <c r="C217" s="5">
        <v>2</v>
      </c>
      <c r="D217" s="4">
        <v>52</v>
      </c>
      <c r="E217" s="3">
        <v>3.42</v>
      </c>
      <c r="F217" s="4">
        <v>27</v>
      </c>
      <c r="G217" s="4">
        <v>35</v>
      </c>
      <c r="H217" s="2">
        <v>4.8680193563528699E-2</v>
      </c>
      <c r="I217" s="3">
        <v>390.74592548246613</v>
      </c>
      <c r="J217" s="3">
        <v>0.22</v>
      </c>
      <c r="K217" s="6">
        <f t="shared" si="15"/>
        <v>1.9537296274123308E-3</v>
      </c>
      <c r="O217" s="3">
        <f t="shared" si="16"/>
        <v>0.30073559171101683</v>
      </c>
      <c r="P217" s="3">
        <f t="shared" si="17"/>
        <v>1.3669799623228038</v>
      </c>
      <c r="R217" s="3">
        <f t="shared" si="18"/>
        <v>0.29230550620944035</v>
      </c>
      <c r="S217" s="3">
        <f t="shared" si="19"/>
        <v>1.3286613918610926</v>
      </c>
      <c r="U217" s="3"/>
      <c r="V217" s="3"/>
    </row>
    <row r="218" spans="1:22" x14ac:dyDescent="0.3">
      <c r="B218" s="4">
        <v>16</v>
      </c>
      <c r="C218" s="5">
        <v>2</v>
      </c>
      <c r="D218" s="4">
        <v>52</v>
      </c>
      <c r="E218" s="3">
        <v>3.42</v>
      </c>
      <c r="F218" s="4">
        <v>27</v>
      </c>
      <c r="G218" s="4">
        <v>35</v>
      </c>
      <c r="H218" s="2">
        <v>4.8680193563528699E-2</v>
      </c>
      <c r="I218" s="3">
        <v>468.3317556384398</v>
      </c>
      <c r="J218" s="3">
        <v>0.25</v>
      </c>
      <c r="K218" s="6">
        <f t="shared" si="15"/>
        <v>2.341658778192199E-3</v>
      </c>
      <c r="O218" s="3">
        <f t="shared" si="16"/>
        <v>0.35002671789338596</v>
      </c>
      <c r="P218" s="3">
        <f t="shared" si="17"/>
        <v>1.4001068715735439</v>
      </c>
      <c r="R218" s="3">
        <f t="shared" si="18"/>
        <v>0.34120226780428697</v>
      </c>
      <c r="S218" s="3">
        <f t="shared" si="19"/>
        <v>1.3648090712171479</v>
      </c>
      <c r="U218" s="3"/>
      <c r="V218" s="3"/>
    </row>
    <row r="219" spans="1:22" x14ac:dyDescent="0.3">
      <c r="B219" s="4">
        <v>16</v>
      </c>
      <c r="C219" s="5">
        <v>2</v>
      </c>
      <c r="D219" s="4">
        <v>52</v>
      </c>
      <c r="E219" s="3">
        <v>3.42</v>
      </c>
      <c r="F219" s="4">
        <v>27</v>
      </c>
      <c r="G219" s="4">
        <v>35</v>
      </c>
      <c r="H219" s="2">
        <v>4.8680193563528699E-2</v>
      </c>
      <c r="I219" s="3">
        <v>526.10180870720353</v>
      </c>
      <c r="J219" s="3">
        <v>0.28999999999999998</v>
      </c>
      <c r="K219" s="6">
        <f t="shared" si="15"/>
        <v>2.6305090435360177E-3</v>
      </c>
      <c r="O219" s="3">
        <f t="shared" si="16"/>
        <v>0.38586355538787898</v>
      </c>
      <c r="P219" s="3">
        <f t="shared" si="17"/>
        <v>1.3305639840961345</v>
      </c>
      <c r="R219" s="3">
        <f t="shared" si="18"/>
        <v>0.37683630255526573</v>
      </c>
      <c r="S219" s="3">
        <f t="shared" si="19"/>
        <v>1.2994355260526405</v>
      </c>
      <c r="U219" s="3"/>
      <c r="V219" s="3"/>
    </row>
    <row r="220" spans="1:22" x14ac:dyDescent="0.3">
      <c r="A220" s="1" t="s">
        <v>50</v>
      </c>
      <c r="B220" s="4">
        <v>20</v>
      </c>
      <c r="C220" s="5">
        <v>2</v>
      </c>
      <c r="D220" s="4">
        <v>44</v>
      </c>
      <c r="E220" s="3">
        <v>3.42</v>
      </c>
      <c r="F220" s="4">
        <v>25</v>
      </c>
      <c r="G220" s="4">
        <v>35</v>
      </c>
      <c r="H220" s="2">
        <v>8.2535915718449052E-2</v>
      </c>
      <c r="I220" s="3">
        <v>242.78254560699045</v>
      </c>
      <c r="J220" s="3">
        <v>0.17</v>
      </c>
      <c r="K220" s="6">
        <f t="shared" si="15"/>
        <v>1.2139127280349524E-3</v>
      </c>
      <c r="O220" s="3">
        <f t="shared" si="16"/>
        <v>0.19863145950036784</v>
      </c>
      <c r="P220" s="3">
        <f t="shared" si="17"/>
        <v>1.1684203500021637</v>
      </c>
      <c r="R220" s="3">
        <f t="shared" si="18"/>
        <v>0.19853984145791448</v>
      </c>
      <c r="S220" s="3">
        <f t="shared" si="19"/>
        <v>1.1678814203406733</v>
      </c>
      <c r="U220" s="3"/>
      <c r="V220" s="3"/>
    </row>
    <row r="221" spans="1:22" x14ac:dyDescent="0.3">
      <c r="B221" s="4">
        <v>20</v>
      </c>
      <c r="C221" s="5">
        <v>2</v>
      </c>
      <c r="D221" s="4">
        <v>44</v>
      </c>
      <c r="E221" s="3">
        <v>3.42</v>
      </c>
      <c r="F221" s="4">
        <v>25</v>
      </c>
      <c r="G221" s="4">
        <v>35</v>
      </c>
      <c r="H221" s="2">
        <v>8.2535915718449052E-2</v>
      </c>
      <c r="I221" s="3">
        <v>285.07491496610783</v>
      </c>
      <c r="J221" s="3">
        <v>0.19</v>
      </c>
      <c r="K221" s="6">
        <f t="shared" si="15"/>
        <v>1.4253745748305392E-3</v>
      </c>
      <c r="O221" s="3">
        <f t="shared" si="16"/>
        <v>0.2272434878869454</v>
      </c>
      <c r="P221" s="3">
        <f t="shared" si="17"/>
        <v>1.1960183572997125</v>
      </c>
      <c r="R221" s="3">
        <f t="shared" si="18"/>
        <v>0.22772302710111939</v>
      </c>
      <c r="S221" s="3">
        <f t="shared" si="19"/>
        <v>1.1985422479006282</v>
      </c>
      <c r="U221" s="3"/>
      <c r="V221" s="3"/>
    </row>
    <row r="222" spans="1:22" x14ac:dyDescent="0.3">
      <c r="B222" s="4">
        <v>20</v>
      </c>
      <c r="C222" s="5">
        <v>2</v>
      </c>
      <c r="D222" s="4">
        <v>44</v>
      </c>
      <c r="E222" s="3">
        <v>3.42</v>
      </c>
      <c r="F222" s="4">
        <v>25</v>
      </c>
      <c r="G222" s="4">
        <v>35</v>
      </c>
      <c r="H222" s="2">
        <v>8.2535915718449052E-2</v>
      </c>
      <c r="I222" s="3">
        <v>339.45081842783054</v>
      </c>
      <c r="J222" s="3">
        <v>0.21</v>
      </c>
      <c r="K222" s="6">
        <f t="shared" si="15"/>
        <v>1.6972540921391527E-3</v>
      </c>
      <c r="O222" s="3">
        <f t="shared" si="16"/>
        <v>0.26304303717386701</v>
      </c>
      <c r="P222" s="3">
        <f t="shared" si="17"/>
        <v>1.2525858913041286</v>
      </c>
      <c r="R222" s="3">
        <f t="shared" si="18"/>
        <v>0.26433544243814328</v>
      </c>
      <c r="S222" s="3">
        <f t="shared" si="19"/>
        <v>1.2587402020863967</v>
      </c>
      <c r="U222" s="3"/>
      <c r="V222" s="3"/>
    </row>
    <row r="223" spans="1:22" x14ac:dyDescent="0.3">
      <c r="B223" s="4">
        <v>20</v>
      </c>
      <c r="C223" s="5">
        <v>2</v>
      </c>
      <c r="D223" s="4">
        <v>44</v>
      </c>
      <c r="E223" s="3">
        <v>3.42</v>
      </c>
      <c r="F223" s="4">
        <v>25</v>
      </c>
      <c r="G223" s="4">
        <v>35</v>
      </c>
      <c r="H223" s="2">
        <v>8.2535915718449052E-2</v>
      </c>
      <c r="I223" s="3">
        <v>363.61788663304048</v>
      </c>
      <c r="J223" s="3">
        <v>0.23</v>
      </c>
      <c r="K223" s="6">
        <f t="shared" si="15"/>
        <v>1.8180894331652024E-3</v>
      </c>
      <c r="O223" s="3">
        <f t="shared" si="16"/>
        <v>0.27864837283566107</v>
      </c>
      <c r="P223" s="3">
        <f t="shared" si="17"/>
        <v>1.2115146645028743</v>
      </c>
      <c r="R223" s="3">
        <f t="shared" si="18"/>
        <v>0.2803257500314224</v>
      </c>
      <c r="S223" s="3">
        <f t="shared" si="19"/>
        <v>1.2188076088322712</v>
      </c>
      <c r="U223" s="3"/>
      <c r="V223" s="3"/>
    </row>
    <row r="224" spans="1:22" x14ac:dyDescent="0.3">
      <c r="B224" s="4">
        <v>20</v>
      </c>
      <c r="C224" s="5">
        <v>2</v>
      </c>
      <c r="D224" s="4">
        <v>44</v>
      </c>
      <c r="E224" s="3">
        <v>3.42</v>
      </c>
      <c r="F224" s="4">
        <v>25</v>
      </c>
      <c r="G224" s="4">
        <v>35</v>
      </c>
      <c r="H224" s="2">
        <v>8.2535915718449052E-2</v>
      </c>
      <c r="I224" s="3">
        <v>417.99379009476309</v>
      </c>
      <c r="J224" s="3">
        <v>0.25</v>
      </c>
      <c r="K224" s="6">
        <f t="shared" si="15"/>
        <v>2.0899689504738153E-3</v>
      </c>
      <c r="O224" s="3">
        <f t="shared" si="16"/>
        <v>0.31316709155056993</v>
      </c>
      <c r="P224" s="3">
        <f t="shared" si="17"/>
        <v>1.2526683662022797</v>
      </c>
      <c r="R224" s="3">
        <f t="shared" si="18"/>
        <v>0.31575555074987571</v>
      </c>
      <c r="S224" s="3">
        <f t="shared" si="19"/>
        <v>1.2630222029995029</v>
      </c>
      <c r="U224" s="3"/>
      <c r="V224" s="3"/>
    </row>
    <row r="225" spans="1:22" x14ac:dyDescent="0.3">
      <c r="B225" s="4">
        <v>20</v>
      </c>
      <c r="C225" s="5">
        <v>2</v>
      </c>
      <c r="D225" s="4">
        <v>44</v>
      </c>
      <c r="E225" s="3">
        <v>3.42</v>
      </c>
      <c r="F225" s="4">
        <v>25</v>
      </c>
      <c r="G225" s="4">
        <v>35</v>
      </c>
      <c r="H225" s="2">
        <v>8.2535915718449052E-2</v>
      </c>
      <c r="I225" s="3">
        <v>525.80672936787971</v>
      </c>
      <c r="J225" s="3">
        <v>0.25</v>
      </c>
      <c r="K225" s="6">
        <f t="shared" si="15"/>
        <v>2.6290336468393987E-3</v>
      </c>
      <c r="O225" s="3">
        <f t="shared" si="16"/>
        <v>0.37956670248831698</v>
      </c>
      <c r="P225" s="3">
        <f t="shared" si="17"/>
        <v>1.5182668099532679</v>
      </c>
      <c r="R225" s="3">
        <f t="shared" si="18"/>
        <v>0.3841116530222311</v>
      </c>
      <c r="S225" s="3">
        <f t="shared" si="19"/>
        <v>1.5364466120889244</v>
      </c>
      <c r="U225" s="3"/>
      <c r="V225" s="3"/>
    </row>
    <row r="226" spans="1:22" x14ac:dyDescent="0.3">
      <c r="A226" s="1" t="s">
        <v>51</v>
      </c>
      <c r="B226" s="4">
        <v>20</v>
      </c>
      <c r="C226" s="5">
        <v>3</v>
      </c>
      <c r="D226" s="4">
        <v>12</v>
      </c>
      <c r="E226" s="3">
        <v>3.42</v>
      </c>
      <c r="F226" s="4">
        <v>25</v>
      </c>
      <c r="G226" s="4">
        <v>35</v>
      </c>
      <c r="H226" s="2">
        <v>0.13524934868327321</v>
      </c>
      <c r="I226" s="3">
        <v>223.29573430236792</v>
      </c>
      <c r="J226" s="3">
        <v>0.18</v>
      </c>
      <c r="K226" s="6">
        <f t="shared" si="15"/>
        <v>1.1164786715118396E-3</v>
      </c>
      <c r="O226" s="3">
        <f t="shared" si="16"/>
        <v>0.14536478282943463</v>
      </c>
      <c r="P226" s="3">
        <f t="shared" si="17"/>
        <v>0.80758212683019237</v>
      </c>
      <c r="R226" s="3">
        <f t="shared" si="18"/>
        <v>0.15236484642167311</v>
      </c>
      <c r="S226" s="3">
        <f t="shared" si="19"/>
        <v>0.84647136900929509</v>
      </c>
      <c r="U226" s="3"/>
      <c r="V226" s="3"/>
    </row>
    <row r="227" spans="1:22" x14ac:dyDescent="0.3">
      <c r="B227" s="4">
        <v>20</v>
      </c>
      <c r="C227" s="5">
        <v>3</v>
      </c>
      <c r="D227" s="4">
        <v>12</v>
      </c>
      <c r="E227" s="3">
        <v>3.42</v>
      </c>
      <c r="F227" s="4">
        <v>25</v>
      </c>
      <c r="G227" s="4">
        <v>35</v>
      </c>
      <c r="H227" s="2">
        <v>0.13524934868327321</v>
      </c>
      <c r="I227" s="3">
        <v>263.36829755996007</v>
      </c>
      <c r="J227" s="3">
        <v>0.19</v>
      </c>
      <c r="K227" s="6">
        <f t="shared" si="15"/>
        <v>1.3168414877998004E-3</v>
      </c>
      <c r="O227" s="3">
        <f t="shared" si="16"/>
        <v>0.16692816382628134</v>
      </c>
      <c r="P227" s="3">
        <f t="shared" si="17"/>
        <v>0.87856928329621753</v>
      </c>
      <c r="R227" s="3">
        <f t="shared" si="18"/>
        <v>0.17542929570658955</v>
      </c>
      <c r="S227" s="3">
        <f t="shared" si="19"/>
        <v>0.92331208266626075</v>
      </c>
      <c r="U227" s="3"/>
      <c r="V227" s="3"/>
    </row>
    <row r="228" spans="1:22" x14ac:dyDescent="0.3">
      <c r="B228" s="4">
        <v>20</v>
      </c>
      <c r="C228" s="5">
        <v>3</v>
      </c>
      <c r="D228" s="4">
        <v>12</v>
      </c>
      <c r="E228" s="3">
        <v>3.42</v>
      </c>
      <c r="F228" s="4">
        <v>25</v>
      </c>
      <c r="G228" s="4">
        <v>35</v>
      </c>
      <c r="H228" s="2">
        <v>0.13524934868327321</v>
      </c>
      <c r="I228" s="3">
        <v>299.43360449179295</v>
      </c>
      <c r="J228" s="3">
        <v>0.21</v>
      </c>
      <c r="K228" s="6">
        <f t="shared" si="15"/>
        <v>1.4971680224589647E-3</v>
      </c>
      <c r="O228" s="3">
        <f t="shared" si="16"/>
        <v>0.18588196604846352</v>
      </c>
      <c r="P228" s="3">
        <f t="shared" si="17"/>
        <v>0.88515221927839771</v>
      </c>
      <c r="R228" s="3">
        <f t="shared" si="18"/>
        <v>0.19574990210399773</v>
      </c>
      <c r="S228" s="3">
        <f t="shared" si="19"/>
        <v>0.93214239097141782</v>
      </c>
      <c r="U228" s="3"/>
      <c r="V228" s="3"/>
    </row>
    <row r="229" spans="1:22" x14ac:dyDescent="0.3">
      <c r="B229" s="4">
        <v>20</v>
      </c>
      <c r="C229" s="5">
        <v>3</v>
      </c>
      <c r="D229" s="4">
        <v>12</v>
      </c>
      <c r="E229" s="3">
        <v>3.42</v>
      </c>
      <c r="F229" s="4">
        <v>25</v>
      </c>
      <c r="G229" s="4">
        <v>35</v>
      </c>
      <c r="H229" s="2">
        <v>0.13524934868327321</v>
      </c>
      <c r="I229" s="3">
        <v>343.51342407514426</v>
      </c>
      <c r="J229" s="3">
        <v>0.23</v>
      </c>
      <c r="K229" s="6">
        <f t="shared" si="15"/>
        <v>1.7175671203757212E-3</v>
      </c>
      <c r="O229" s="3">
        <f t="shared" si="16"/>
        <v>0.20855386275587839</v>
      </c>
      <c r="P229" s="3">
        <f t="shared" si="17"/>
        <v>0.90675592502555824</v>
      </c>
      <c r="R229" s="3">
        <f t="shared" si="18"/>
        <v>0.22010850555615463</v>
      </c>
      <c r="S229" s="3">
        <f t="shared" si="19"/>
        <v>0.95699350241806358</v>
      </c>
      <c r="U229" s="3"/>
      <c r="V229" s="3"/>
    </row>
    <row r="230" spans="1:22" x14ac:dyDescent="0.3">
      <c r="B230" s="4">
        <v>20</v>
      </c>
      <c r="C230" s="5">
        <v>3</v>
      </c>
      <c r="D230" s="4">
        <v>12</v>
      </c>
      <c r="E230" s="3">
        <v>3.42</v>
      </c>
      <c r="F230" s="4">
        <v>25</v>
      </c>
      <c r="G230" s="4">
        <v>35</v>
      </c>
      <c r="H230" s="2">
        <v>0.13524934868327321</v>
      </c>
      <c r="I230" s="3">
        <v>387.59324365849562</v>
      </c>
      <c r="J230" s="3">
        <v>0.25</v>
      </c>
      <c r="K230" s="6">
        <f t="shared" si="15"/>
        <v>1.937966218292478E-3</v>
      </c>
      <c r="O230" s="3">
        <f t="shared" si="16"/>
        <v>0.23075794366196301</v>
      </c>
      <c r="P230" s="3">
        <f t="shared" si="17"/>
        <v>0.92303177464785202</v>
      </c>
      <c r="R230" s="3">
        <f t="shared" si="18"/>
        <v>0.24401367571044913</v>
      </c>
      <c r="S230" s="3">
        <f t="shared" si="19"/>
        <v>0.97605470284179652</v>
      </c>
      <c r="U230" s="3"/>
      <c r="V230" s="3"/>
    </row>
    <row r="231" spans="1:22" x14ac:dyDescent="0.3">
      <c r="B231" s="4">
        <v>20</v>
      </c>
      <c r="C231" s="5">
        <v>3</v>
      </c>
      <c r="D231" s="4">
        <v>12</v>
      </c>
      <c r="E231" s="3">
        <v>3.42</v>
      </c>
      <c r="F231" s="4">
        <v>25</v>
      </c>
      <c r="G231" s="4">
        <v>35</v>
      </c>
      <c r="H231" s="2">
        <v>0.13524934868327321</v>
      </c>
      <c r="I231" s="3">
        <v>427.66580691608766</v>
      </c>
      <c r="J231" s="3">
        <v>0.28999999999999998</v>
      </c>
      <c r="K231" s="6">
        <f t="shared" si="15"/>
        <v>2.1383290345804384E-3</v>
      </c>
      <c r="O231" s="3">
        <f t="shared" si="16"/>
        <v>0.2505895759475622</v>
      </c>
      <c r="P231" s="3">
        <f t="shared" si="17"/>
        <v>0.86410198602607657</v>
      </c>
      <c r="R231" s="3">
        <f t="shared" si="18"/>
        <v>0.26540198167320977</v>
      </c>
      <c r="S231" s="3">
        <f t="shared" si="19"/>
        <v>0.91517924714899923</v>
      </c>
      <c r="U231" s="3"/>
      <c r="V231" s="3"/>
    </row>
    <row r="232" spans="1:22" x14ac:dyDescent="0.3">
      <c r="B232" s="4">
        <v>20</v>
      </c>
      <c r="C232" s="5">
        <v>3</v>
      </c>
      <c r="D232" s="4">
        <v>12</v>
      </c>
      <c r="E232" s="3">
        <v>3.42</v>
      </c>
      <c r="F232" s="4">
        <v>25</v>
      </c>
      <c r="G232" s="4">
        <v>35</v>
      </c>
      <c r="H232" s="2">
        <v>0.13524934868327321</v>
      </c>
      <c r="I232" s="3">
        <v>467.7383701736797</v>
      </c>
      <c r="J232" s="3">
        <v>0.31</v>
      </c>
      <c r="K232" s="6">
        <f t="shared" si="15"/>
        <v>2.3386918508683987E-3</v>
      </c>
      <c r="O232" s="3">
        <f t="shared" si="16"/>
        <v>0.27012197636394292</v>
      </c>
      <c r="P232" s="3">
        <f t="shared" si="17"/>
        <v>0.87136121407723521</v>
      </c>
      <c r="R232" s="3">
        <f t="shared" si="18"/>
        <v>0.28649922676830547</v>
      </c>
      <c r="S232" s="3">
        <f t="shared" si="19"/>
        <v>0.92419105409130797</v>
      </c>
      <c r="U232" s="3"/>
      <c r="V232" s="3"/>
    </row>
    <row r="233" spans="1:22" x14ac:dyDescent="0.3">
      <c r="B233" s="4">
        <v>20</v>
      </c>
      <c r="C233" s="5">
        <v>3</v>
      </c>
      <c r="D233" s="4">
        <v>12</v>
      </c>
      <c r="E233" s="3">
        <v>3.42</v>
      </c>
      <c r="F233" s="4">
        <v>25</v>
      </c>
      <c r="G233" s="4">
        <v>35</v>
      </c>
      <c r="H233" s="2">
        <v>0.13524934868327321</v>
      </c>
      <c r="I233" s="3">
        <v>501.10623509507292</v>
      </c>
      <c r="J233" s="3">
        <v>0.37</v>
      </c>
      <c r="K233" s="6">
        <f t="shared" si="15"/>
        <v>2.5055311754753648E-3</v>
      </c>
      <c r="O233" s="3">
        <f t="shared" si="16"/>
        <v>0.28617954189917527</v>
      </c>
      <c r="P233" s="3">
        <f t="shared" si="17"/>
        <v>0.77345822134912234</v>
      </c>
      <c r="R233" s="3">
        <f t="shared" si="18"/>
        <v>0.30386518816719965</v>
      </c>
      <c r="S233" s="3">
        <f t="shared" si="19"/>
        <v>0.8212572653167558</v>
      </c>
      <c r="U233" s="3"/>
      <c r="V233" s="3"/>
    </row>
    <row r="234" spans="1:22" x14ac:dyDescent="0.3">
      <c r="A234" s="1" t="s">
        <v>52</v>
      </c>
      <c r="B234" s="4">
        <v>16</v>
      </c>
      <c r="C234" s="5">
        <v>2</v>
      </c>
      <c r="D234" s="4">
        <v>52</v>
      </c>
      <c r="E234" s="3">
        <v>2.98</v>
      </c>
      <c r="F234" s="4">
        <v>27</v>
      </c>
      <c r="G234" s="4">
        <v>35</v>
      </c>
      <c r="H234" s="2">
        <v>4.8026966994219954E-2</v>
      </c>
      <c r="I234" s="3">
        <v>352.9102928137296</v>
      </c>
      <c r="J234" s="3">
        <v>0.16</v>
      </c>
      <c r="K234" s="6">
        <f t="shared" si="15"/>
        <v>1.7645514640686479E-3</v>
      </c>
      <c r="O234" s="3">
        <f t="shared" si="16"/>
        <v>0.27796985292032572</v>
      </c>
      <c r="P234" s="3">
        <f t="shared" si="17"/>
        <v>1.7373115807520356</v>
      </c>
      <c r="R234" s="3">
        <f t="shared" si="18"/>
        <v>0.26968638198623285</v>
      </c>
      <c r="S234" s="3">
        <f t="shared" si="19"/>
        <v>1.6855398874139553</v>
      </c>
      <c r="U234" s="3"/>
      <c r="V234" s="3"/>
    </row>
    <row r="235" spans="1:22" x14ac:dyDescent="0.3">
      <c r="B235" s="4">
        <v>16</v>
      </c>
      <c r="C235" s="5">
        <v>2</v>
      </c>
      <c r="D235" s="4">
        <v>52</v>
      </c>
      <c r="E235" s="3">
        <v>2.98</v>
      </c>
      <c r="F235" s="4">
        <v>27</v>
      </c>
      <c r="G235" s="4">
        <v>35</v>
      </c>
      <c r="H235" s="2">
        <v>4.8026966994219954E-2</v>
      </c>
      <c r="I235" s="3">
        <v>437.85145690880495</v>
      </c>
      <c r="J235" s="3">
        <v>0.2</v>
      </c>
      <c r="K235" s="6">
        <f t="shared" si="15"/>
        <v>2.1892572845440246E-3</v>
      </c>
      <c r="O235" s="3">
        <f t="shared" si="16"/>
        <v>0.33303267873728287</v>
      </c>
      <c r="P235" s="3">
        <f t="shared" si="17"/>
        <v>1.6651633936864143</v>
      </c>
      <c r="R235" s="3">
        <f t="shared" si="18"/>
        <v>0.32422520230335078</v>
      </c>
      <c r="S235" s="3">
        <f t="shared" si="19"/>
        <v>1.6211260115167538</v>
      </c>
      <c r="U235" s="3"/>
      <c r="V235" s="3"/>
    </row>
    <row r="236" spans="1:22" x14ac:dyDescent="0.3">
      <c r="B236" s="4">
        <v>16</v>
      </c>
      <c r="C236" s="5">
        <v>2</v>
      </c>
      <c r="D236" s="4">
        <v>52</v>
      </c>
      <c r="E236" s="3">
        <v>2.98</v>
      </c>
      <c r="F236" s="4">
        <v>27</v>
      </c>
      <c r="G236" s="4">
        <v>35</v>
      </c>
      <c r="H236" s="2">
        <v>4.8026966994219954E-2</v>
      </c>
      <c r="I236" s="3">
        <v>523.88203180799201</v>
      </c>
      <c r="J236" s="3">
        <v>0.26</v>
      </c>
      <c r="K236" s="6">
        <f t="shared" si="15"/>
        <v>2.61941015903996E-3</v>
      </c>
      <c r="O236" s="3">
        <f t="shared" si="16"/>
        <v>0.38705498802929977</v>
      </c>
      <c r="P236" s="3">
        <f t="shared" si="17"/>
        <v>1.4886730308819223</v>
      </c>
      <c r="R236" s="3">
        <f t="shared" si="18"/>
        <v>0.3779019171780103</v>
      </c>
      <c r="S236" s="3">
        <f t="shared" si="19"/>
        <v>1.4534689122231166</v>
      </c>
      <c r="U236" s="3"/>
      <c r="V236" s="3"/>
    </row>
    <row r="237" spans="1:22" x14ac:dyDescent="0.3">
      <c r="A237" s="1" t="s">
        <v>53</v>
      </c>
      <c r="B237" s="4">
        <v>20</v>
      </c>
      <c r="C237" s="5">
        <v>2</v>
      </c>
      <c r="D237" s="4">
        <v>44</v>
      </c>
      <c r="E237" s="3">
        <v>2.98</v>
      </c>
      <c r="F237" s="4">
        <v>25</v>
      </c>
      <c r="G237" s="4">
        <v>35</v>
      </c>
      <c r="H237" s="2">
        <v>8.1200522425266847E-2</v>
      </c>
      <c r="I237" s="3">
        <v>239.48479683343328</v>
      </c>
      <c r="J237" s="3">
        <v>0.17</v>
      </c>
      <c r="K237" s="6">
        <f t="shared" si="15"/>
        <v>1.1974239841671664E-3</v>
      </c>
      <c r="O237" s="3">
        <f t="shared" si="16"/>
        <v>0.19794625026201923</v>
      </c>
      <c r="P237" s="3">
        <f t="shared" si="17"/>
        <v>1.1643897074236425</v>
      </c>
      <c r="R237" s="3">
        <f t="shared" si="18"/>
        <v>0.19758477635123906</v>
      </c>
      <c r="S237" s="3">
        <f t="shared" si="19"/>
        <v>1.1622633903014061</v>
      </c>
      <c r="U237" s="3"/>
      <c r="V237" s="3"/>
    </row>
    <row r="238" spans="1:22" x14ac:dyDescent="0.3">
      <c r="B238" s="4">
        <v>20</v>
      </c>
      <c r="C238" s="5">
        <v>2</v>
      </c>
      <c r="D238" s="4">
        <v>44</v>
      </c>
      <c r="E238" s="3">
        <v>2.98</v>
      </c>
      <c r="F238" s="4">
        <v>25</v>
      </c>
      <c r="G238" s="4">
        <v>35</v>
      </c>
      <c r="H238" s="2">
        <v>8.1200522425266847E-2</v>
      </c>
      <c r="I238" s="3">
        <v>280.83646091543716</v>
      </c>
      <c r="J238" s="3">
        <v>0.19</v>
      </c>
      <c r="K238" s="6">
        <f t="shared" si="15"/>
        <v>1.4041823045771859E-3</v>
      </c>
      <c r="O238" s="3">
        <f t="shared" si="16"/>
        <v>0.22621238796457835</v>
      </c>
      <c r="P238" s="3">
        <f t="shared" si="17"/>
        <v>1.190591515603044</v>
      </c>
      <c r="R238" s="3">
        <f t="shared" si="18"/>
        <v>0.22637548484468425</v>
      </c>
      <c r="S238" s="3">
        <f t="shared" si="19"/>
        <v>1.1914499202351803</v>
      </c>
      <c r="U238" s="3"/>
      <c r="V238" s="3"/>
    </row>
    <row r="239" spans="1:22" x14ac:dyDescent="0.3">
      <c r="B239" s="4">
        <v>20</v>
      </c>
      <c r="C239" s="5">
        <v>2</v>
      </c>
      <c r="D239" s="4">
        <v>44</v>
      </c>
      <c r="E239" s="3">
        <v>2.98</v>
      </c>
      <c r="F239" s="4">
        <v>25</v>
      </c>
      <c r="G239" s="4">
        <v>35</v>
      </c>
      <c r="H239" s="2">
        <v>8.1200522425266847E-2</v>
      </c>
      <c r="I239" s="3">
        <v>334.00288616372791</v>
      </c>
      <c r="J239" s="3">
        <v>0.23</v>
      </c>
      <c r="K239" s="6">
        <f t="shared" si="15"/>
        <v>1.6700144308186395E-3</v>
      </c>
      <c r="O239" s="3">
        <f t="shared" si="16"/>
        <v>0.26158632860033681</v>
      </c>
      <c r="P239" s="3">
        <f t="shared" si="17"/>
        <v>1.1373318634797251</v>
      </c>
      <c r="R239" s="3">
        <f t="shared" si="18"/>
        <v>0.26250211043587923</v>
      </c>
      <c r="S239" s="3">
        <f t="shared" si="19"/>
        <v>1.1413135236342575</v>
      </c>
      <c r="U239" s="3"/>
      <c r="V239" s="3"/>
    </row>
    <row r="240" spans="1:22" x14ac:dyDescent="0.3">
      <c r="B240" s="4">
        <v>20</v>
      </c>
      <c r="C240" s="5">
        <v>2</v>
      </c>
      <c r="D240" s="4">
        <v>44</v>
      </c>
      <c r="E240" s="3">
        <v>2.98</v>
      </c>
      <c r="F240" s="4">
        <v>25</v>
      </c>
      <c r="G240" s="4">
        <v>35</v>
      </c>
      <c r="H240" s="2">
        <v>8.1200522425266847E-2</v>
      </c>
      <c r="I240" s="3">
        <v>357.63240849630159</v>
      </c>
      <c r="J240" s="3">
        <v>0.25</v>
      </c>
      <c r="K240" s="6">
        <f t="shared" si="15"/>
        <v>1.7881620424815079E-3</v>
      </c>
      <c r="O240" s="3">
        <f t="shared" si="16"/>
        <v>0.27700809041289565</v>
      </c>
      <c r="P240" s="3">
        <f t="shared" si="17"/>
        <v>1.1080323616515826</v>
      </c>
      <c r="R240" s="3">
        <f t="shared" si="18"/>
        <v>0.27828205169287151</v>
      </c>
      <c r="S240" s="3">
        <f t="shared" si="19"/>
        <v>1.1131282067714861</v>
      </c>
      <c r="U240" s="3"/>
      <c r="V240" s="3"/>
    </row>
    <row r="241" spans="1:22" x14ac:dyDescent="0.3">
      <c r="B241" s="4">
        <v>20</v>
      </c>
      <c r="C241" s="5">
        <v>2</v>
      </c>
      <c r="D241" s="4">
        <v>44</v>
      </c>
      <c r="E241" s="3">
        <v>2.98</v>
      </c>
      <c r="F241" s="4">
        <v>25</v>
      </c>
      <c r="G241" s="4">
        <v>35</v>
      </c>
      <c r="H241" s="2">
        <v>8.1200522425266847E-2</v>
      </c>
      <c r="I241" s="3">
        <v>393.07669199516215</v>
      </c>
      <c r="J241" s="3">
        <v>0.3</v>
      </c>
      <c r="K241" s="6">
        <f t="shared" si="15"/>
        <v>1.9653834599758107E-3</v>
      </c>
      <c r="O241" s="3">
        <f t="shared" si="16"/>
        <v>0.29983638256410389</v>
      </c>
      <c r="P241" s="3">
        <f t="shared" si="17"/>
        <v>0.99945460854701296</v>
      </c>
      <c r="R241" s="3">
        <f t="shared" si="18"/>
        <v>0.30167110882866804</v>
      </c>
      <c r="S241" s="3">
        <f t="shared" si="19"/>
        <v>1.0055703627622268</v>
      </c>
      <c r="U241" s="3"/>
      <c r="V241" s="3"/>
    </row>
    <row r="242" spans="1:22" x14ac:dyDescent="0.3">
      <c r="B242" s="4">
        <v>20</v>
      </c>
      <c r="C242" s="5">
        <v>2</v>
      </c>
      <c r="D242" s="4">
        <v>44</v>
      </c>
      <c r="E242" s="3">
        <v>2.98</v>
      </c>
      <c r="F242" s="4">
        <v>25</v>
      </c>
      <c r="G242" s="4">
        <v>35</v>
      </c>
      <c r="H242" s="2">
        <v>8.1200522425266847E-2</v>
      </c>
      <c r="I242" s="3">
        <v>416.70621432773589</v>
      </c>
      <c r="J242" s="3">
        <v>0.32</v>
      </c>
      <c r="K242" s="6">
        <f t="shared" si="15"/>
        <v>2.0835310716386794E-3</v>
      </c>
      <c r="O242" s="3">
        <f t="shared" si="16"/>
        <v>0.31486898147140241</v>
      </c>
      <c r="P242" s="3">
        <f t="shared" si="17"/>
        <v>0.98396556709813254</v>
      </c>
      <c r="R242" s="3">
        <f t="shared" si="18"/>
        <v>0.31709172767871213</v>
      </c>
      <c r="S242" s="3">
        <f t="shared" si="19"/>
        <v>0.99091164899597539</v>
      </c>
      <c r="U242" s="3"/>
      <c r="V242" s="3"/>
    </row>
    <row r="243" spans="1:22" x14ac:dyDescent="0.3">
      <c r="B243" s="4">
        <v>20</v>
      </c>
      <c r="C243" s="5">
        <v>2</v>
      </c>
      <c r="D243" s="4">
        <v>44</v>
      </c>
      <c r="E243" s="3">
        <v>2.98</v>
      </c>
      <c r="F243" s="4">
        <v>25</v>
      </c>
      <c r="G243" s="4">
        <v>35</v>
      </c>
      <c r="H243" s="2">
        <v>8.1200522425266847E-2</v>
      </c>
      <c r="I243" s="3">
        <v>474.59854404254128</v>
      </c>
      <c r="J243" s="3">
        <v>0.36</v>
      </c>
      <c r="K243" s="6">
        <f t="shared" si="15"/>
        <v>2.3729927202127063E-3</v>
      </c>
      <c r="O243" s="3">
        <f t="shared" si="16"/>
        <v>0.35113480781802386</v>
      </c>
      <c r="P243" s="3">
        <f t="shared" si="17"/>
        <v>0.9753744661611774</v>
      </c>
      <c r="R243" s="3">
        <f t="shared" si="18"/>
        <v>0.35435034401918797</v>
      </c>
      <c r="S243" s="3">
        <f t="shared" si="19"/>
        <v>0.98430651116441104</v>
      </c>
      <c r="U243" s="3"/>
      <c r="V243" s="3"/>
    </row>
    <row r="244" spans="1:22" x14ac:dyDescent="0.3">
      <c r="B244" s="4">
        <v>20</v>
      </c>
      <c r="C244" s="5">
        <v>2</v>
      </c>
      <c r="D244" s="4">
        <v>44</v>
      </c>
      <c r="E244" s="3">
        <v>2.98</v>
      </c>
      <c r="F244" s="4">
        <v>25</v>
      </c>
      <c r="G244" s="4">
        <v>35</v>
      </c>
      <c r="H244" s="2">
        <v>8.1200522425266847E-2</v>
      </c>
      <c r="I244" s="3">
        <v>526.44594786447112</v>
      </c>
      <c r="J244" s="3">
        <v>0.47</v>
      </c>
      <c r="K244" s="6">
        <f t="shared" si="15"/>
        <v>2.6322297393223558E-3</v>
      </c>
      <c r="O244" s="3">
        <f t="shared" si="16"/>
        <v>0.3830071065014935</v>
      </c>
      <c r="P244" s="3">
        <f t="shared" si="17"/>
        <v>0.81490873723722024</v>
      </c>
      <c r="R244" s="3">
        <f t="shared" si="18"/>
        <v>0.38715622453709336</v>
      </c>
      <c r="S244" s="3">
        <f t="shared" si="19"/>
        <v>0.82373664795126256</v>
      </c>
      <c r="U244" s="3"/>
      <c r="V244" s="3"/>
    </row>
    <row r="245" spans="1:22" x14ac:dyDescent="0.3">
      <c r="A245" s="1" t="s">
        <v>54</v>
      </c>
      <c r="B245" s="4">
        <v>20</v>
      </c>
      <c r="C245" s="5">
        <v>3</v>
      </c>
      <c r="D245" s="4">
        <v>12</v>
      </c>
      <c r="E245" s="3">
        <v>2.98</v>
      </c>
      <c r="F245" s="4">
        <v>25</v>
      </c>
      <c r="G245" s="4">
        <v>35</v>
      </c>
      <c r="H245" s="2">
        <v>0.1326866695196976</v>
      </c>
      <c r="I245" s="3">
        <v>288.35506662539098</v>
      </c>
      <c r="J245" s="3">
        <v>0.16</v>
      </c>
      <c r="K245" s="6">
        <f t="shared" si="15"/>
        <v>1.4417753331269548E-3</v>
      </c>
      <c r="O245" s="3">
        <f t="shared" si="16"/>
        <v>0.18179594607968563</v>
      </c>
      <c r="P245" s="3">
        <f t="shared" si="17"/>
        <v>1.1362246629980353</v>
      </c>
      <c r="R245" s="3">
        <f t="shared" si="18"/>
        <v>0.19087161760812807</v>
      </c>
      <c r="S245" s="3">
        <f t="shared" si="19"/>
        <v>1.1929476100508003</v>
      </c>
      <c r="U245" s="3"/>
      <c r="V245" s="3"/>
    </row>
    <row r="246" spans="1:22" x14ac:dyDescent="0.3">
      <c r="B246" s="4">
        <v>20</v>
      </c>
      <c r="C246" s="5">
        <v>3</v>
      </c>
      <c r="D246" s="4">
        <v>12</v>
      </c>
      <c r="E246" s="3">
        <v>2.98</v>
      </c>
      <c r="F246" s="4">
        <v>25</v>
      </c>
      <c r="G246" s="4">
        <v>35</v>
      </c>
      <c r="H246" s="2">
        <v>0.1326866695196976</v>
      </c>
      <c r="I246" s="3">
        <v>304.06930248173501</v>
      </c>
      <c r="J246" s="3">
        <v>0.18</v>
      </c>
      <c r="K246" s="6">
        <f t="shared" si="15"/>
        <v>1.5203465124086751E-3</v>
      </c>
      <c r="O246" s="3">
        <f t="shared" si="16"/>
        <v>0.19006226351943845</v>
      </c>
      <c r="P246" s="3">
        <f t="shared" si="17"/>
        <v>1.0559014639968802</v>
      </c>
      <c r="R246" s="3">
        <f t="shared" si="18"/>
        <v>0.19972010078921623</v>
      </c>
      <c r="S246" s="3">
        <f t="shared" si="19"/>
        <v>1.1095561154956457</v>
      </c>
      <c r="U246" s="3"/>
      <c r="V246" s="3"/>
    </row>
    <row r="247" spans="1:22" x14ac:dyDescent="0.3">
      <c r="B247" s="4">
        <v>20</v>
      </c>
      <c r="C247" s="5">
        <v>3</v>
      </c>
      <c r="D247" s="4">
        <v>12</v>
      </c>
      <c r="E247" s="3">
        <v>2.98</v>
      </c>
      <c r="F247" s="4">
        <v>25</v>
      </c>
      <c r="G247" s="4">
        <v>35</v>
      </c>
      <c r="H247" s="2">
        <v>0.1326866695196976</v>
      </c>
      <c r="I247" s="3">
        <v>343.35489212259552</v>
      </c>
      <c r="J247" s="3">
        <v>0.18</v>
      </c>
      <c r="K247" s="6">
        <f t="shared" si="15"/>
        <v>1.7167744606129776E-3</v>
      </c>
      <c r="O247" s="3">
        <f t="shared" si="16"/>
        <v>0.21043487275087863</v>
      </c>
      <c r="P247" s="3">
        <f t="shared" si="17"/>
        <v>1.1690826263937701</v>
      </c>
      <c r="R247" s="3">
        <f t="shared" si="18"/>
        <v>0.22155824770581842</v>
      </c>
      <c r="S247" s="3">
        <f t="shared" si="19"/>
        <v>1.2308791539212134</v>
      </c>
      <c r="U247" s="3"/>
      <c r="V247" s="3"/>
    </row>
    <row r="248" spans="1:22" x14ac:dyDescent="0.3">
      <c r="B248" s="4">
        <v>20</v>
      </c>
      <c r="C248" s="5">
        <v>3</v>
      </c>
      <c r="D248" s="4">
        <v>12</v>
      </c>
      <c r="E248" s="3">
        <v>2.98</v>
      </c>
      <c r="F248" s="4">
        <v>25</v>
      </c>
      <c r="G248" s="4">
        <v>35</v>
      </c>
      <c r="H248" s="2">
        <v>0.1326866695196976</v>
      </c>
      <c r="I248" s="3">
        <v>386.56904072754196</v>
      </c>
      <c r="J248" s="3">
        <v>0.2</v>
      </c>
      <c r="K248" s="6">
        <f t="shared" si="15"/>
        <v>1.9328452036377099E-3</v>
      </c>
      <c r="O248" s="3">
        <f t="shared" si="16"/>
        <v>0.23241339846658135</v>
      </c>
      <c r="P248" s="3">
        <f t="shared" si="17"/>
        <v>1.1620669923329068</v>
      </c>
      <c r="R248" s="3">
        <f t="shared" si="18"/>
        <v>0.24516310467656016</v>
      </c>
      <c r="S248" s="3">
        <f t="shared" si="19"/>
        <v>1.2258155233828008</v>
      </c>
      <c r="U248" s="3"/>
      <c r="V248" s="3"/>
    </row>
    <row r="249" spans="1:22" x14ac:dyDescent="0.3">
      <c r="B249" s="4">
        <v>20</v>
      </c>
      <c r="C249" s="5">
        <v>3</v>
      </c>
      <c r="D249" s="4">
        <v>12</v>
      </c>
      <c r="E249" s="3">
        <v>2.98</v>
      </c>
      <c r="F249" s="4">
        <v>25</v>
      </c>
      <c r="G249" s="4">
        <v>35</v>
      </c>
      <c r="H249" s="2">
        <v>0.1326866695196976</v>
      </c>
      <c r="I249" s="3">
        <v>425.85463036840224</v>
      </c>
      <c r="J249" s="3">
        <v>0.2</v>
      </c>
      <c r="K249" s="6">
        <f t="shared" si="15"/>
        <v>2.1292731518420113E-3</v>
      </c>
      <c r="O249" s="3">
        <f t="shared" si="16"/>
        <v>0.25204953936096075</v>
      </c>
      <c r="P249" s="3">
        <f t="shared" si="17"/>
        <v>1.2602476968048038</v>
      </c>
      <c r="R249" s="3">
        <f t="shared" si="18"/>
        <v>0.26628849811779909</v>
      </c>
      <c r="S249" s="3">
        <f t="shared" si="19"/>
        <v>1.3314424905889954</v>
      </c>
      <c r="U249" s="3"/>
      <c r="V249" s="3"/>
    </row>
    <row r="250" spans="1:22" x14ac:dyDescent="0.3">
      <c r="B250" s="4">
        <v>20</v>
      </c>
      <c r="C250" s="5">
        <v>3</v>
      </c>
      <c r="D250" s="4">
        <v>12</v>
      </c>
      <c r="E250" s="3">
        <v>2.98</v>
      </c>
      <c r="F250" s="4">
        <v>25</v>
      </c>
      <c r="G250" s="4">
        <v>35</v>
      </c>
      <c r="H250" s="2">
        <v>0.1326866695196976</v>
      </c>
      <c r="I250" s="3">
        <v>461.21166104517658</v>
      </c>
      <c r="J250" s="3">
        <v>0.2</v>
      </c>
      <c r="K250" s="6">
        <f t="shared" si="15"/>
        <v>2.3060583052258829E-3</v>
      </c>
      <c r="O250" s="3">
        <f t="shared" si="16"/>
        <v>0.26947179226720419</v>
      </c>
      <c r="P250" s="3">
        <f t="shared" si="17"/>
        <v>1.3473589613360208</v>
      </c>
      <c r="R250" s="3">
        <f t="shared" si="18"/>
        <v>0.28505852494803874</v>
      </c>
      <c r="S250" s="3">
        <f t="shared" si="19"/>
        <v>1.4252926247401936</v>
      </c>
      <c r="U250" s="3"/>
      <c r="V250" s="3"/>
    </row>
    <row r="251" spans="1:22" x14ac:dyDescent="0.3">
      <c r="B251" s="4">
        <v>20</v>
      </c>
      <c r="C251" s="5">
        <v>3</v>
      </c>
      <c r="D251" s="4">
        <v>12</v>
      </c>
      <c r="E251" s="3">
        <v>2.98</v>
      </c>
      <c r="F251" s="4">
        <v>25</v>
      </c>
      <c r="G251" s="4">
        <v>35</v>
      </c>
      <c r="H251" s="2">
        <v>0.1326866695196976</v>
      </c>
      <c r="I251" s="3">
        <v>502.05901185324399</v>
      </c>
      <c r="J251" s="3">
        <v>0.22</v>
      </c>
      <c r="K251" s="6">
        <f t="shared" si="15"/>
        <v>2.51029505926622E-3</v>
      </c>
      <c r="O251" s="3">
        <f t="shared" si="16"/>
        <v>0.28933260126002863</v>
      </c>
      <c r="P251" s="3">
        <f t="shared" si="17"/>
        <v>1.3151481875455846</v>
      </c>
      <c r="R251" s="3">
        <f t="shared" si="18"/>
        <v>0.30648397103107694</v>
      </c>
      <c r="S251" s="3">
        <f t="shared" si="19"/>
        <v>1.3931089592321679</v>
      </c>
      <c r="U251" s="3"/>
      <c r="V251" s="3"/>
    </row>
    <row r="252" spans="1:22" x14ac:dyDescent="0.3">
      <c r="A252" s="1" t="s">
        <v>55</v>
      </c>
      <c r="B252" s="4">
        <v>28</v>
      </c>
      <c r="C252" s="5">
        <v>4</v>
      </c>
      <c r="D252" s="4">
        <v>16</v>
      </c>
      <c r="E252" s="3">
        <v>5.3084743571011064</v>
      </c>
      <c r="F252" s="4">
        <v>30</v>
      </c>
      <c r="G252" s="4">
        <v>44</v>
      </c>
      <c r="H252" s="2">
        <v>0.22188311816029316</v>
      </c>
      <c r="I252" s="3">
        <v>118.00597011213085</v>
      </c>
      <c r="J252" s="3">
        <v>0.22</v>
      </c>
      <c r="K252" s="6">
        <f t="shared" si="15"/>
        <v>5.900298505606543E-4</v>
      </c>
      <c r="O252" s="3">
        <f t="shared" si="16"/>
        <v>9.6659340703956723E-2</v>
      </c>
      <c r="P252" s="3">
        <f t="shared" si="17"/>
        <v>0.43936063956343963</v>
      </c>
      <c r="R252" s="3">
        <f t="shared" si="18"/>
        <v>0.11025116734288472</v>
      </c>
      <c r="S252" s="3">
        <f t="shared" si="19"/>
        <v>0.5011416697403851</v>
      </c>
      <c r="U252" s="3"/>
      <c r="V252" s="3"/>
    </row>
    <row r="253" spans="1:22" x14ac:dyDescent="0.3">
      <c r="B253" s="4">
        <v>28</v>
      </c>
      <c r="C253" s="5">
        <v>4</v>
      </c>
      <c r="D253" s="4">
        <v>16</v>
      </c>
      <c r="E253" s="3">
        <v>5.3084743571011064</v>
      </c>
      <c r="F253" s="4">
        <v>30</v>
      </c>
      <c r="G253" s="4">
        <v>44</v>
      </c>
      <c r="H253" s="2">
        <v>0.22188311816029316</v>
      </c>
      <c r="I253" s="3">
        <v>169.89998557407694</v>
      </c>
      <c r="J253" s="3">
        <v>0.25</v>
      </c>
      <c r="K253" s="6">
        <f t="shared" si="15"/>
        <v>8.4949992787038467E-4</v>
      </c>
      <c r="O253" s="3">
        <f t="shared" si="16"/>
        <v>0.13118685308621933</v>
      </c>
      <c r="P253" s="3">
        <f t="shared" si="17"/>
        <v>0.52474741234487732</v>
      </c>
      <c r="R253" s="3">
        <f t="shared" si="18"/>
        <v>0.15050894517054611</v>
      </c>
      <c r="S253" s="3">
        <f t="shared" si="19"/>
        <v>0.60203578068218444</v>
      </c>
      <c r="U253" s="3"/>
      <c r="V253" s="3"/>
    </row>
    <row r="254" spans="1:22" x14ac:dyDescent="0.3">
      <c r="B254" s="4">
        <v>28</v>
      </c>
      <c r="C254" s="5">
        <v>4</v>
      </c>
      <c r="D254" s="4">
        <v>16</v>
      </c>
      <c r="E254" s="3">
        <v>5.3084743571011064</v>
      </c>
      <c r="F254" s="4">
        <v>30</v>
      </c>
      <c r="G254" s="4">
        <v>44</v>
      </c>
      <c r="H254" s="2">
        <v>0.22188311816029316</v>
      </c>
      <c r="I254" s="3">
        <v>202.20584357213144</v>
      </c>
      <c r="J254" s="3">
        <v>0.28999999999999998</v>
      </c>
      <c r="K254" s="6">
        <f t="shared" si="15"/>
        <v>1.0110292178606571E-3</v>
      </c>
      <c r="O254" s="3">
        <f t="shared" si="16"/>
        <v>0.1517900891876946</v>
      </c>
      <c r="P254" s="3">
        <f t="shared" si="17"/>
        <v>0.52341410064722282</v>
      </c>
      <c r="R254" s="3">
        <f t="shared" si="18"/>
        <v>0.17463247921800942</v>
      </c>
      <c r="S254" s="3">
        <f t="shared" si="19"/>
        <v>0.6021809628207222</v>
      </c>
      <c r="U254" s="3"/>
      <c r="V254" s="3"/>
    </row>
    <row r="255" spans="1:22" x14ac:dyDescent="0.3">
      <c r="B255" s="4">
        <v>28</v>
      </c>
      <c r="C255" s="5">
        <v>4</v>
      </c>
      <c r="D255" s="4">
        <v>16</v>
      </c>
      <c r="E255" s="3">
        <v>5.3084743571011064</v>
      </c>
      <c r="F255" s="4">
        <v>30</v>
      </c>
      <c r="G255" s="4">
        <v>44</v>
      </c>
      <c r="H255" s="2">
        <v>0.22188311816029316</v>
      </c>
      <c r="I255" s="3">
        <v>239.33347142064173</v>
      </c>
      <c r="J255" s="3">
        <v>0.31</v>
      </c>
      <c r="K255" s="6">
        <f t="shared" si="15"/>
        <v>1.1966673571032085E-3</v>
      </c>
      <c r="O255" s="3">
        <f t="shared" si="16"/>
        <v>0.17482082948417246</v>
      </c>
      <c r="P255" s="3">
        <f t="shared" si="17"/>
        <v>0.56393815962636273</v>
      </c>
      <c r="R255" s="3">
        <f t="shared" si="18"/>
        <v>0.2016722463772686</v>
      </c>
      <c r="S255" s="3">
        <f t="shared" si="19"/>
        <v>0.65055563347506007</v>
      </c>
      <c r="U255" s="3"/>
      <c r="V255" s="3"/>
    </row>
    <row r="256" spans="1:22" x14ac:dyDescent="0.3">
      <c r="B256" s="4">
        <v>28</v>
      </c>
      <c r="C256" s="5">
        <v>4</v>
      </c>
      <c r="D256" s="4">
        <v>16</v>
      </c>
      <c r="E256" s="3">
        <v>5.3084743571011064</v>
      </c>
      <c r="F256" s="4">
        <v>30</v>
      </c>
      <c r="G256" s="4">
        <v>44</v>
      </c>
      <c r="H256" s="2">
        <v>0.22188311816029316</v>
      </c>
      <c r="I256" s="3">
        <v>297.19470962611246</v>
      </c>
      <c r="J256" s="3">
        <v>0.33</v>
      </c>
      <c r="K256" s="6">
        <f t="shared" si="15"/>
        <v>1.4859735481305622E-3</v>
      </c>
      <c r="O256" s="3">
        <f t="shared" si="16"/>
        <v>0.20960262338152336</v>
      </c>
      <c r="P256" s="3">
        <f t="shared" si="17"/>
        <v>0.63515946479249497</v>
      </c>
      <c r="R256" s="3">
        <f t="shared" si="18"/>
        <v>0.24263546234220779</v>
      </c>
      <c r="S256" s="3">
        <f t="shared" si="19"/>
        <v>0.73525897679456897</v>
      </c>
      <c r="U256" s="3"/>
      <c r="V256" s="3"/>
    </row>
    <row r="257" spans="1:22" x14ac:dyDescent="0.3">
      <c r="B257" s="4">
        <v>28</v>
      </c>
      <c r="C257" s="5">
        <v>4</v>
      </c>
      <c r="D257" s="4">
        <v>16</v>
      </c>
      <c r="E257" s="3">
        <v>5.3084743571011064</v>
      </c>
      <c r="F257" s="4">
        <v>30</v>
      </c>
      <c r="G257" s="4">
        <v>44</v>
      </c>
      <c r="H257" s="2">
        <v>0.22188311816029316</v>
      </c>
      <c r="I257" s="3">
        <v>326.60750571389349</v>
      </c>
      <c r="J257" s="3">
        <v>0.34</v>
      </c>
      <c r="K257" s="6">
        <f t="shared" si="15"/>
        <v>1.6330375285694674E-3</v>
      </c>
      <c r="O257" s="3">
        <f t="shared" si="16"/>
        <v>0.22685179321482371</v>
      </c>
      <c r="P257" s="3">
        <f t="shared" si="17"/>
        <v>0.66721115651418739</v>
      </c>
      <c r="R257" s="3">
        <f t="shared" si="18"/>
        <v>0.26299987340584935</v>
      </c>
      <c r="S257" s="3">
        <f t="shared" si="19"/>
        <v>0.77352903942896867</v>
      </c>
      <c r="U257" s="3"/>
      <c r="V257" s="3"/>
    </row>
    <row r="258" spans="1:22" x14ac:dyDescent="0.3">
      <c r="B258" s="4">
        <v>28</v>
      </c>
      <c r="C258" s="5">
        <v>4</v>
      </c>
      <c r="D258" s="4">
        <v>16</v>
      </c>
      <c r="E258" s="3">
        <v>5.3084743571011064</v>
      </c>
      <c r="F258" s="4">
        <v>30</v>
      </c>
      <c r="G258" s="4">
        <v>44</v>
      </c>
      <c r="H258" s="2">
        <v>0.22188311816029316</v>
      </c>
      <c r="I258" s="3">
        <v>369.52125738295081</v>
      </c>
      <c r="J258" s="3">
        <v>0.37</v>
      </c>
      <c r="K258" s="6">
        <f t="shared" si="15"/>
        <v>1.847606286914754E-3</v>
      </c>
      <c r="O258" s="3">
        <f t="shared" si="16"/>
        <v>0.25157653636383071</v>
      </c>
      <c r="P258" s="3">
        <f t="shared" si="17"/>
        <v>0.67993658476711005</v>
      </c>
      <c r="R258" s="3">
        <f t="shared" si="18"/>
        <v>0.29224108301853913</v>
      </c>
      <c r="S258" s="3">
        <f t="shared" si="19"/>
        <v>0.78984076491497057</v>
      </c>
      <c r="U258" s="3"/>
      <c r="V258" s="3"/>
    </row>
    <row r="259" spans="1:22" x14ac:dyDescent="0.3">
      <c r="A259" s="1" t="s">
        <v>56</v>
      </c>
      <c r="B259" s="4">
        <v>15.9</v>
      </c>
      <c r="C259" s="5">
        <v>2</v>
      </c>
      <c r="D259" s="4">
        <v>46</v>
      </c>
      <c r="E259" s="3">
        <v>2.8258773978663156</v>
      </c>
      <c r="F259" s="4">
        <v>30</v>
      </c>
      <c r="G259" s="4">
        <v>38</v>
      </c>
      <c r="H259" s="2">
        <v>4.4148388230368388E-2</v>
      </c>
      <c r="I259" s="3">
        <v>341.98722674400653</v>
      </c>
      <c r="J259" s="3">
        <v>0.2</v>
      </c>
      <c r="K259" s="6">
        <f t="shared" si="15"/>
        <v>1.7099361337200327E-3</v>
      </c>
      <c r="O259" s="3">
        <f t="shared" si="16"/>
        <v>0.28050842070461185</v>
      </c>
      <c r="P259" s="3">
        <f t="shared" si="17"/>
        <v>1.4025421035230592</v>
      </c>
      <c r="R259" s="3">
        <f t="shared" si="18"/>
        <v>0.27143631848323624</v>
      </c>
      <c r="S259" s="3">
        <f t="shared" si="19"/>
        <v>1.3571815924161812</v>
      </c>
      <c r="U259" s="3"/>
      <c r="V259" s="3"/>
    </row>
    <row r="260" spans="1:22" x14ac:dyDescent="0.3">
      <c r="B260" s="4">
        <v>15.9</v>
      </c>
      <c r="C260" s="5">
        <v>2</v>
      </c>
      <c r="D260" s="4">
        <v>46</v>
      </c>
      <c r="E260" s="3">
        <v>2.8258773978663156</v>
      </c>
      <c r="F260" s="4">
        <v>30</v>
      </c>
      <c r="G260" s="4">
        <v>38</v>
      </c>
      <c r="H260" s="2">
        <v>4.4148388230368388E-2</v>
      </c>
      <c r="I260" s="3">
        <v>377.9345206360814</v>
      </c>
      <c r="J260" s="3">
        <v>0.35</v>
      </c>
      <c r="K260" s="6">
        <f t="shared" si="15"/>
        <v>1.8896726031804071E-3</v>
      </c>
      <c r="O260" s="3">
        <f t="shared" si="16"/>
        <v>0.30501464934592115</v>
      </c>
      <c r="P260" s="3">
        <f t="shared" si="17"/>
        <v>0.87147042670263186</v>
      </c>
      <c r="R260" s="3">
        <f t="shared" si="18"/>
        <v>0.2956223454610889</v>
      </c>
      <c r="S260" s="3">
        <f t="shared" si="19"/>
        <v>0.84463527274596828</v>
      </c>
      <c r="U260" s="3"/>
      <c r="V260" s="3"/>
    </row>
    <row r="261" spans="1:22" x14ac:dyDescent="0.3">
      <c r="A261" s="1" t="s">
        <v>57</v>
      </c>
      <c r="B261" s="4">
        <v>15.9</v>
      </c>
      <c r="C261" s="5">
        <v>2</v>
      </c>
      <c r="D261" s="4">
        <v>46</v>
      </c>
      <c r="E261" s="3">
        <v>2.8258773978663156</v>
      </c>
      <c r="F261" s="4">
        <v>30</v>
      </c>
      <c r="G261" s="4">
        <v>38</v>
      </c>
      <c r="H261" s="2">
        <v>4.4148388230368388E-2</v>
      </c>
      <c r="I261" s="3">
        <v>343.55345789327077</v>
      </c>
      <c r="J261" s="3">
        <v>0.2</v>
      </c>
      <c r="K261" s="6">
        <f t="shared" si="15"/>
        <v>1.7177672894663539E-3</v>
      </c>
      <c r="O261" s="3">
        <f t="shared" si="16"/>
        <v>0.28158457623339</v>
      </c>
      <c r="P261" s="3">
        <f t="shared" si="17"/>
        <v>1.40792288116695</v>
      </c>
      <c r="R261" s="3">
        <f t="shared" si="18"/>
        <v>0.27249759079128238</v>
      </c>
      <c r="S261" s="3">
        <f t="shared" si="19"/>
        <v>1.3624879539564119</v>
      </c>
      <c r="U261" s="3"/>
      <c r="V261" s="3"/>
    </row>
    <row r="262" spans="1:22" x14ac:dyDescent="0.3">
      <c r="B262" s="4">
        <v>15.9</v>
      </c>
      <c r="C262" s="5">
        <v>2</v>
      </c>
      <c r="D262" s="4">
        <v>46</v>
      </c>
      <c r="E262" s="3">
        <v>2.8258773978663156</v>
      </c>
      <c r="F262" s="4">
        <v>30</v>
      </c>
      <c r="G262" s="4">
        <v>38</v>
      </c>
      <c r="H262" s="2">
        <v>4.4148388230368388E-2</v>
      </c>
      <c r="I262" s="3">
        <v>377.9345206360814</v>
      </c>
      <c r="J262" s="3">
        <v>0.25</v>
      </c>
      <c r="K262" s="6">
        <f t="shared" si="15"/>
        <v>1.8896726031804071E-3</v>
      </c>
      <c r="O262" s="3">
        <f t="shared" si="16"/>
        <v>0.30501464934592115</v>
      </c>
      <c r="P262" s="3">
        <f t="shared" si="17"/>
        <v>1.2200585973836846</v>
      </c>
      <c r="R262" s="3">
        <f t="shared" si="18"/>
        <v>0.2956223454610889</v>
      </c>
      <c r="S262" s="3">
        <f t="shared" si="19"/>
        <v>1.1824893818443556</v>
      </c>
      <c r="U262" s="3"/>
      <c r="V262" s="3"/>
    </row>
    <row r="263" spans="1:22" x14ac:dyDescent="0.3">
      <c r="A263" s="1" t="s">
        <v>58</v>
      </c>
      <c r="B263" s="4">
        <v>15.9</v>
      </c>
      <c r="C263" s="5">
        <v>2</v>
      </c>
      <c r="D263" s="4">
        <v>46</v>
      </c>
      <c r="E263" s="3">
        <v>2.8258773978663156</v>
      </c>
      <c r="F263" s="4">
        <v>30</v>
      </c>
      <c r="G263" s="4">
        <v>38</v>
      </c>
      <c r="H263" s="2">
        <v>4.4148388230368388E-2</v>
      </c>
      <c r="I263" s="3">
        <v>343.55345789327077</v>
      </c>
      <c r="J263" s="3">
        <v>0.2</v>
      </c>
      <c r="K263" s="6">
        <f t="shared" si="15"/>
        <v>1.7177672894663539E-3</v>
      </c>
      <c r="O263" s="3">
        <f t="shared" si="16"/>
        <v>0.28158457623339</v>
      </c>
      <c r="P263" s="3">
        <f t="shared" si="17"/>
        <v>1.40792288116695</v>
      </c>
      <c r="R263" s="3">
        <f t="shared" si="18"/>
        <v>0.27249759079128238</v>
      </c>
      <c r="S263" s="3">
        <f t="shared" si="19"/>
        <v>1.3624879539564119</v>
      </c>
      <c r="U263" s="3"/>
      <c r="V263" s="3"/>
    </row>
    <row r="264" spans="1:22" x14ac:dyDescent="0.3">
      <c r="B264" s="4">
        <v>15.9</v>
      </c>
      <c r="C264" s="5">
        <v>2</v>
      </c>
      <c r="D264" s="4">
        <v>46</v>
      </c>
      <c r="E264" s="3">
        <v>2.8258773978663156</v>
      </c>
      <c r="F264" s="4">
        <v>30</v>
      </c>
      <c r="G264" s="4">
        <v>38</v>
      </c>
      <c r="H264" s="2">
        <v>4.4148388230368388E-2</v>
      </c>
      <c r="I264" s="3">
        <v>377.9345206360814</v>
      </c>
      <c r="J264" s="3">
        <v>0.25</v>
      </c>
      <c r="K264" s="6">
        <f t="shared" si="15"/>
        <v>1.8896726031804071E-3</v>
      </c>
      <c r="O264" s="3">
        <f t="shared" si="16"/>
        <v>0.30501464934592115</v>
      </c>
      <c r="P264" s="3">
        <f t="shared" si="17"/>
        <v>1.2200585973836846</v>
      </c>
      <c r="R264" s="3">
        <f t="shared" si="18"/>
        <v>0.2956223454610889</v>
      </c>
      <c r="S264" s="3">
        <f t="shared" si="19"/>
        <v>1.1824893818443556</v>
      </c>
      <c r="U264" s="3"/>
      <c r="V264" s="3"/>
    </row>
    <row r="265" spans="1:22" x14ac:dyDescent="0.3">
      <c r="A265" s="1" t="s">
        <v>59</v>
      </c>
      <c r="B265" s="4">
        <v>15.9</v>
      </c>
      <c r="C265" s="5">
        <v>2</v>
      </c>
      <c r="D265" s="4">
        <v>46</v>
      </c>
      <c r="E265" s="3">
        <v>2.8258773978663156</v>
      </c>
      <c r="F265" s="4">
        <v>30</v>
      </c>
      <c r="G265" s="4">
        <v>38</v>
      </c>
      <c r="H265" s="2">
        <v>4.4148388230368388E-2</v>
      </c>
      <c r="I265" s="3">
        <v>345.11968904253513</v>
      </c>
      <c r="J265" s="3">
        <v>0.2</v>
      </c>
      <c r="K265" s="6">
        <f t="shared" si="15"/>
        <v>1.7255984452126756E-3</v>
      </c>
      <c r="O265" s="3">
        <f t="shared" si="16"/>
        <v>0.2826599372640895</v>
      </c>
      <c r="P265" s="3">
        <f t="shared" si="17"/>
        <v>1.4132996863204474</v>
      </c>
      <c r="R265" s="3">
        <f t="shared" si="18"/>
        <v>0.27355815694714036</v>
      </c>
      <c r="S265" s="3">
        <f t="shared" si="19"/>
        <v>1.3677907847357018</v>
      </c>
      <c r="U265" s="3"/>
      <c r="V265" s="3"/>
    </row>
    <row r="266" spans="1:22" x14ac:dyDescent="0.3">
      <c r="B266" s="4">
        <v>15.9</v>
      </c>
      <c r="C266" s="5">
        <v>2</v>
      </c>
      <c r="D266" s="4">
        <v>46</v>
      </c>
      <c r="E266" s="3">
        <v>2.8258773978663156</v>
      </c>
      <c r="F266" s="4">
        <v>30</v>
      </c>
      <c r="G266" s="4">
        <v>38</v>
      </c>
      <c r="H266" s="2">
        <v>4.4148388230368388E-2</v>
      </c>
      <c r="I266" s="3">
        <v>377.9345206360814</v>
      </c>
      <c r="J266" s="3">
        <v>0.3</v>
      </c>
      <c r="K266" s="6">
        <f t="shared" si="15"/>
        <v>1.8896726031804071E-3</v>
      </c>
      <c r="O266" s="3">
        <f t="shared" si="16"/>
        <v>0.30501464934592115</v>
      </c>
      <c r="P266" s="3">
        <f t="shared" si="17"/>
        <v>1.0167154978197372</v>
      </c>
      <c r="R266" s="3">
        <f t="shared" si="18"/>
        <v>0.2956223454610889</v>
      </c>
      <c r="S266" s="3">
        <f t="shared" si="19"/>
        <v>0.98540781820362966</v>
      </c>
      <c r="U266" s="3"/>
      <c r="V266" s="3"/>
    </row>
    <row r="267" spans="1:22" x14ac:dyDescent="0.3">
      <c r="A267" s="1" t="s">
        <v>60</v>
      </c>
      <c r="B267" s="4">
        <v>12.7</v>
      </c>
      <c r="C267" s="5">
        <v>2</v>
      </c>
      <c r="D267" s="4">
        <v>52</v>
      </c>
      <c r="E267" s="3">
        <v>2.9208758709847928</v>
      </c>
      <c r="F267" s="4">
        <v>30</v>
      </c>
      <c r="G267" s="4">
        <v>36.5</v>
      </c>
      <c r="H267" s="2">
        <v>2.6406277928437891E-2</v>
      </c>
      <c r="I267" s="3">
        <v>274.08621769743974</v>
      </c>
      <c r="J267" s="3">
        <v>0.15</v>
      </c>
      <c r="K267" s="6">
        <f t="shared" si="15"/>
        <v>1.3704310884871988E-3</v>
      </c>
      <c r="O267" s="3">
        <f t="shared" si="16"/>
        <v>0.23458830810265544</v>
      </c>
      <c r="P267" s="3">
        <f t="shared" si="17"/>
        <v>1.563922054017703</v>
      </c>
      <c r="R267" s="3">
        <f t="shared" si="18"/>
        <v>0.22550873420747761</v>
      </c>
      <c r="S267" s="3">
        <f t="shared" si="19"/>
        <v>1.5033915613831841</v>
      </c>
      <c r="U267" s="3"/>
      <c r="V267" s="3"/>
    </row>
    <row r="268" spans="1:22" x14ac:dyDescent="0.3">
      <c r="B268" s="4">
        <v>12.7</v>
      </c>
      <c r="C268" s="5">
        <v>2</v>
      </c>
      <c r="D268" s="4">
        <v>52</v>
      </c>
      <c r="E268" s="3">
        <v>2.9208758709847928</v>
      </c>
      <c r="F268" s="4">
        <v>30</v>
      </c>
      <c r="G268" s="4">
        <v>36.5</v>
      </c>
      <c r="H268" s="2">
        <v>2.6406277928437891E-2</v>
      </c>
      <c r="I268" s="3">
        <v>369.76206594158054</v>
      </c>
      <c r="J268" s="3">
        <v>0.2</v>
      </c>
      <c r="K268" s="6">
        <f t="shared" ref="K268:K331" si="20">I268/200000</f>
        <v>1.8488103297079027E-3</v>
      </c>
      <c r="O268" s="3">
        <f t="shared" ref="O268:O331" si="21">$P$2*($P$3*$F268+$P$4*$B268^$P$5*$H268^$P$6)*$K268^$P$7</f>
        <v>0.30149202203537229</v>
      </c>
      <c r="P268" s="3">
        <f t="shared" ref="P268:P331" si="22">O268/$J268</f>
        <v>1.5074601101768614</v>
      </c>
      <c r="R268" s="3">
        <f t="shared" ref="R268:R331" si="23">$S$2*$B268^$S$3*$K268^$S$4*($S$5*$H268^$S$6+$S$7)</f>
        <v>0.29121476544632796</v>
      </c>
      <c r="S268" s="3">
        <f t="shared" ref="S268:S331" si="24">R268/$J268</f>
        <v>1.4560738272316398</v>
      </c>
      <c r="U268" s="3"/>
      <c r="V268" s="3"/>
    </row>
    <row r="269" spans="1:22" x14ac:dyDescent="0.3">
      <c r="A269" s="1" t="s">
        <v>61</v>
      </c>
      <c r="B269" s="4">
        <v>12.7</v>
      </c>
      <c r="C269" s="5">
        <v>2</v>
      </c>
      <c r="D269" s="4">
        <v>52</v>
      </c>
      <c r="E269" s="3">
        <v>2.9208758709847928</v>
      </c>
      <c r="F269" s="4">
        <v>30</v>
      </c>
      <c r="G269" s="4">
        <v>36.5</v>
      </c>
      <c r="H269" s="2">
        <v>2.6406277928437891E-2</v>
      </c>
      <c r="I269" s="3">
        <v>276.67249686035274</v>
      </c>
      <c r="J269" s="3">
        <v>0.15</v>
      </c>
      <c r="K269" s="6">
        <f t="shared" si="20"/>
        <v>1.3833624843017636E-3</v>
      </c>
      <c r="O269" s="3">
        <f t="shared" si="21"/>
        <v>0.23644187270593708</v>
      </c>
      <c r="P269" s="3">
        <f t="shared" si="22"/>
        <v>1.576279151372914</v>
      </c>
      <c r="R269" s="3">
        <f t="shared" si="23"/>
        <v>0.22732471502684412</v>
      </c>
      <c r="S269" s="3">
        <f t="shared" si="24"/>
        <v>1.5154981001789609</v>
      </c>
      <c r="U269" s="3"/>
      <c r="V269" s="3"/>
    </row>
    <row r="270" spans="1:22" x14ac:dyDescent="0.3">
      <c r="B270" s="4">
        <v>12.7</v>
      </c>
      <c r="C270" s="5">
        <v>2</v>
      </c>
      <c r="D270" s="4">
        <v>52</v>
      </c>
      <c r="E270" s="3">
        <v>2.9208758709847928</v>
      </c>
      <c r="F270" s="4">
        <v>30</v>
      </c>
      <c r="G270" s="4">
        <v>36.5</v>
      </c>
      <c r="H270" s="2">
        <v>2.6406277928437891E-2</v>
      </c>
      <c r="I270" s="3">
        <v>369.76206594158054</v>
      </c>
      <c r="J270" s="3">
        <v>0.2</v>
      </c>
      <c r="K270" s="6">
        <f t="shared" si="20"/>
        <v>1.8488103297079027E-3</v>
      </c>
      <c r="O270" s="3">
        <f t="shared" si="21"/>
        <v>0.30149202203537229</v>
      </c>
      <c r="P270" s="3">
        <f t="shared" si="22"/>
        <v>1.5074601101768614</v>
      </c>
      <c r="R270" s="3">
        <f t="shared" si="23"/>
        <v>0.29121476544632796</v>
      </c>
      <c r="S270" s="3">
        <f t="shared" si="24"/>
        <v>1.4560738272316398</v>
      </c>
      <c r="U270" s="3"/>
      <c r="V270" s="3"/>
    </row>
    <row r="271" spans="1:22" x14ac:dyDescent="0.3">
      <c r="A271" s="1" t="s">
        <v>62</v>
      </c>
      <c r="B271" s="4">
        <v>15.9</v>
      </c>
      <c r="C271" s="5">
        <v>2</v>
      </c>
      <c r="D271" s="4">
        <v>46</v>
      </c>
      <c r="E271" s="3">
        <v>2.9208758709847928</v>
      </c>
      <c r="F271" s="4">
        <v>30</v>
      </c>
      <c r="G271" s="4">
        <v>38</v>
      </c>
      <c r="H271" s="2">
        <v>4.4034980538332921E-2</v>
      </c>
      <c r="I271" s="3">
        <v>221.51343135637671</v>
      </c>
      <c r="J271" s="3">
        <v>0.15</v>
      </c>
      <c r="K271" s="6">
        <f t="shared" si="20"/>
        <v>1.1075671567818835E-3</v>
      </c>
      <c r="O271" s="3">
        <f t="shared" si="21"/>
        <v>0.1951813951926995</v>
      </c>
      <c r="P271" s="3">
        <f t="shared" si="22"/>
        <v>1.3012093012846635</v>
      </c>
      <c r="R271" s="3">
        <f t="shared" si="23"/>
        <v>0.18755877534476875</v>
      </c>
      <c r="S271" s="3">
        <f t="shared" si="24"/>
        <v>1.2503918356317918</v>
      </c>
      <c r="U271" s="3"/>
      <c r="V271" s="3"/>
    </row>
    <row r="272" spans="1:22" x14ac:dyDescent="0.3">
      <c r="B272" s="4">
        <v>15.9</v>
      </c>
      <c r="C272" s="5">
        <v>2</v>
      </c>
      <c r="D272" s="4">
        <v>46</v>
      </c>
      <c r="E272" s="3">
        <v>2.9208758709847928</v>
      </c>
      <c r="F272" s="4">
        <v>30</v>
      </c>
      <c r="G272" s="4">
        <v>38</v>
      </c>
      <c r="H272" s="2">
        <v>4.4034980538332921E-2</v>
      </c>
      <c r="I272" s="3">
        <v>345.72761805151771</v>
      </c>
      <c r="J272" s="3">
        <v>0.25</v>
      </c>
      <c r="K272" s="6">
        <f t="shared" si="20"/>
        <v>1.7286380902575885E-3</v>
      </c>
      <c r="O272" s="3">
        <f t="shared" si="21"/>
        <v>0.28343424287822272</v>
      </c>
      <c r="P272" s="3">
        <f t="shared" si="22"/>
        <v>1.1337369715128909</v>
      </c>
      <c r="R272" s="3">
        <f t="shared" si="23"/>
        <v>0.27431189001121964</v>
      </c>
      <c r="S272" s="3">
        <f t="shared" si="24"/>
        <v>1.0972475600448786</v>
      </c>
      <c r="U272" s="3"/>
      <c r="V272" s="3"/>
    </row>
    <row r="273" spans="1:22" x14ac:dyDescent="0.3">
      <c r="B273" s="4">
        <v>15.9</v>
      </c>
      <c r="C273" s="5">
        <v>2</v>
      </c>
      <c r="D273" s="4">
        <v>46</v>
      </c>
      <c r="E273" s="3">
        <v>2.9208758709847928</v>
      </c>
      <c r="F273" s="4">
        <v>30</v>
      </c>
      <c r="G273" s="4">
        <v>38</v>
      </c>
      <c r="H273" s="2">
        <v>4.4034980538332921E-2</v>
      </c>
      <c r="I273" s="3">
        <v>377.4763885195905</v>
      </c>
      <c r="J273" s="3">
        <v>0.3</v>
      </c>
      <c r="K273" s="6">
        <f t="shared" si="20"/>
        <v>1.8873819425979524E-3</v>
      </c>
      <c r="O273" s="3">
        <f t="shared" si="21"/>
        <v>0.30508918242070621</v>
      </c>
      <c r="P273" s="3">
        <f t="shared" si="22"/>
        <v>1.0169639414023541</v>
      </c>
      <c r="R273" s="3">
        <f t="shared" si="23"/>
        <v>0.29568521890648714</v>
      </c>
      <c r="S273" s="3">
        <f t="shared" si="24"/>
        <v>0.98561739635495715</v>
      </c>
      <c r="U273" s="3"/>
      <c r="V273" s="3"/>
    </row>
    <row r="274" spans="1:22" x14ac:dyDescent="0.3">
      <c r="A274" s="1" t="s">
        <v>63</v>
      </c>
      <c r="B274" s="4">
        <v>15.9</v>
      </c>
      <c r="C274" s="5">
        <v>2</v>
      </c>
      <c r="D274" s="4">
        <v>46</v>
      </c>
      <c r="E274" s="3">
        <v>2.9208758709847928</v>
      </c>
      <c r="F274" s="4">
        <v>30</v>
      </c>
      <c r="G274" s="4">
        <v>38</v>
      </c>
      <c r="H274" s="2">
        <v>4.4034980538332921E-2</v>
      </c>
      <c r="I274" s="3">
        <v>223.08576283353048</v>
      </c>
      <c r="J274" s="3">
        <v>0.15</v>
      </c>
      <c r="K274" s="6">
        <f t="shared" si="20"/>
        <v>1.1154288141676525E-3</v>
      </c>
      <c r="O274" s="3">
        <f t="shared" si="21"/>
        <v>0.19634171417296281</v>
      </c>
      <c r="P274" s="3">
        <f t="shared" si="22"/>
        <v>1.3089447611530856</v>
      </c>
      <c r="R274" s="3">
        <f t="shared" si="23"/>
        <v>0.18869513241282135</v>
      </c>
      <c r="S274" s="3">
        <f t="shared" si="24"/>
        <v>1.257967549418809</v>
      </c>
      <c r="U274" s="3"/>
      <c r="V274" s="3"/>
    </row>
    <row r="275" spans="1:22" x14ac:dyDescent="0.3">
      <c r="B275" s="4">
        <v>15.9</v>
      </c>
      <c r="C275" s="5">
        <v>2</v>
      </c>
      <c r="D275" s="4">
        <v>46</v>
      </c>
      <c r="E275" s="3">
        <v>2.9208758709847928</v>
      </c>
      <c r="F275" s="4">
        <v>30</v>
      </c>
      <c r="G275" s="4">
        <v>38</v>
      </c>
      <c r="H275" s="2">
        <v>4.4034980538332921E-2</v>
      </c>
      <c r="I275" s="3">
        <v>347.29994952867145</v>
      </c>
      <c r="J275" s="3">
        <v>0.25</v>
      </c>
      <c r="K275" s="6">
        <f t="shared" si="20"/>
        <v>1.7364997476433572E-3</v>
      </c>
      <c r="O275" s="3">
        <f t="shared" si="21"/>
        <v>0.28451405112050132</v>
      </c>
      <c r="P275" s="3">
        <f t="shared" si="22"/>
        <v>1.1380562044820053</v>
      </c>
      <c r="R275" s="3">
        <f t="shared" si="23"/>
        <v>0.27537693653669798</v>
      </c>
      <c r="S275" s="3">
        <f t="shared" si="24"/>
        <v>1.1015077461467919</v>
      </c>
      <c r="U275" s="3"/>
      <c r="V275" s="3"/>
    </row>
    <row r="276" spans="1:22" x14ac:dyDescent="0.3">
      <c r="A276" s="1" t="s">
        <v>64</v>
      </c>
      <c r="B276" s="4">
        <v>19.100000000000001</v>
      </c>
      <c r="C276" s="5">
        <v>2</v>
      </c>
      <c r="D276" s="4">
        <v>40</v>
      </c>
      <c r="E276" s="3">
        <v>2.9208758709847928</v>
      </c>
      <c r="F276" s="4">
        <v>30</v>
      </c>
      <c r="G276" s="4">
        <v>39.5</v>
      </c>
      <c r="H276" s="2">
        <v>6.7418833961836511E-2</v>
      </c>
      <c r="I276" s="3">
        <v>149.77490172315581</v>
      </c>
      <c r="J276" s="3">
        <v>0.15</v>
      </c>
      <c r="K276" s="6">
        <f t="shared" si="20"/>
        <v>7.4887450861577901E-4</v>
      </c>
      <c r="O276" s="3">
        <f t="shared" si="21"/>
        <v>0.1393929129565232</v>
      </c>
      <c r="P276" s="3">
        <f t="shared" si="22"/>
        <v>0.92928608637682142</v>
      </c>
      <c r="R276" s="3">
        <f t="shared" si="23"/>
        <v>0.13601293537066475</v>
      </c>
      <c r="S276" s="3">
        <f t="shared" si="24"/>
        <v>0.90675290247109841</v>
      </c>
      <c r="U276" s="3"/>
      <c r="V276" s="3"/>
    </row>
    <row r="277" spans="1:22" x14ac:dyDescent="0.3">
      <c r="B277" s="4">
        <v>19.100000000000001</v>
      </c>
      <c r="C277" s="5">
        <v>2</v>
      </c>
      <c r="D277" s="4">
        <v>40</v>
      </c>
      <c r="E277" s="3">
        <v>2.9208758709847928</v>
      </c>
      <c r="F277" s="4">
        <v>30</v>
      </c>
      <c r="G277" s="4">
        <v>39.5</v>
      </c>
      <c r="H277" s="2">
        <v>6.7418833961836511E-2</v>
      </c>
      <c r="I277" s="3">
        <v>233.11147365998266</v>
      </c>
      <c r="J277" s="3">
        <v>0.2</v>
      </c>
      <c r="K277" s="6">
        <f t="shared" si="20"/>
        <v>1.1655573682999134E-3</v>
      </c>
      <c r="O277" s="3">
        <f t="shared" si="21"/>
        <v>0.20194872431691693</v>
      </c>
      <c r="P277" s="3">
        <f t="shared" si="22"/>
        <v>1.0097436215845845</v>
      </c>
      <c r="R277" s="3">
        <f t="shared" si="23"/>
        <v>0.19845161039595458</v>
      </c>
      <c r="S277" s="3">
        <f t="shared" si="24"/>
        <v>0.99225805197977279</v>
      </c>
      <c r="U277" s="3"/>
      <c r="V277" s="3"/>
    </row>
    <row r="278" spans="1:22" x14ac:dyDescent="0.3">
      <c r="B278" s="4">
        <v>19.100000000000001</v>
      </c>
      <c r="C278" s="5">
        <v>2</v>
      </c>
      <c r="D278" s="4">
        <v>40</v>
      </c>
      <c r="E278" s="3">
        <v>2.9208758709847928</v>
      </c>
      <c r="F278" s="4">
        <v>30</v>
      </c>
      <c r="G278" s="4">
        <v>39.5</v>
      </c>
      <c r="H278" s="2">
        <v>6.7418833961836511E-2</v>
      </c>
      <c r="I278" s="3">
        <v>317.91329183951808</v>
      </c>
      <c r="J278" s="3">
        <v>0.3</v>
      </c>
      <c r="K278" s="6">
        <f t="shared" si="20"/>
        <v>1.5895664591975905E-3</v>
      </c>
      <c r="O278" s="3">
        <f t="shared" si="21"/>
        <v>0.26191324082702194</v>
      </c>
      <c r="P278" s="3">
        <f t="shared" si="22"/>
        <v>0.87304413609007314</v>
      </c>
      <c r="R278" s="3">
        <f t="shared" si="23"/>
        <v>0.25865857958302074</v>
      </c>
      <c r="S278" s="3">
        <f t="shared" si="24"/>
        <v>0.86219526527673584</v>
      </c>
      <c r="U278" s="3"/>
      <c r="V278" s="3"/>
    </row>
    <row r="279" spans="1:22" x14ac:dyDescent="0.3">
      <c r="B279" s="4">
        <v>19.100000000000001</v>
      </c>
      <c r="C279" s="5">
        <v>2</v>
      </c>
      <c r="D279" s="4">
        <v>40</v>
      </c>
      <c r="E279" s="3">
        <v>2.9208758709847928</v>
      </c>
      <c r="F279" s="4">
        <v>30</v>
      </c>
      <c r="G279" s="4">
        <v>39.5</v>
      </c>
      <c r="H279" s="2">
        <v>6.7418833961836511E-2</v>
      </c>
      <c r="I279" s="3">
        <v>381.48431251174526</v>
      </c>
      <c r="J279" s="3">
        <v>0.33</v>
      </c>
      <c r="K279" s="6">
        <f t="shared" si="20"/>
        <v>1.9074215625587262E-3</v>
      </c>
      <c r="O279" s="3">
        <f t="shared" si="21"/>
        <v>0.30514076895775138</v>
      </c>
      <c r="P279" s="3">
        <f t="shared" si="22"/>
        <v>0.92466899684167081</v>
      </c>
      <c r="R279" s="3">
        <f t="shared" si="23"/>
        <v>0.30222915589805566</v>
      </c>
      <c r="S279" s="3">
        <f t="shared" si="24"/>
        <v>0.91584592696380496</v>
      </c>
      <c r="U279" s="3"/>
      <c r="V279" s="3"/>
    </row>
    <row r="280" spans="1:22" x14ac:dyDescent="0.3">
      <c r="A280" s="1" t="s">
        <v>65</v>
      </c>
      <c r="B280" s="4">
        <v>19.100000000000001</v>
      </c>
      <c r="C280" s="5">
        <v>2</v>
      </c>
      <c r="D280" s="4">
        <v>40</v>
      </c>
      <c r="E280" s="3">
        <v>2.9208758709847928</v>
      </c>
      <c r="F280" s="4">
        <v>30</v>
      </c>
      <c r="G280" s="4">
        <v>39.5</v>
      </c>
      <c r="H280" s="2">
        <v>6.7418833961836511E-2</v>
      </c>
      <c r="I280" s="3">
        <v>148.82553248944319</v>
      </c>
      <c r="J280" s="3">
        <v>0.15</v>
      </c>
      <c r="K280" s="6">
        <f t="shared" si="20"/>
        <v>7.4412766244721592E-4</v>
      </c>
      <c r="O280" s="3">
        <f t="shared" si="21"/>
        <v>0.13865210729258096</v>
      </c>
      <c r="P280" s="3">
        <f t="shared" si="22"/>
        <v>0.92434738195053978</v>
      </c>
      <c r="R280" s="3">
        <f t="shared" si="23"/>
        <v>0.13527632879263374</v>
      </c>
      <c r="S280" s="3">
        <f t="shared" si="24"/>
        <v>0.90184219195089166</v>
      </c>
      <c r="U280" s="3"/>
      <c r="V280" s="3"/>
    </row>
    <row r="281" spans="1:22" x14ac:dyDescent="0.3">
      <c r="B281" s="4">
        <v>19.100000000000001</v>
      </c>
      <c r="C281" s="5">
        <v>2</v>
      </c>
      <c r="D281" s="4">
        <v>40</v>
      </c>
      <c r="E281" s="3">
        <v>2.9208758709847928</v>
      </c>
      <c r="F281" s="4">
        <v>30</v>
      </c>
      <c r="G281" s="4">
        <v>39.5</v>
      </c>
      <c r="H281" s="2">
        <v>6.7418833961836511E-2</v>
      </c>
      <c r="I281" s="3">
        <v>230.96459218708304</v>
      </c>
      <c r="J281" s="3">
        <v>0.25</v>
      </c>
      <c r="K281" s="6">
        <f t="shared" si="20"/>
        <v>1.1548229609354152E-3</v>
      </c>
      <c r="O281" s="3">
        <f t="shared" si="21"/>
        <v>0.20038897584951865</v>
      </c>
      <c r="P281" s="3">
        <f t="shared" si="22"/>
        <v>0.80155590339807459</v>
      </c>
      <c r="R281" s="3">
        <f t="shared" si="23"/>
        <v>0.1968897226091591</v>
      </c>
      <c r="S281" s="3">
        <f t="shared" si="24"/>
        <v>0.78755889043663641</v>
      </c>
      <c r="U281" s="3"/>
      <c r="V281" s="3"/>
    </row>
    <row r="282" spans="1:22" x14ac:dyDescent="0.3">
      <c r="B282" s="4">
        <v>19.100000000000001</v>
      </c>
      <c r="C282" s="5">
        <v>2</v>
      </c>
      <c r="D282" s="4">
        <v>40</v>
      </c>
      <c r="E282" s="3">
        <v>2.9208758709847928</v>
      </c>
      <c r="F282" s="4">
        <v>30</v>
      </c>
      <c r="G282" s="4">
        <v>39.5</v>
      </c>
      <c r="H282" s="2">
        <v>6.7418833961836511E-2</v>
      </c>
      <c r="I282" s="3">
        <v>314.6929696301687</v>
      </c>
      <c r="J282" s="3">
        <v>0.28000000000000003</v>
      </c>
      <c r="K282" s="6">
        <f t="shared" si="20"/>
        <v>1.5734648481508435E-3</v>
      </c>
      <c r="O282" s="3">
        <f t="shared" si="21"/>
        <v>0.25968813992896211</v>
      </c>
      <c r="P282" s="3">
        <f t="shared" si="22"/>
        <v>0.92745764260343599</v>
      </c>
      <c r="R282" s="3">
        <f t="shared" si="23"/>
        <v>0.25641935490059337</v>
      </c>
      <c r="S282" s="3">
        <f t="shared" si="24"/>
        <v>0.91578341035926192</v>
      </c>
      <c r="U282" s="3"/>
      <c r="V282" s="3"/>
    </row>
    <row r="283" spans="1:22" x14ac:dyDescent="0.3">
      <c r="A283" s="1" t="s">
        <v>66</v>
      </c>
      <c r="B283" s="4">
        <v>15.9</v>
      </c>
      <c r="C283" s="5">
        <v>2</v>
      </c>
      <c r="D283" s="4">
        <v>46</v>
      </c>
      <c r="E283" s="3">
        <v>3.3538794827423906</v>
      </c>
      <c r="F283" s="4">
        <v>30</v>
      </c>
      <c r="G283" s="4">
        <v>38</v>
      </c>
      <c r="H283" s="2">
        <v>4.3572731080932514E-2</v>
      </c>
      <c r="I283" s="3">
        <v>343.07945374925021</v>
      </c>
      <c r="J283" s="3">
        <v>0.2</v>
      </c>
      <c r="K283" s="6">
        <f t="shared" si="20"/>
        <v>1.715397268746251E-3</v>
      </c>
      <c r="O283" s="3">
        <f t="shared" si="21"/>
        <v>0.28307432332140714</v>
      </c>
      <c r="P283" s="3">
        <f t="shared" si="22"/>
        <v>1.4153716166070356</v>
      </c>
      <c r="R283" s="3">
        <f t="shared" si="23"/>
        <v>0.27391786987398536</v>
      </c>
      <c r="S283" s="3">
        <f t="shared" si="24"/>
        <v>1.3695893493699267</v>
      </c>
      <c r="U283" s="3"/>
      <c r="V283" s="3"/>
    </row>
    <row r="284" spans="1:22" x14ac:dyDescent="0.3">
      <c r="B284" s="4">
        <v>15.9</v>
      </c>
      <c r="C284" s="5">
        <v>2</v>
      </c>
      <c r="D284" s="4">
        <v>46</v>
      </c>
      <c r="E284" s="3">
        <v>3.3538794827423906</v>
      </c>
      <c r="F284" s="4">
        <v>30</v>
      </c>
      <c r="G284" s="4">
        <v>38</v>
      </c>
      <c r="H284" s="2">
        <v>4.3572731080932514E-2</v>
      </c>
      <c r="I284" s="3">
        <v>375.38872626125499</v>
      </c>
      <c r="J284" s="3">
        <v>0.22</v>
      </c>
      <c r="K284" s="6">
        <f t="shared" si="20"/>
        <v>1.8769436313062749E-3</v>
      </c>
      <c r="O284" s="3">
        <f t="shared" si="21"/>
        <v>0.30524951179524673</v>
      </c>
      <c r="P284" s="3">
        <f t="shared" si="22"/>
        <v>1.3874977808874851</v>
      </c>
      <c r="R284" s="3">
        <f t="shared" si="23"/>
        <v>0.29580141704464069</v>
      </c>
      <c r="S284" s="3">
        <f t="shared" si="24"/>
        <v>1.3445518956574576</v>
      </c>
      <c r="U284" s="3"/>
      <c r="V284" s="3"/>
    </row>
    <row r="285" spans="1:22" x14ac:dyDescent="0.3">
      <c r="A285" s="1" t="s">
        <v>67</v>
      </c>
      <c r="B285" s="4">
        <v>15.9</v>
      </c>
      <c r="C285" s="5">
        <v>2</v>
      </c>
      <c r="D285" s="4">
        <v>46</v>
      </c>
      <c r="E285" s="3">
        <v>3.3538794827423906</v>
      </c>
      <c r="F285" s="4">
        <v>30</v>
      </c>
      <c r="G285" s="4">
        <v>38</v>
      </c>
      <c r="H285" s="2">
        <v>4.3572731080932514E-2</v>
      </c>
      <c r="I285" s="3">
        <v>343.07945374925021</v>
      </c>
      <c r="J285" s="3">
        <v>0.17</v>
      </c>
      <c r="K285" s="6">
        <f t="shared" si="20"/>
        <v>1.715397268746251E-3</v>
      </c>
      <c r="O285" s="3">
        <f t="shared" si="21"/>
        <v>0.28307432332140714</v>
      </c>
      <c r="P285" s="3">
        <f t="shared" si="22"/>
        <v>1.6651430783612184</v>
      </c>
      <c r="R285" s="3">
        <f t="shared" si="23"/>
        <v>0.27391786987398536</v>
      </c>
      <c r="S285" s="3">
        <f t="shared" si="24"/>
        <v>1.6112815874940314</v>
      </c>
      <c r="U285" s="3"/>
      <c r="V285" s="3"/>
    </row>
    <row r="286" spans="1:22" x14ac:dyDescent="0.3">
      <c r="B286" s="4">
        <v>15.9</v>
      </c>
      <c r="C286" s="5">
        <v>2</v>
      </c>
      <c r="D286" s="4">
        <v>46</v>
      </c>
      <c r="E286" s="3">
        <v>3.3538794827423906</v>
      </c>
      <c r="F286" s="4">
        <v>30</v>
      </c>
      <c r="G286" s="4">
        <v>38</v>
      </c>
      <c r="H286" s="2">
        <v>4.3572731080932514E-2</v>
      </c>
      <c r="I286" s="3">
        <v>375.38872626125499</v>
      </c>
      <c r="J286" s="3">
        <v>0.21</v>
      </c>
      <c r="K286" s="6">
        <f t="shared" si="20"/>
        <v>1.8769436313062749E-3</v>
      </c>
      <c r="O286" s="3">
        <f t="shared" si="21"/>
        <v>0.30524951179524673</v>
      </c>
      <c r="P286" s="3">
        <f t="shared" si="22"/>
        <v>1.4535691037868892</v>
      </c>
      <c r="R286" s="3">
        <f t="shared" si="23"/>
        <v>0.29580141704464069</v>
      </c>
      <c r="S286" s="3">
        <f t="shared" si="24"/>
        <v>1.4085781764030509</v>
      </c>
      <c r="U286" s="3"/>
      <c r="V286" s="3"/>
    </row>
    <row r="287" spans="1:22" x14ac:dyDescent="0.3">
      <c r="A287" s="1" t="s">
        <v>68</v>
      </c>
      <c r="B287" s="4">
        <v>19.100000000000001</v>
      </c>
      <c r="C287" s="5">
        <v>2</v>
      </c>
      <c r="D287" s="4">
        <v>40</v>
      </c>
      <c r="E287" s="3">
        <v>3.3538794827423906</v>
      </c>
      <c r="F287" s="4">
        <v>30</v>
      </c>
      <c r="G287" s="4">
        <v>39.5</v>
      </c>
      <c r="H287" s="2">
        <v>6.6596536025101183E-2</v>
      </c>
      <c r="I287" s="3">
        <v>183.67228765737121</v>
      </c>
      <c r="J287" s="3">
        <v>0.17</v>
      </c>
      <c r="K287" s="6">
        <f t="shared" si="20"/>
        <v>9.1836143828685605E-4</v>
      </c>
      <c r="O287" s="3">
        <f t="shared" si="21"/>
        <v>0.16638096389483359</v>
      </c>
      <c r="P287" s="3">
        <f t="shared" si="22"/>
        <v>0.97871155232255047</v>
      </c>
      <c r="R287" s="3">
        <f t="shared" si="23"/>
        <v>0.16278195861738654</v>
      </c>
      <c r="S287" s="3">
        <f t="shared" si="24"/>
        <v>0.95754093304345012</v>
      </c>
      <c r="U287" s="3"/>
      <c r="V287" s="3"/>
    </row>
    <row r="288" spans="1:22" x14ac:dyDescent="0.3">
      <c r="B288" s="4">
        <v>19.100000000000001</v>
      </c>
      <c r="C288" s="5">
        <v>2</v>
      </c>
      <c r="D288" s="4">
        <v>40</v>
      </c>
      <c r="E288" s="3">
        <v>3.3538794827423906</v>
      </c>
      <c r="F288" s="4">
        <v>30</v>
      </c>
      <c r="G288" s="4">
        <v>39.5</v>
      </c>
      <c r="H288" s="2">
        <v>6.6596536025101183E-2</v>
      </c>
      <c r="I288" s="3">
        <v>227.11440414404257</v>
      </c>
      <c r="J288" s="3">
        <v>0.18</v>
      </c>
      <c r="K288" s="6">
        <f t="shared" si="20"/>
        <v>1.1355720207202129E-3</v>
      </c>
      <c r="O288" s="3">
        <f t="shared" si="21"/>
        <v>0.19877790575956925</v>
      </c>
      <c r="P288" s="3">
        <f t="shared" si="22"/>
        <v>1.1043216986642737</v>
      </c>
      <c r="R288" s="3">
        <f t="shared" si="23"/>
        <v>0.19513984745424648</v>
      </c>
      <c r="S288" s="3">
        <f t="shared" si="24"/>
        <v>1.0841102636347026</v>
      </c>
      <c r="U288" s="3"/>
      <c r="V288" s="3"/>
    </row>
    <row r="289" spans="1:22" x14ac:dyDescent="0.3">
      <c r="B289" s="4">
        <v>19.100000000000001</v>
      </c>
      <c r="C289" s="5">
        <v>2</v>
      </c>
      <c r="D289" s="4">
        <v>40</v>
      </c>
      <c r="E289" s="3">
        <v>3.3538794827423906</v>
      </c>
      <c r="F289" s="4">
        <v>30</v>
      </c>
      <c r="G289" s="4">
        <v>39.5</v>
      </c>
      <c r="H289" s="2">
        <v>6.6596536025101183E-2</v>
      </c>
      <c r="I289" s="3">
        <v>269.47046771854718</v>
      </c>
      <c r="J289" s="3">
        <v>0.2</v>
      </c>
      <c r="K289" s="6">
        <f t="shared" si="20"/>
        <v>1.3473523385927359E-3</v>
      </c>
      <c r="O289" s="3">
        <f t="shared" si="21"/>
        <v>0.22940529366576384</v>
      </c>
      <c r="P289" s="3">
        <f t="shared" si="22"/>
        <v>1.1470264683288192</v>
      </c>
      <c r="R289" s="3">
        <f t="shared" si="23"/>
        <v>0.22582371603806262</v>
      </c>
      <c r="S289" s="3">
        <f t="shared" si="24"/>
        <v>1.129118580190313</v>
      </c>
      <c r="U289" s="3"/>
      <c r="V289" s="3"/>
    </row>
    <row r="290" spans="1:22" x14ac:dyDescent="0.3">
      <c r="B290" s="4">
        <v>19.100000000000001</v>
      </c>
      <c r="C290" s="5">
        <v>2</v>
      </c>
      <c r="D290" s="4">
        <v>40</v>
      </c>
      <c r="E290" s="3">
        <v>3.3538794827423906</v>
      </c>
      <c r="F290" s="4">
        <v>30</v>
      </c>
      <c r="G290" s="4">
        <v>39.5</v>
      </c>
      <c r="H290" s="2">
        <v>6.6596536025101183E-2</v>
      </c>
      <c r="I290" s="3">
        <v>312.91258420521842</v>
      </c>
      <c r="J290" s="3">
        <v>0.2</v>
      </c>
      <c r="K290" s="6">
        <f t="shared" si="20"/>
        <v>1.564562921026092E-3</v>
      </c>
      <c r="O290" s="3">
        <f t="shared" si="21"/>
        <v>0.26001569777329314</v>
      </c>
      <c r="P290" s="3">
        <f t="shared" si="22"/>
        <v>1.3000784888664656</v>
      </c>
      <c r="R290" s="3">
        <f t="shared" si="23"/>
        <v>0.25656905357386206</v>
      </c>
      <c r="S290" s="3">
        <f t="shared" si="24"/>
        <v>1.2828452678693103</v>
      </c>
      <c r="U290" s="3"/>
      <c r="V290" s="3"/>
    </row>
    <row r="291" spans="1:22" x14ac:dyDescent="0.3">
      <c r="B291" s="4">
        <v>19.100000000000001</v>
      </c>
      <c r="C291" s="5">
        <v>2</v>
      </c>
      <c r="D291" s="4">
        <v>40</v>
      </c>
      <c r="E291" s="3">
        <v>3.3538794827423906</v>
      </c>
      <c r="F291" s="4">
        <v>30</v>
      </c>
      <c r="G291" s="4">
        <v>39.5</v>
      </c>
      <c r="H291" s="2">
        <v>6.6596536025101183E-2</v>
      </c>
      <c r="I291" s="3">
        <v>354.18259486755625</v>
      </c>
      <c r="J291" s="3">
        <v>0.25</v>
      </c>
      <c r="K291" s="6">
        <f t="shared" si="20"/>
        <v>1.7709129743377812E-3</v>
      </c>
      <c r="O291" s="3">
        <f t="shared" si="21"/>
        <v>0.28846124671259366</v>
      </c>
      <c r="P291" s="3">
        <f t="shared" si="22"/>
        <v>1.1538449868503746</v>
      </c>
      <c r="R291" s="3">
        <f t="shared" si="23"/>
        <v>0.28520231551571373</v>
      </c>
      <c r="S291" s="3">
        <f t="shared" si="24"/>
        <v>1.1408092620628549</v>
      </c>
      <c r="U291" s="3"/>
      <c r="V291" s="3"/>
    </row>
    <row r="292" spans="1:22" x14ac:dyDescent="0.3">
      <c r="B292" s="4">
        <v>19.100000000000001</v>
      </c>
      <c r="C292" s="5">
        <v>2</v>
      </c>
      <c r="D292" s="4">
        <v>40</v>
      </c>
      <c r="E292" s="3">
        <v>3.3538794827423906</v>
      </c>
      <c r="F292" s="4">
        <v>30</v>
      </c>
      <c r="G292" s="4">
        <v>39.5</v>
      </c>
      <c r="H292" s="2">
        <v>6.6596536025101183E-2</v>
      </c>
      <c r="I292" s="3">
        <v>380.02455591704472</v>
      </c>
      <c r="J292" s="3">
        <v>0.27</v>
      </c>
      <c r="K292" s="6">
        <f t="shared" si="20"/>
        <v>1.9001227795852236E-3</v>
      </c>
      <c r="O292" s="3">
        <f t="shared" si="21"/>
        <v>0.30599705088654516</v>
      </c>
      <c r="P292" s="3">
        <f t="shared" si="22"/>
        <v>1.1333224106909079</v>
      </c>
      <c r="R292" s="3">
        <f t="shared" si="23"/>
        <v>0.30288109240686556</v>
      </c>
      <c r="S292" s="3">
        <f t="shared" si="24"/>
        <v>1.1217818237291317</v>
      </c>
      <c r="U292" s="3"/>
      <c r="V292" s="3"/>
    </row>
    <row r="293" spans="1:22" x14ac:dyDescent="0.3">
      <c r="A293" s="1" t="s">
        <v>69</v>
      </c>
      <c r="B293" s="4">
        <v>19.100000000000001</v>
      </c>
      <c r="C293" s="5">
        <v>2</v>
      </c>
      <c r="D293" s="4">
        <v>40</v>
      </c>
      <c r="E293" s="3">
        <v>3.3538794827423906</v>
      </c>
      <c r="F293" s="4">
        <v>30</v>
      </c>
      <c r="G293" s="4">
        <v>39.5</v>
      </c>
      <c r="H293" s="2">
        <v>6.6596536025101183E-2</v>
      </c>
      <c r="I293" s="3">
        <v>269.47046771854718</v>
      </c>
      <c r="J293" s="3">
        <v>0.18</v>
      </c>
      <c r="K293" s="6">
        <f t="shared" si="20"/>
        <v>1.3473523385927359E-3</v>
      </c>
      <c r="O293" s="3">
        <f t="shared" si="21"/>
        <v>0.22940529366576384</v>
      </c>
      <c r="P293" s="3">
        <f t="shared" si="22"/>
        <v>1.2744738536986882</v>
      </c>
      <c r="R293" s="3">
        <f t="shared" si="23"/>
        <v>0.22582371603806262</v>
      </c>
      <c r="S293" s="3">
        <f t="shared" si="24"/>
        <v>1.2545762002114591</v>
      </c>
      <c r="U293" s="3"/>
      <c r="V293" s="3"/>
    </row>
    <row r="294" spans="1:22" x14ac:dyDescent="0.3">
      <c r="B294" s="4">
        <v>19.100000000000001</v>
      </c>
      <c r="C294" s="5">
        <v>2</v>
      </c>
      <c r="D294" s="4">
        <v>40</v>
      </c>
      <c r="E294" s="3">
        <v>3.3538794827423906</v>
      </c>
      <c r="F294" s="4">
        <v>30</v>
      </c>
      <c r="G294" s="4">
        <v>39.5</v>
      </c>
      <c r="H294" s="2">
        <v>6.6596536025101183E-2</v>
      </c>
      <c r="I294" s="3">
        <v>310.74047838088489</v>
      </c>
      <c r="J294" s="3">
        <v>0.19</v>
      </c>
      <c r="K294" s="6">
        <f t="shared" si="20"/>
        <v>1.5537023919044244E-3</v>
      </c>
      <c r="O294" s="3">
        <f t="shared" si="21"/>
        <v>0.25850232360278347</v>
      </c>
      <c r="P294" s="3">
        <f t="shared" si="22"/>
        <v>1.3605385452778078</v>
      </c>
      <c r="R294" s="3">
        <f t="shared" si="23"/>
        <v>0.25504731273597914</v>
      </c>
      <c r="S294" s="3">
        <f t="shared" si="24"/>
        <v>1.342354277557785</v>
      </c>
      <c r="U294" s="3"/>
      <c r="V294" s="3"/>
    </row>
    <row r="295" spans="1:22" x14ac:dyDescent="0.3">
      <c r="B295" s="4">
        <v>19.100000000000001</v>
      </c>
      <c r="C295" s="5">
        <v>2</v>
      </c>
      <c r="D295" s="4">
        <v>40</v>
      </c>
      <c r="E295" s="3">
        <v>3.3538794827423906</v>
      </c>
      <c r="F295" s="4">
        <v>30</v>
      </c>
      <c r="G295" s="4">
        <v>39.5</v>
      </c>
      <c r="H295" s="2">
        <v>6.6596536025101183E-2</v>
      </c>
      <c r="I295" s="3">
        <v>354.18259486755625</v>
      </c>
      <c r="J295" s="3">
        <v>0.21</v>
      </c>
      <c r="K295" s="6">
        <f t="shared" si="20"/>
        <v>1.7709129743377812E-3</v>
      </c>
      <c r="O295" s="3">
        <f t="shared" si="21"/>
        <v>0.28846124671259366</v>
      </c>
      <c r="P295" s="3">
        <f t="shared" si="22"/>
        <v>1.373624984345684</v>
      </c>
      <c r="R295" s="3">
        <f t="shared" si="23"/>
        <v>0.28520231551571373</v>
      </c>
      <c r="S295" s="3">
        <f t="shared" si="24"/>
        <v>1.3581062643605417</v>
      </c>
      <c r="U295" s="3"/>
      <c r="V295" s="3"/>
    </row>
    <row r="296" spans="1:22" x14ac:dyDescent="0.3">
      <c r="B296" s="4">
        <v>19.100000000000001</v>
      </c>
      <c r="C296" s="5">
        <v>2</v>
      </c>
      <c r="D296" s="4">
        <v>40</v>
      </c>
      <c r="E296" s="3">
        <v>3.3538794827423906</v>
      </c>
      <c r="F296" s="4">
        <v>30</v>
      </c>
      <c r="G296" s="4">
        <v>39.5</v>
      </c>
      <c r="H296" s="2">
        <v>6.6596536025101183E-2</v>
      </c>
      <c r="I296" s="3">
        <v>380.02455591704472</v>
      </c>
      <c r="J296" s="3">
        <v>0.26</v>
      </c>
      <c r="K296" s="6">
        <f t="shared" si="20"/>
        <v>1.9001227795852236E-3</v>
      </c>
      <c r="O296" s="3">
        <f t="shared" si="21"/>
        <v>0.30599705088654516</v>
      </c>
      <c r="P296" s="3">
        <f t="shared" si="22"/>
        <v>1.1769117341790198</v>
      </c>
      <c r="R296" s="3">
        <f t="shared" si="23"/>
        <v>0.30288109240686556</v>
      </c>
      <c r="S296" s="3">
        <f t="shared" si="24"/>
        <v>1.1649272784879445</v>
      </c>
      <c r="U296" s="3"/>
      <c r="V296" s="3"/>
    </row>
    <row r="297" spans="1:22" x14ac:dyDescent="0.3">
      <c r="A297" s="1" t="s">
        <v>70</v>
      </c>
      <c r="B297" s="4">
        <v>19.100000000000001</v>
      </c>
      <c r="C297" s="5">
        <v>2</v>
      </c>
      <c r="D297" s="4">
        <v>69.8</v>
      </c>
      <c r="E297" s="3">
        <v>2.900328825179082</v>
      </c>
      <c r="F297" s="4">
        <v>31.8</v>
      </c>
      <c r="G297" s="4">
        <v>41.4</v>
      </c>
      <c r="H297" s="2">
        <v>4.0651443689720533E-2</v>
      </c>
      <c r="I297" s="3">
        <v>151.46187555426414</v>
      </c>
      <c r="J297" s="3">
        <v>0.17</v>
      </c>
      <c r="K297" s="6">
        <f t="shared" si="20"/>
        <v>7.5730937777132069E-4</v>
      </c>
      <c r="O297" s="3">
        <f t="shared" si="21"/>
        <v>0.18043637630184439</v>
      </c>
      <c r="P297" s="3">
        <f t="shared" si="22"/>
        <v>1.0613904488343786</v>
      </c>
      <c r="R297" s="3">
        <f t="shared" si="23"/>
        <v>0.17400421008877598</v>
      </c>
      <c r="S297" s="3">
        <f t="shared" si="24"/>
        <v>1.0235541769927998</v>
      </c>
      <c r="U297" s="3"/>
      <c r="V297" s="3"/>
    </row>
    <row r="298" spans="1:22" x14ac:dyDescent="0.3">
      <c r="B298" s="4">
        <v>19.100000000000001</v>
      </c>
      <c r="C298" s="5">
        <v>2</v>
      </c>
      <c r="D298" s="4">
        <v>69.8</v>
      </c>
      <c r="E298" s="3">
        <v>2.900328825179082</v>
      </c>
      <c r="F298" s="4">
        <v>31.8</v>
      </c>
      <c r="G298" s="4">
        <v>41.4</v>
      </c>
      <c r="H298" s="2">
        <v>4.0651443689720533E-2</v>
      </c>
      <c r="I298" s="3">
        <v>200.80108379018296</v>
      </c>
      <c r="J298" s="3">
        <v>0.23</v>
      </c>
      <c r="K298" s="6">
        <f t="shared" si="20"/>
        <v>1.0040054189509148E-3</v>
      </c>
      <c r="O298" s="3">
        <f t="shared" si="21"/>
        <v>0.22853244062173253</v>
      </c>
      <c r="P298" s="3">
        <f t="shared" si="22"/>
        <v>0.99361930705101098</v>
      </c>
      <c r="R298" s="3">
        <f t="shared" si="23"/>
        <v>0.22138231318110541</v>
      </c>
      <c r="S298" s="3">
        <f t="shared" si="24"/>
        <v>0.96253179643958864</v>
      </c>
      <c r="U298" s="3"/>
      <c r="V298" s="3"/>
    </row>
    <row r="299" spans="1:22" x14ac:dyDescent="0.3">
      <c r="B299" s="4">
        <v>19.100000000000001</v>
      </c>
      <c r="C299" s="5">
        <v>2</v>
      </c>
      <c r="D299" s="4">
        <v>69.8</v>
      </c>
      <c r="E299" s="3">
        <v>2.900328825179082</v>
      </c>
      <c r="F299" s="4">
        <v>31.8</v>
      </c>
      <c r="G299" s="4">
        <v>41.4</v>
      </c>
      <c r="H299" s="2">
        <v>4.0651443689720533E-2</v>
      </c>
      <c r="I299" s="3">
        <v>238.03329547717576</v>
      </c>
      <c r="J299" s="3">
        <v>0.27</v>
      </c>
      <c r="K299" s="6">
        <f t="shared" si="20"/>
        <v>1.1901664773858788E-3</v>
      </c>
      <c r="O299" s="3">
        <f t="shared" si="21"/>
        <v>0.26354349805569671</v>
      </c>
      <c r="P299" s="3">
        <f t="shared" si="22"/>
        <v>0.97608702983591367</v>
      </c>
      <c r="R299" s="3">
        <f t="shared" si="23"/>
        <v>0.25599372264333875</v>
      </c>
      <c r="S299" s="3">
        <f t="shared" si="24"/>
        <v>0.94812489867903238</v>
      </c>
      <c r="U299" s="3"/>
      <c r="V299" s="3"/>
    </row>
    <row r="300" spans="1:22" x14ac:dyDescent="0.3">
      <c r="A300" s="1" t="s">
        <v>71</v>
      </c>
      <c r="B300" s="4">
        <v>19.100000000000001</v>
      </c>
      <c r="C300" s="5">
        <v>2</v>
      </c>
      <c r="D300" s="4">
        <v>69.8</v>
      </c>
      <c r="E300" s="3">
        <v>2.8466918957142089</v>
      </c>
      <c r="F300" s="4">
        <v>31.8</v>
      </c>
      <c r="G300" s="4">
        <v>41.4</v>
      </c>
      <c r="H300" s="2">
        <v>4.0711184462321949E-2</v>
      </c>
      <c r="I300" s="3">
        <v>238.70266517324109</v>
      </c>
      <c r="J300" s="3">
        <v>0.16</v>
      </c>
      <c r="K300" s="6">
        <f t="shared" si="20"/>
        <v>1.1935133258662053E-3</v>
      </c>
      <c r="O300" s="3">
        <f t="shared" si="21"/>
        <v>0.26397400963205492</v>
      </c>
      <c r="P300" s="3">
        <f t="shared" si="22"/>
        <v>1.6498375602003432</v>
      </c>
      <c r="R300" s="3">
        <f t="shared" si="23"/>
        <v>0.25642260256059041</v>
      </c>
      <c r="S300" s="3">
        <f t="shared" si="24"/>
        <v>1.6026412660036899</v>
      </c>
      <c r="U300" s="3"/>
      <c r="V300" s="3"/>
    </row>
    <row r="301" spans="1:22" x14ac:dyDescent="0.3">
      <c r="A301" s="1" t="s">
        <v>72</v>
      </c>
      <c r="B301" s="4">
        <v>19.100000000000001</v>
      </c>
      <c r="C301" s="5">
        <v>2</v>
      </c>
      <c r="D301" s="4">
        <v>69.8</v>
      </c>
      <c r="E301" s="3">
        <v>2.711321473488328</v>
      </c>
      <c r="F301" s="4">
        <v>38.200000000000003</v>
      </c>
      <c r="G301" s="4">
        <v>47.7</v>
      </c>
      <c r="H301" s="2">
        <v>4.0691908981937738E-2</v>
      </c>
      <c r="I301" s="3">
        <v>209.57139801391955</v>
      </c>
      <c r="J301" s="3">
        <v>0.16</v>
      </c>
      <c r="K301" s="6">
        <f t="shared" si="20"/>
        <v>1.0478569900695977E-3</v>
      </c>
      <c r="O301" s="3">
        <f t="shared" si="21"/>
        <v>0.23713955169772427</v>
      </c>
      <c r="P301" s="3">
        <f t="shared" si="22"/>
        <v>1.4821221981107766</v>
      </c>
      <c r="R301" s="3">
        <f t="shared" si="23"/>
        <v>0.22950130142324465</v>
      </c>
      <c r="S301" s="3">
        <f t="shared" si="24"/>
        <v>1.434383133895279</v>
      </c>
      <c r="U301" s="3"/>
      <c r="V301" s="3"/>
    </row>
    <row r="302" spans="1:22" x14ac:dyDescent="0.3">
      <c r="B302" s="4">
        <v>19.100000000000001</v>
      </c>
      <c r="C302" s="5">
        <v>2</v>
      </c>
      <c r="D302" s="4">
        <v>69.8</v>
      </c>
      <c r="E302" s="3">
        <v>2.711321473488328</v>
      </c>
      <c r="F302" s="4">
        <v>38.200000000000003</v>
      </c>
      <c r="G302" s="4">
        <v>47.7</v>
      </c>
      <c r="H302" s="2">
        <v>4.0691908981937738E-2</v>
      </c>
      <c r="I302" s="3">
        <v>240.2710884876978</v>
      </c>
      <c r="J302" s="3">
        <v>0.2</v>
      </c>
      <c r="K302" s="6">
        <f t="shared" si="20"/>
        <v>1.2013554424384889E-3</v>
      </c>
      <c r="O302" s="3">
        <f t="shared" si="21"/>
        <v>0.26592283981146481</v>
      </c>
      <c r="P302" s="3">
        <f t="shared" si="22"/>
        <v>1.329614199057324</v>
      </c>
      <c r="R302" s="3">
        <f t="shared" si="23"/>
        <v>0.25792100369614873</v>
      </c>
      <c r="S302" s="3">
        <f t="shared" si="24"/>
        <v>1.2896050184807435</v>
      </c>
      <c r="U302" s="3"/>
      <c r="V302" s="3"/>
    </row>
    <row r="303" spans="1:22" x14ac:dyDescent="0.3">
      <c r="A303" s="1" t="s">
        <v>73</v>
      </c>
      <c r="B303" s="4">
        <v>22.2</v>
      </c>
      <c r="C303" s="5">
        <v>2</v>
      </c>
      <c r="D303" s="4">
        <v>63.6</v>
      </c>
      <c r="E303" s="3">
        <v>2.6879866270061714</v>
      </c>
      <c r="F303" s="4">
        <v>12.8</v>
      </c>
      <c r="G303" s="4">
        <v>23.9</v>
      </c>
      <c r="H303" s="2">
        <v>8.499983527163707E-2</v>
      </c>
      <c r="I303" s="3">
        <v>250.00547954530396</v>
      </c>
      <c r="J303" s="3">
        <v>0.17</v>
      </c>
      <c r="K303" s="6">
        <f t="shared" si="20"/>
        <v>1.2500273977265198E-3</v>
      </c>
      <c r="O303" s="3">
        <f t="shared" si="21"/>
        <v>0.22404003373697787</v>
      </c>
      <c r="P303" s="3">
        <f t="shared" si="22"/>
        <v>1.3178825513939874</v>
      </c>
      <c r="R303" s="3">
        <f t="shared" si="23"/>
        <v>0.22668025878111664</v>
      </c>
      <c r="S303" s="3">
        <f t="shared" si="24"/>
        <v>1.3334132869477449</v>
      </c>
      <c r="U303" s="3"/>
      <c r="V303" s="3"/>
    </row>
    <row r="304" spans="1:22" x14ac:dyDescent="0.3">
      <c r="A304" s="1" t="s">
        <v>74</v>
      </c>
      <c r="B304" s="4">
        <v>22.2</v>
      </c>
      <c r="C304" s="5">
        <v>2</v>
      </c>
      <c r="D304" s="4">
        <v>63.6</v>
      </c>
      <c r="E304" s="3">
        <v>2.3846015710371389</v>
      </c>
      <c r="F304" s="4">
        <v>38</v>
      </c>
      <c r="G304" s="4">
        <v>49.1</v>
      </c>
      <c r="H304" s="2">
        <v>5.9022388890402282E-2</v>
      </c>
      <c r="I304" s="3">
        <v>161.31645797841776</v>
      </c>
      <c r="J304" s="3">
        <v>0.15</v>
      </c>
      <c r="K304" s="6">
        <f t="shared" si="20"/>
        <v>8.0658228989208876E-4</v>
      </c>
      <c r="O304" s="3">
        <f t="shared" si="21"/>
        <v>0.18700519931175055</v>
      </c>
      <c r="P304" s="3">
        <f t="shared" si="22"/>
        <v>1.2467013287450037</v>
      </c>
      <c r="R304" s="3">
        <f t="shared" si="23"/>
        <v>0.18282116651475458</v>
      </c>
      <c r="S304" s="3">
        <f t="shared" si="24"/>
        <v>1.2188077767650305</v>
      </c>
      <c r="U304" s="3"/>
      <c r="V304" s="3"/>
    </row>
    <row r="305" spans="1:22" x14ac:dyDescent="0.3">
      <c r="B305" s="4">
        <v>22.2</v>
      </c>
      <c r="C305" s="5">
        <v>2</v>
      </c>
      <c r="D305" s="4">
        <v>63.6</v>
      </c>
      <c r="E305" s="3">
        <v>2.3846015710371389</v>
      </c>
      <c r="F305" s="4">
        <v>38</v>
      </c>
      <c r="G305" s="4">
        <v>49.1</v>
      </c>
      <c r="H305" s="2">
        <v>5.9022388890402282E-2</v>
      </c>
      <c r="I305" s="3">
        <v>196.99313775302753</v>
      </c>
      <c r="J305" s="3">
        <v>0.19</v>
      </c>
      <c r="K305" s="6">
        <f t="shared" si="20"/>
        <v>9.8496568876513756E-4</v>
      </c>
      <c r="O305" s="3">
        <f t="shared" si="21"/>
        <v>0.22108993372068816</v>
      </c>
      <c r="P305" s="3">
        <f t="shared" si="22"/>
        <v>1.1636312301088851</v>
      </c>
      <c r="R305" s="3">
        <f t="shared" si="23"/>
        <v>0.2168353685559429</v>
      </c>
      <c r="S305" s="3">
        <f t="shared" si="24"/>
        <v>1.1412387818733838</v>
      </c>
      <c r="U305" s="3"/>
      <c r="V305" s="3"/>
    </row>
    <row r="306" spans="1:22" x14ac:dyDescent="0.3">
      <c r="B306" s="4">
        <v>22.2</v>
      </c>
      <c r="C306" s="5">
        <v>2</v>
      </c>
      <c r="D306" s="4">
        <v>63.6</v>
      </c>
      <c r="E306" s="3">
        <v>2.3846015710371389</v>
      </c>
      <c r="F306" s="4">
        <v>38</v>
      </c>
      <c r="G306" s="4">
        <v>49.1</v>
      </c>
      <c r="H306" s="2">
        <v>5.9022388890402282E-2</v>
      </c>
      <c r="I306" s="3">
        <v>235.05964296708481</v>
      </c>
      <c r="J306" s="3">
        <v>0.22</v>
      </c>
      <c r="K306" s="6">
        <f t="shared" si="20"/>
        <v>1.1752982148354242E-3</v>
      </c>
      <c r="O306" s="3">
        <f t="shared" si="21"/>
        <v>0.25636939234827399</v>
      </c>
      <c r="P306" s="3">
        <f t="shared" si="22"/>
        <v>1.1653154197648818</v>
      </c>
      <c r="R306" s="3">
        <f t="shared" si="23"/>
        <v>0.25214766956043549</v>
      </c>
      <c r="S306" s="3">
        <f t="shared" si="24"/>
        <v>1.1461257707292523</v>
      </c>
      <c r="U306" s="3"/>
      <c r="V306" s="3"/>
    </row>
    <row r="307" spans="1:22" x14ac:dyDescent="0.3">
      <c r="B307" s="4">
        <v>22.2</v>
      </c>
      <c r="C307" s="5">
        <v>2</v>
      </c>
      <c r="D307" s="4">
        <v>63.6</v>
      </c>
      <c r="E307" s="3">
        <v>2.3846015710371389</v>
      </c>
      <c r="F307" s="4">
        <v>38</v>
      </c>
      <c r="G307" s="4">
        <v>49.1</v>
      </c>
      <c r="H307" s="2">
        <v>5.9022388890402282E-2</v>
      </c>
      <c r="I307" s="3">
        <v>251.74398079944604</v>
      </c>
      <c r="J307" s="3">
        <v>0.27</v>
      </c>
      <c r="K307" s="6">
        <f t="shared" si="20"/>
        <v>1.2587199039972301E-3</v>
      </c>
      <c r="O307" s="3">
        <f t="shared" si="21"/>
        <v>0.27153303349014246</v>
      </c>
      <c r="P307" s="3">
        <f t="shared" si="22"/>
        <v>1.0056779018153423</v>
      </c>
      <c r="R307" s="3">
        <f t="shared" si="23"/>
        <v>0.26735477952124642</v>
      </c>
      <c r="S307" s="3">
        <f t="shared" si="24"/>
        <v>0.99020288711572746</v>
      </c>
      <c r="U307" s="3"/>
      <c r="V307" s="3"/>
    </row>
    <row r="308" spans="1:22" x14ac:dyDescent="0.3">
      <c r="A308" s="1" t="s">
        <v>75</v>
      </c>
      <c r="B308" s="4">
        <v>22.2</v>
      </c>
      <c r="C308" s="5">
        <v>2</v>
      </c>
      <c r="D308" s="4">
        <v>63.6</v>
      </c>
      <c r="E308" s="3">
        <v>2.8648423476200775</v>
      </c>
      <c r="F308" s="4">
        <v>38</v>
      </c>
      <c r="G308" s="4">
        <v>49.1</v>
      </c>
      <c r="H308" s="2">
        <v>5.8054054206432525E-2</v>
      </c>
      <c r="I308" s="3">
        <v>228.82881043536602</v>
      </c>
      <c r="J308" s="3">
        <v>0.17</v>
      </c>
      <c r="K308" s="6">
        <f t="shared" si="20"/>
        <v>1.1441440521768301E-3</v>
      </c>
      <c r="O308" s="3">
        <f t="shared" si="21"/>
        <v>0.25270284332900467</v>
      </c>
      <c r="P308" s="3">
        <f t="shared" si="22"/>
        <v>1.4864873137000274</v>
      </c>
      <c r="R308" s="3">
        <f t="shared" si="23"/>
        <v>0.24829752830452057</v>
      </c>
      <c r="S308" s="3">
        <f t="shared" si="24"/>
        <v>1.4605736959089444</v>
      </c>
      <c r="U308" s="3"/>
      <c r="V308" s="3"/>
    </row>
    <row r="309" spans="1:22" x14ac:dyDescent="0.3">
      <c r="B309" s="4">
        <v>22.2</v>
      </c>
      <c r="C309" s="5">
        <v>2</v>
      </c>
      <c r="D309" s="4">
        <v>63.6</v>
      </c>
      <c r="E309" s="3">
        <v>2.8648423476200775</v>
      </c>
      <c r="F309" s="4">
        <v>38</v>
      </c>
      <c r="G309" s="4">
        <v>49.1</v>
      </c>
      <c r="H309" s="2">
        <v>5.8054054206432525E-2</v>
      </c>
      <c r="I309" s="3">
        <v>247.30845437958286</v>
      </c>
      <c r="J309" s="3">
        <v>0.2</v>
      </c>
      <c r="K309" s="6">
        <f t="shared" si="20"/>
        <v>1.2365422718979143E-3</v>
      </c>
      <c r="O309" s="3">
        <f t="shared" si="21"/>
        <v>0.26969594122607243</v>
      </c>
      <c r="P309" s="3">
        <f t="shared" si="22"/>
        <v>1.3484797061303622</v>
      </c>
      <c r="R309" s="3">
        <f t="shared" si="23"/>
        <v>0.26532387451013267</v>
      </c>
      <c r="S309" s="3">
        <f t="shared" si="24"/>
        <v>1.3266193725506632</v>
      </c>
      <c r="U309" s="3"/>
      <c r="V309" s="3"/>
    </row>
    <row r="310" spans="1:22" x14ac:dyDescent="0.3">
      <c r="A310" s="1" t="s">
        <v>76</v>
      </c>
      <c r="B310" s="4">
        <v>22.2</v>
      </c>
      <c r="C310" s="5">
        <v>2</v>
      </c>
      <c r="D310" s="4">
        <v>63.6</v>
      </c>
      <c r="E310" s="3">
        <v>2.8336917902498859</v>
      </c>
      <c r="F310" s="4">
        <v>38</v>
      </c>
      <c r="G310" s="4">
        <v>49.1</v>
      </c>
      <c r="H310" s="2">
        <v>5.8110239594394375E-2</v>
      </c>
      <c r="I310" s="3">
        <v>154.45932610251742</v>
      </c>
      <c r="J310" s="3">
        <v>0.15</v>
      </c>
      <c r="K310" s="6">
        <f t="shared" si="20"/>
        <v>7.7229663051258713E-4</v>
      </c>
      <c r="O310" s="3">
        <f t="shared" si="21"/>
        <v>0.18170232635203254</v>
      </c>
      <c r="P310" s="3">
        <f t="shared" si="22"/>
        <v>1.2113488423468837</v>
      </c>
      <c r="R310" s="3">
        <f t="shared" si="23"/>
        <v>0.17742111364617211</v>
      </c>
      <c r="S310" s="3">
        <f t="shared" si="24"/>
        <v>1.1828074243078142</v>
      </c>
      <c r="U310" s="3"/>
      <c r="V310" s="3"/>
    </row>
    <row r="311" spans="1:22" x14ac:dyDescent="0.3">
      <c r="B311" s="4">
        <v>22.2</v>
      </c>
      <c r="C311" s="5">
        <v>2</v>
      </c>
      <c r="D311" s="4">
        <v>63.6</v>
      </c>
      <c r="E311" s="3">
        <v>2.8336917902498859</v>
      </c>
      <c r="F311" s="4">
        <v>38</v>
      </c>
      <c r="G311" s="4">
        <v>49.1</v>
      </c>
      <c r="H311" s="2">
        <v>5.8110239594394375E-2</v>
      </c>
      <c r="I311" s="3">
        <v>190.63079573768678</v>
      </c>
      <c r="J311" s="3">
        <v>0.18</v>
      </c>
      <c r="K311" s="6">
        <f t="shared" si="20"/>
        <v>9.5315397868843388E-4</v>
      </c>
      <c r="O311" s="3">
        <f t="shared" si="21"/>
        <v>0.21673848175367785</v>
      </c>
      <c r="P311" s="3">
        <f t="shared" si="22"/>
        <v>1.2041026764093214</v>
      </c>
      <c r="R311" s="3">
        <f t="shared" si="23"/>
        <v>0.2123454222476398</v>
      </c>
      <c r="S311" s="3">
        <f t="shared" si="24"/>
        <v>1.1796967902646656</v>
      </c>
      <c r="U311" s="3"/>
      <c r="V311" s="3"/>
    </row>
    <row r="312" spans="1:22" x14ac:dyDescent="0.3">
      <c r="B312" s="4">
        <v>22.2</v>
      </c>
      <c r="C312" s="5">
        <v>2</v>
      </c>
      <c r="D312" s="4">
        <v>63.6</v>
      </c>
      <c r="E312" s="3">
        <v>2.8336917902498859</v>
      </c>
      <c r="F312" s="4">
        <v>38</v>
      </c>
      <c r="G312" s="4">
        <v>49.1</v>
      </c>
      <c r="H312" s="2">
        <v>5.8110239594394375E-2</v>
      </c>
      <c r="I312" s="3">
        <v>229.22523463071434</v>
      </c>
      <c r="J312" s="3">
        <v>0.22</v>
      </c>
      <c r="K312" s="6">
        <f t="shared" si="20"/>
        <v>1.1461261731535717E-3</v>
      </c>
      <c r="O312" s="3">
        <f t="shared" si="21"/>
        <v>0.25294969196474754</v>
      </c>
      <c r="P312" s="3">
        <f t="shared" si="22"/>
        <v>1.1497713271124888</v>
      </c>
      <c r="R312" s="3">
        <f t="shared" si="23"/>
        <v>0.24855479215194848</v>
      </c>
      <c r="S312" s="3">
        <f t="shared" si="24"/>
        <v>1.129794509781584</v>
      </c>
      <c r="U312" s="3"/>
      <c r="V312" s="3"/>
    </row>
    <row r="313" spans="1:22" x14ac:dyDescent="0.3">
      <c r="B313" s="4">
        <v>22.2</v>
      </c>
      <c r="C313" s="5">
        <v>2</v>
      </c>
      <c r="D313" s="4">
        <v>63.6</v>
      </c>
      <c r="E313" s="3">
        <v>2.8336917902498859</v>
      </c>
      <c r="F313" s="4">
        <v>38</v>
      </c>
      <c r="G313" s="4">
        <v>49.1</v>
      </c>
      <c r="H313" s="2">
        <v>5.8110239594394375E-2</v>
      </c>
      <c r="I313" s="3">
        <v>247.59579686335982</v>
      </c>
      <c r="J313" s="3">
        <v>0.25</v>
      </c>
      <c r="K313" s="6">
        <f t="shared" si="20"/>
        <v>1.2379789843167991E-3</v>
      </c>
      <c r="O313" s="3">
        <f t="shared" si="21"/>
        <v>0.26983053872607016</v>
      </c>
      <c r="P313" s="3">
        <f t="shared" si="22"/>
        <v>1.0793221549042806</v>
      </c>
      <c r="R313" s="3">
        <f t="shared" si="23"/>
        <v>0.26546959045540708</v>
      </c>
      <c r="S313" s="3">
        <f t="shared" si="24"/>
        <v>1.0618783618216283</v>
      </c>
      <c r="U313" s="3"/>
      <c r="V313" s="3"/>
    </row>
    <row r="314" spans="1:22" x14ac:dyDescent="0.3">
      <c r="A314" s="1" t="s">
        <v>77</v>
      </c>
      <c r="B314" s="4">
        <v>22.2</v>
      </c>
      <c r="C314" s="5">
        <v>2</v>
      </c>
      <c r="D314" s="4">
        <v>63.6</v>
      </c>
      <c r="E314" s="3">
        <v>2.7563734268389184</v>
      </c>
      <c r="F314" s="4">
        <v>38</v>
      </c>
      <c r="G314" s="4">
        <v>49.1</v>
      </c>
      <c r="H314" s="2">
        <v>5.8253253556272706E-2</v>
      </c>
      <c r="I314" s="3">
        <v>155.62718452433654</v>
      </c>
      <c r="J314" s="3">
        <v>0.2</v>
      </c>
      <c r="K314" s="6">
        <f t="shared" si="20"/>
        <v>7.7813592262168272E-4</v>
      </c>
      <c r="O314" s="3">
        <f t="shared" si="21"/>
        <v>0.18263273299289504</v>
      </c>
      <c r="P314" s="3">
        <f t="shared" si="22"/>
        <v>0.9131636649644751</v>
      </c>
      <c r="R314" s="3">
        <f t="shared" si="23"/>
        <v>0.17836545555510425</v>
      </c>
      <c r="S314" s="3">
        <f t="shared" si="24"/>
        <v>0.89182727777552118</v>
      </c>
      <c r="U314" s="3"/>
      <c r="V314" s="3"/>
    </row>
    <row r="315" spans="1:22" x14ac:dyDescent="0.3">
      <c r="B315" s="4">
        <v>22.2</v>
      </c>
      <c r="C315" s="5">
        <v>2</v>
      </c>
      <c r="D315" s="4">
        <v>63.6</v>
      </c>
      <c r="E315" s="3">
        <v>2.7563734268389184</v>
      </c>
      <c r="F315" s="4">
        <v>38</v>
      </c>
      <c r="G315" s="4">
        <v>49.1</v>
      </c>
      <c r="H315" s="2">
        <v>5.8253253556272706E-2</v>
      </c>
      <c r="I315" s="3">
        <v>191.71169709468541</v>
      </c>
      <c r="J315" s="3">
        <v>0.25</v>
      </c>
      <c r="K315" s="6">
        <f t="shared" si="20"/>
        <v>9.5855848547342706E-4</v>
      </c>
      <c r="O315" s="3">
        <f t="shared" si="21"/>
        <v>0.21750564795883395</v>
      </c>
      <c r="P315" s="3">
        <f t="shared" si="22"/>
        <v>0.87002259183533581</v>
      </c>
      <c r="R315" s="3">
        <f t="shared" si="23"/>
        <v>0.21313348114716071</v>
      </c>
      <c r="S315" s="3">
        <f t="shared" si="24"/>
        <v>0.85253392458864286</v>
      </c>
      <c r="U315" s="3"/>
      <c r="V315" s="3"/>
    </row>
    <row r="316" spans="1:22" x14ac:dyDescent="0.3">
      <c r="B316" s="4">
        <v>22.2</v>
      </c>
      <c r="C316" s="5">
        <v>2</v>
      </c>
      <c r="D316" s="4">
        <v>63.6</v>
      </c>
      <c r="E316" s="3">
        <v>2.7563734268389184</v>
      </c>
      <c r="F316" s="4">
        <v>38</v>
      </c>
      <c r="G316" s="4">
        <v>49.1</v>
      </c>
      <c r="H316" s="2">
        <v>5.8253253556272706E-2</v>
      </c>
      <c r="I316" s="3">
        <v>230.21335404773711</v>
      </c>
      <c r="J316" s="3">
        <v>0.3</v>
      </c>
      <c r="K316" s="6">
        <f t="shared" si="20"/>
        <v>1.1510667702386856E-3</v>
      </c>
      <c r="O316" s="3">
        <f t="shared" si="21"/>
        <v>0.25355744761938526</v>
      </c>
      <c r="P316" s="3">
        <f t="shared" si="22"/>
        <v>0.84519149206461752</v>
      </c>
      <c r="R316" s="3">
        <f t="shared" si="23"/>
        <v>0.2491892032371677</v>
      </c>
      <c r="S316" s="3">
        <f t="shared" si="24"/>
        <v>0.83063067745722574</v>
      </c>
      <c r="U316" s="3"/>
      <c r="V316" s="3"/>
    </row>
    <row r="317" spans="1:22" x14ac:dyDescent="0.3">
      <c r="B317" s="4">
        <v>22.2</v>
      </c>
      <c r="C317" s="5">
        <v>2</v>
      </c>
      <c r="D317" s="4">
        <v>63.6</v>
      </c>
      <c r="E317" s="3">
        <v>2.7563734268389184</v>
      </c>
      <c r="F317" s="4">
        <v>38</v>
      </c>
      <c r="G317" s="4">
        <v>49.1</v>
      </c>
      <c r="H317" s="2">
        <v>5.8253253556272706E-2</v>
      </c>
      <c r="I317" s="3">
        <v>248.30919658626249</v>
      </c>
      <c r="J317" s="3">
        <v>0.35</v>
      </c>
      <c r="K317" s="6">
        <f t="shared" si="20"/>
        <v>1.2415459829313124E-3</v>
      </c>
      <c r="O317" s="3">
        <f t="shared" si="21"/>
        <v>0.27015622088947144</v>
      </c>
      <c r="P317" s="3">
        <f t="shared" si="22"/>
        <v>0.77187491682706133</v>
      </c>
      <c r="R317" s="3">
        <f t="shared" si="23"/>
        <v>0.26582365139842701</v>
      </c>
      <c r="S317" s="3">
        <f t="shared" si="24"/>
        <v>0.75949614685264866</v>
      </c>
      <c r="U317" s="3"/>
      <c r="V317" s="3"/>
    </row>
    <row r="318" spans="1:22" x14ac:dyDescent="0.3">
      <c r="A318" s="1" t="s">
        <v>78</v>
      </c>
      <c r="B318" s="4">
        <v>28.7</v>
      </c>
      <c r="C318" s="5">
        <v>2</v>
      </c>
      <c r="D318" s="4">
        <v>50.6</v>
      </c>
      <c r="E318" s="3">
        <v>2.7748174021560659</v>
      </c>
      <c r="F318" s="4">
        <v>22.2</v>
      </c>
      <c r="G318" s="4">
        <v>36.6</v>
      </c>
      <c r="H318" s="2">
        <v>0.10899285032170623</v>
      </c>
      <c r="I318" s="3">
        <v>211.92944676812937</v>
      </c>
      <c r="J318" s="3">
        <v>0.17</v>
      </c>
      <c r="K318" s="6">
        <f t="shared" si="20"/>
        <v>1.0596472338406469E-3</v>
      </c>
      <c r="O318" s="3">
        <f t="shared" si="21"/>
        <v>0.22933935039063874</v>
      </c>
      <c r="P318" s="3">
        <f t="shared" si="22"/>
        <v>1.3490550022978749</v>
      </c>
      <c r="R318" s="3">
        <f t="shared" si="23"/>
        <v>0.23919456280380116</v>
      </c>
      <c r="S318" s="3">
        <f t="shared" si="24"/>
        <v>1.4070268400223598</v>
      </c>
      <c r="U318" s="3"/>
      <c r="V318" s="3"/>
    </row>
    <row r="319" spans="1:22" x14ac:dyDescent="0.3">
      <c r="B319" s="4">
        <v>28.7</v>
      </c>
      <c r="C319" s="5">
        <v>2</v>
      </c>
      <c r="D319" s="4">
        <v>50.6</v>
      </c>
      <c r="E319" s="3">
        <v>2.7748174021560659</v>
      </c>
      <c r="F319" s="4">
        <v>22.2</v>
      </c>
      <c r="G319" s="4">
        <v>36.6</v>
      </c>
      <c r="H319" s="2">
        <v>0.10899285032170623</v>
      </c>
      <c r="I319" s="3">
        <v>256.4115153708326</v>
      </c>
      <c r="J319" s="3">
        <v>0.2</v>
      </c>
      <c r="K319" s="6">
        <f t="shared" si="20"/>
        <v>1.282057576854163E-3</v>
      </c>
      <c r="O319" s="3">
        <f t="shared" si="21"/>
        <v>0.26904189367913539</v>
      </c>
      <c r="P319" s="3">
        <f t="shared" si="22"/>
        <v>1.3452094683956768</v>
      </c>
      <c r="R319" s="3">
        <f t="shared" si="23"/>
        <v>0.28145993045209294</v>
      </c>
      <c r="S319" s="3">
        <f t="shared" si="24"/>
        <v>1.4072996522604646</v>
      </c>
      <c r="U319" s="3"/>
      <c r="V319" s="3"/>
    </row>
    <row r="320" spans="1:22" x14ac:dyDescent="0.3">
      <c r="A320" s="1" t="s">
        <v>79</v>
      </c>
      <c r="B320" s="4">
        <v>28.7</v>
      </c>
      <c r="C320" s="5">
        <v>2</v>
      </c>
      <c r="D320" s="4">
        <v>50.6</v>
      </c>
      <c r="E320" s="3">
        <v>2.8017146470593879</v>
      </c>
      <c r="F320" s="4">
        <v>38.200000000000003</v>
      </c>
      <c r="G320" s="4">
        <v>52.5</v>
      </c>
      <c r="H320" s="2">
        <v>0.10686066770303645</v>
      </c>
      <c r="I320" s="3">
        <v>152.74032544508003</v>
      </c>
      <c r="J320" s="3">
        <v>0.17</v>
      </c>
      <c r="K320" s="6">
        <f t="shared" si="20"/>
        <v>7.6370162722540018E-4</v>
      </c>
      <c r="O320" s="3">
        <f t="shared" si="21"/>
        <v>0.17674007999001146</v>
      </c>
      <c r="P320" s="3">
        <f t="shared" si="22"/>
        <v>1.0396475293530085</v>
      </c>
      <c r="R320" s="3">
        <f t="shared" si="23"/>
        <v>0.18222911276146908</v>
      </c>
      <c r="S320" s="3">
        <f t="shared" si="24"/>
        <v>1.0719359574204064</v>
      </c>
      <c r="U320" s="3"/>
      <c r="V320" s="3"/>
    </row>
    <row r="321" spans="1:22" x14ac:dyDescent="0.3">
      <c r="B321" s="4">
        <v>28.7</v>
      </c>
      <c r="C321" s="5">
        <v>2</v>
      </c>
      <c r="D321" s="4">
        <v>50.6</v>
      </c>
      <c r="E321" s="3">
        <v>2.8017146470593879</v>
      </c>
      <c r="F321" s="4">
        <v>38.200000000000003</v>
      </c>
      <c r="G321" s="4">
        <v>52.5</v>
      </c>
      <c r="H321" s="2">
        <v>0.10686066770303645</v>
      </c>
      <c r="I321" s="3">
        <v>188.11979928941437</v>
      </c>
      <c r="J321" s="3">
        <v>0.2</v>
      </c>
      <c r="K321" s="6">
        <f t="shared" si="20"/>
        <v>9.4059899644707184E-4</v>
      </c>
      <c r="O321" s="3">
        <f t="shared" si="21"/>
        <v>0.21045437260288744</v>
      </c>
      <c r="P321" s="3">
        <f t="shared" si="22"/>
        <v>1.0522718630144372</v>
      </c>
      <c r="R321" s="3">
        <f t="shared" si="23"/>
        <v>0.21771500393553417</v>
      </c>
      <c r="S321" s="3">
        <f t="shared" si="24"/>
        <v>1.0885750196776707</v>
      </c>
      <c r="U321" s="3"/>
      <c r="V321" s="3"/>
    </row>
    <row r="322" spans="1:22" x14ac:dyDescent="0.3">
      <c r="B322" s="4">
        <v>28.7</v>
      </c>
      <c r="C322" s="5">
        <v>2</v>
      </c>
      <c r="D322" s="4">
        <v>50.6</v>
      </c>
      <c r="E322" s="3">
        <v>2.8017146470593879</v>
      </c>
      <c r="F322" s="4">
        <v>38.200000000000003</v>
      </c>
      <c r="G322" s="4">
        <v>52.5</v>
      </c>
      <c r="H322" s="2">
        <v>0.10686066770303645</v>
      </c>
      <c r="I322" s="3">
        <v>223.65861939682921</v>
      </c>
      <c r="J322" s="3">
        <v>0.25</v>
      </c>
      <c r="K322" s="6">
        <f t="shared" si="20"/>
        <v>1.118293096984146E-3</v>
      </c>
      <c r="O322" s="3">
        <f t="shared" si="21"/>
        <v>0.24329579506325646</v>
      </c>
      <c r="P322" s="3">
        <f t="shared" si="22"/>
        <v>0.97318318025302586</v>
      </c>
      <c r="R322" s="3">
        <f t="shared" si="23"/>
        <v>0.25238725912116594</v>
      </c>
      <c r="S322" s="3">
        <f t="shared" si="24"/>
        <v>1.0095490364846638</v>
      </c>
      <c r="U322" s="3"/>
      <c r="V322" s="3"/>
    </row>
    <row r="323" spans="1:22" x14ac:dyDescent="0.3">
      <c r="B323" s="4">
        <v>28.7</v>
      </c>
      <c r="C323" s="5">
        <v>2</v>
      </c>
      <c r="D323" s="4">
        <v>50.6</v>
      </c>
      <c r="E323" s="3">
        <v>2.8017146470593879</v>
      </c>
      <c r="F323" s="4">
        <v>38.200000000000003</v>
      </c>
      <c r="G323" s="4">
        <v>52.5</v>
      </c>
      <c r="H323" s="2">
        <v>0.10686066770303645</v>
      </c>
      <c r="I323" s="3">
        <v>257.09623458349398</v>
      </c>
      <c r="J323" s="3">
        <v>0.28999999999999998</v>
      </c>
      <c r="K323" s="6">
        <f t="shared" si="20"/>
        <v>1.2854811729174698E-3</v>
      </c>
      <c r="O323" s="3">
        <f t="shared" si="21"/>
        <v>0.27342740887980421</v>
      </c>
      <c r="P323" s="3">
        <f t="shared" si="22"/>
        <v>0.94285313406829041</v>
      </c>
      <c r="R323" s="3">
        <f t="shared" si="23"/>
        <v>0.2842778567082464</v>
      </c>
      <c r="S323" s="3">
        <f t="shared" si="24"/>
        <v>0.98026847140774631</v>
      </c>
      <c r="U323" s="3"/>
      <c r="V323" s="3"/>
    </row>
    <row r="324" spans="1:22" x14ac:dyDescent="0.3">
      <c r="A324" s="1" t="s">
        <v>80</v>
      </c>
      <c r="B324" s="4">
        <v>28.7</v>
      </c>
      <c r="C324" s="5">
        <v>2</v>
      </c>
      <c r="D324" s="4">
        <v>50.6</v>
      </c>
      <c r="E324" s="3">
        <v>2.7153116457984496</v>
      </c>
      <c r="F324" s="4">
        <v>38.200000000000003</v>
      </c>
      <c r="G324" s="4">
        <v>52.5</v>
      </c>
      <c r="H324" s="2">
        <v>0.1072263869101954</v>
      </c>
      <c r="I324" s="3">
        <v>188.995464493697</v>
      </c>
      <c r="J324" s="3">
        <v>0.17</v>
      </c>
      <c r="K324" s="6">
        <f t="shared" si="20"/>
        <v>9.4497732246848502E-4</v>
      </c>
      <c r="O324" s="3">
        <f t="shared" si="21"/>
        <v>0.21092157074864365</v>
      </c>
      <c r="P324" s="3">
        <f t="shared" si="22"/>
        <v>1.240715122050845</v>
      </c>
      <c r="R324" s="3">
        <f t="shared" si="23"/>
        <v>0.21828919050102749</v>
      </c>
      <c r="S324" s="3">
        <f t="shared" si="24"/>
        <v>1.2840540617707499</v>
      </c>
      <c r="U324" s="3"/>
      <c r="V324" s="3"/>
    </row>
    <row r="325" spans="1:22" x14ac:dyDescent="0.3">
      <c r="A325" s="1" t="s">
        <v>81</v>
      </c>
      <c r="B325" s="4">
        <v>28.7</v>
      </c>
      <c r="C325" s="5">
        <v>2</v>
      </c>
      <c r="D325" s="4">
        <v>50.6</v>
      </c>
      <c r="E325" s="3">
        <v>2.8017146470593879</v>
      </c>
      <c r="F325" s="4">
        <v>38.200000000000003</v>
      </c>
      <c r="G325" s="4">
        <v>52.5</v>
      </c>
      <c r="H325" s="2">
        <v>0.10686066770303645</v>
      </c>
      <c r="I325" s="3">
        <v>152.74032544508003</v>
      </c>
      <c r="J325" s="3">
        <v>0.15</v>
      </c>
      <c r="K325" s="6">
        <f t="shared" si="20"/>
        <v>7.6370162722540018E-4</v>
      </c>
      <c r="O325" s="3">
        <f t="shared" si="21"/>
        <v>0.17674007999001146</v>
      </c>
      <c r="P325" s="3">
        <f t="shared" si="22"/>
        <v>1.1782671999334098</v>
      </c>
      <c r="R325" s="3">
        <f t="shared" si="23"/>
        <v>0.18222911276146908</v>
      </c>
      <c r="S325" s="3">
        <f t="shared" si="24"/>
        <v>1.2148607517431274</v>
      </c>
      <c r="U325" s="3"/>
      <c r="V325" s="3"/>
    </row>
    <row r="326" spans="1:22" x14ac:dyDescent="0.3">
      <c r="B326" s="4">
        <v>28.7</v>
      </c>
      <c r="C326" s="5">
        <v>2</v>
      </c>
      <c r="D326" s="4">
        <v>50.6</v>
      </c>
      <c r="E326" s="3">
        <v>2.8017146470593879</v>
      </c>
      <c r="F326" s="4">
        <v>38.200000000000003</v>
      </c>
      <c r="G326" s="4">
        <v>52.5</v>
      </c>
      <c r="H326" s="2">
        <v>0.10686066770303645</v>
      </c>
      <c r="I326" s="3">
        <v>188.11979928941437</v>
      </c>
      <c r="J326" s="3">
        <v>0.16</v>
      </c>
      <c r="K326" s="6">
        <f t="shared" si="20"/>
        <v>9.4059899644707184E-4</v>
      </c>
      <c r="O326" s="3">
        <f t="shared" si="21"/>
        <v>0.21045437260288744</v>
      </c>
      <c r="P326" s="3">
        <f t="shared" si="22"/>
        <v>1.3153398287680464</v>
      </c>
      <c r="R326" s="3">
        <f t="shared" si="23"/>
        <v>0.21771500393553417</v>
      </c>
      <c r="S326" s="3">
        <f t="shared" si="24"/>
        <v>1.3607187745970886</v>
      </c>
      <c r="U326" s="3"/>
      <c r="V326" s="3"/>
    </row>
    <row r="327" spans="1:22" x14ac:dyDescent="0.3">
      <c r="B327" s="4">
        <v>28.7</v>
      </c>
      <c r="C327" s="5">
        <v>2</v>
      </c>
      <c r="D327" s="4">
        <v>50.6</v>
      </c>
      <c r="E327" s="3">
        <v>2.8017146470593879</v>
      </c>
      <c r="F327" s="4">
        <v>38.200000000000003</v>
      </c>
      <c r="G327" s="4">
        <v>52.5</v>
      </c>
      <c r="H327" s="2">
        <v>0.10686066770303645</v>
      </c>
      <c r="I327" s="3">
        <v>223.65861939682921</v>
      </c>
      <c r="J327" s="3">
        <v>0.22</v>
      </c>
      <c r="K327" s="6">
        <f t="shared" si="20"/>
        <v>1.118293096984146E-3</v>
      </c>
      <c r="O327" s="3">
        <f t="shared" si="21"/>
        <v>0.24329579506325646</v>
      </c>
      <c r="P327" s="3">
        <f t="shared" si="22"/>
        <v>1.1058899775602566</v>
      </c>
      <c r="R327" s="3">
        <f t="shared" si="23"/>
        <v>0.25238725912116594</v>
      </c>
      <c r="S327" s="3">
        <f t="shared" si="24"/>
        <v>1.1472148141871179</v>
      </c>
      <c r="U327" s="3"/>
      <c r="V327" s="3"/>
    </row>
    <row r="328" spans="1:22" x14ac:dyDescent="0.3">
      <c r="B328" s="4">
        <v>28.7</v>
      </c>
      <c r="C328" s="5">
        <v>2</v>
      </c>
      <c r="D328" s="4">
        <v>50.6</v>
      </c>
      <c r="E328" s="3">
        <v>2.8017146470593879</v>
      </c>
      <c r="F328" s="4">
        <v>38.200000000000003</v>
      </c>
      <c r="G328" s="4">
        <v>52.5</v>
      </c>
      <c r="H328" s="2">
        <v>0.10686066770303645</v>
      </c>
      <c r="I328" s="3">
        <v>257.09623458349398</v>
      </c>
      <c r="J328" s="3">
        <v>0.26</v>
      </c>
      <c r="K328" s="6">
        <f t="shared" si="20"/>
        <v>1.2854811729174698E-3</v>
      </c>
      <c r="O328" s="3">
        <f t="shared" si="21"/>
        <v>0.27342740887980421</v>
      </c>
      <c r="P328" s="3">
        <f t="shared" si="22"/>
        <v>1.0516438803069392</v>
      </c>
      <c r="R328" s="3">
        <f t="shared" si="23"/>
        <v>0.2842778567082464</v>
      </c>
      <c r="S328" s="3">
        <f t="shared" si="24"/>
        <v>1.0933763719547938</v>
      </c>
      <c r="U328" s="3"/>
      <c r="V328" s="3"/>
    </row>
    <row r="329" spans="1:22" x14ac:dyDescent="0.3">
      <c r="A329" s="1" t="s">
        <v>82</v>
      </c>
      <c r="B329" s="4">
        <v>28.7</v>
      </c>
      <c r="C329" s="5">
        <v>2</v>
      </c>
      <c r="D329" s="4">
        <v>50.6</v>
      </c>
      <c r="E329" s="3">
        <v>2.524448068103379</v>
      </c>
      <c r="F329" s="4">
        <v>38.200000000000003</v>
      </c>
      <c r="G329" s="4">
        <v>52.5</v>
      </c>
      <c r="H329" s="2">
        <v>0.10809111803939714</v>
      </c>
      <c r="I329" s="3">
        <v>190.96053805034367</v>
      </c>
      <c r="J329" s="3">
        <v>0.17</v>
      </c>
      <c r="K329" s="6">
        <f t="shared" si="20"/>
        <v>9.5480269025171834E-4</v>
      </c>
      <c r="O329" s="3">
        <f t="shared" si="21"/>
        <v>0.2119220596219315</v>
      </c>
      <c r="P329" s="3">
        <f t="shared" si="22"/>
        <v>1.2466003507172441</v>
      </c>
      <c r="R329" s="3">
        <f t="shared" si="23"/>
        <v>0.21953854715662824</v>
      </c>
      <c r="S329" s="3">
        <f t="shared" si="24"/>
        <v>1.2914032185684012</v>
      </c>
      <c r="U329" s="3"/>
      <c r="V329" s="3"/>
    </row>
    <row r="330" spans="1:22" x14ac:dyDescent="0.3">
      <c r="B330" s="4">
        <v>28.7</v>
      </c>
      <c r="C330" s="5">
        <v>2</v>
      </c>
      <c r="D330" s="4">
        <v>50.6</v>
      </c>
      <c r="E330" s="3">
        <v>2.524448068103379</v>
      </c>
      <c r="F330" s="4">
        <v>38.200000000000003</v>
      </c>
      <c r="G330" s="4">
        <v>52.5</v>
      </c>
      <c r="H330" s="2">
        <v>0.10809111803939714</v>
      </c>
      <c r="I330" s="3">
        <v>226.35341088864877</v>
      </c>
      <c r="J330" s="3">
        <v>0.2</v>
      </c>
      <c r="K330" s="6">
        <f t="shared" si="20"/>
        <v>1.1317670544432439E-3</v>
      </c>
      <c r="O330" s="3">
        <f t="shared" si="21"/>
        <v>0.24437509673943805</v>
      </c>
      <c r="P330" s="3">
        <f t="shared" si="22"/>
        <v>1.2218754836971901</v>
      </c>
      <c r="R330" s="3">
        <f t="shared" si="23"/>
        <v>0.25384759957716557</v>
      </c>
      <c r="S330" s="3">
        <f t="shared" si="24"/>
        <v>1.2692379978858277</v>
      </c>
      <c r="U330" s="3"/>
      <c r="V330" s="3"/>
    </row>
    <row r="331" spans="1:22" x14ac:dyDescent="0.3">
      <c r="B331" s="4">
        <v>28.7</v>
      </c>
      <c r="C331" s="5">
        <v>2</v>
      </c>
      <c r="D331" s="4">
        <v>50.6</v>
      </c>
      <c r="E331" s="3">
        <v>2.524448068103379</v>
      </c>
      <c r="F331" s="4">
        <v>38.200000000000003</v>
      </c>
      <c r="G331" s="4">
        <v>52.5</v>
      </c>
      <c r="H331" s="2">
        <v>0.10809111803939714</v>
      </c>
      <c r="I331" s="3">
        <v>258.68860744130342</v>
      </c>
      <c r="J331" s="3">
        <v>0.24</v>
      </c>
      <c r="K331" s="6">
        <f t="shared" si="20"/>
        <v>1.2934430372065172E-3</v>
      </c>
      <c r="O331" s="3">
        <f t="shared" si="21"/>
        <v>0.27330827703594957</v>
      </c>
      <c r="P331" s="3">
        <f t="shared" si="22"/>
        <v>1.1387844876497899</v>
      </c>
      <c r="R331" s="3">
        <f t="shared" si="23"/>
        <v>0.28450948061975262</v>
      </c>
      <c r="S331" s="3">
        <f t="shared" si="24"/>
        <v>1.1854561692489693</v>
      </c>
      <c r="U331" s="3"/>
      <c r="V331" s="3"/>
    </row>
    <row r="332" spans="1:22" x14ac:dyDescent="0.3">
      <c r="A332" s="1" t="s">
        <v>83</v>
      </c>
      <c r="B332" s="4">
        <v>32.299999999999997</v>
      </c>
      <c r="C332" s="5">
        <v>1</v>
      </c>
      <c r="D332" s="4">
        <v>60</v>
      </c>
      <c r="E332" s="3">
        <v>2.5382184533279259</v>
      </c>
      <c r="F332" s="4">
        <v>38.299999999999997</v>
      </c>
      <c r="G332" s="4">
        <v>54.4</v>
      </c>
      <c r="H332" s="2">
        <v>6.2449543908879294E-2</v>
      </c>
      <c r="I332" s="3">
        <v>135.92367678050439</v>
      </c>
      <c r="J332" s="3">
        <v>0.17</v>
      </c>
      <c r="K332" s="6">
        <f t="shared" ref="K332:K351" si="25">I332/200000</f>
        <v>6.7961838390252197E-4</v>
      </c>
      <c r="O332" s="3">
        <f t="shared" ref="O332:O351" si="26">$P$2*($P$3*$F332+$P$4*$B332^$P$5*$H332^$P$6)*$K332^$P$7</f>
        <v>0.23740842724501068</v>
      </c>
      <c r="P332" s="3">
        <f t="shared" ref="P332:P351" si="27">O332/$J332</f>
        <v>1.3965201602647686</v>
      </c>
      <c r="R332" s="3">
        <f t="shared" ref="R332:R351" si="28">$S$2*$B332^$S$3*$K332^$S$4*($S$5*$H332^$S$6+$S$7)</f>
        <v>0.23678398281448962</v>
      </c>
      <c r="S332" s="3">
        <f t="shared" ref="S332:S351" si="29">R332/$J332</f>
        <v>1.3928469577322917</v>
      </c>
      <c r="U332" s="3"/>
      <c r="V332" s="3"/>
    </row>
    <row r="333" spans="1:22" x14ac:dyDescent="0.3">
      <c r="B333" s="4">
        <v>32.299999999999997</v>
      </c>
      <c r="C333" s="5">
        <v>1</v>
      </c>
      <c r="D333" s="4">
        <v>60</v>
      </c>
      <c r="E333" s="3">
        <v>2.5382184533279259</v>
      </c>
      <c r="F333" s="4">
        <v>38.299999999999997</v>
      </c>
      <c r="G333" s="4">
        <v>54.4</v>
      </c>
      <c r="H333" s="2">
        <v>6.2449543908879294E-2</v>
      </c>
      <c r="I333" s="3">
        <v>177.83647215960244</v>
      </c>
      <c r="J333" s="3">
        <v>0.23</v>
      </c>
      <c r="K333" s="6">
        <f t="shared" si="25"/>
        <v>8.8918236079801221E-4</v>
      </c>
      <c r="O333" s="3">
        <f t="shared" si="26"/>
        <v>0.29738036135027701</v>
      </c>
      <c r="P333" s="3">
        <f t="shared" si="27"/>
        <v>1.2929580928272912</v>
      </c>
      <c r="R333" s="3">
        <f t="shared" si="28"/>
        <v>0.29787639327837173</v>
      </c>
      <c r="S333" s="3">
        <f t="shared" si="29"/>
        <v>1.2951147533842249</v>
      </c>
      <c r="U333" s="3"/>
      <c r="V333" s="3"/>
    </row>
    <row r="334" spans="1:22" x14ac:dyDescent="0.3">
      <c r="B334" s="4">
        <v>32.299999999999997</v>
      </c>
      <c r="C334" s="5">
        <v>1</v>
      </c>
      <c r="D334" s="4">
        <v>60</v>
      </c>
      <c r="E334" s="3">
        <v>2.5382184533279259</v>
      </c>
      <c r="F334" s="4">
        <v>38.299999999999997</v>
      </c>
      <c r="G334" s="4">
        <v>54.4</v>
      </c>
      <c r="H334" s="2">
        <v>6.2449543908879294E-2</v>
      </c>
      <c r="I334" s="3">
        <v>217.00011505760963</v>
      </c>
      <c r="J334" s="3">
        <v>0.27</v>
      </c>
      <c r="K334" s="6">
        <f t="shared" si="25"/>
        <v>1.0850005752880481E-3</v>
      </c>
      <c r="O334" s="3">
        <f t="shared" si="26"/>
        <v>0.35135672914294186</v>
      </c>
      <c r="P334" s="3">
        <f t="shared" si="27"/>
        <v>1.3013212190479326</v>
      </c>
      <c r="R334" s="3">
        <f t="shared" si="28"/>
        <v>0.35306535461431909</v>
      </c>
      <c r="S334" s="3">
        <f t="shared" si="29"/>
        <v>1.3076494615345151</v>
      </c>
      <c r="U334" s="3"/>
      <c r="V334" s="3"/>
    </row>
    <row r="335" spans="1:22" x14ac:dyDescent="0.3">
      <c r="B335" s="4">
        <v>32.299999999999997</v>
      </c>
      <c r="C335" s="5">
        <v>1</v>
      </c>
      <c r="D335" s="4">
        <v>60</v>
      </c>
      <c r="E335" s="3">
        <v>2.5382184533279259</v>
      </c>
      <c r="F335" s="4">
        <v>38.299999999999997</v>
      </c>
      <c r="G335" s="4">
        <v>54.4</v>
      </c>
      <c r="H335" s="2">
        <v>6.2449543908879294E-2</v>
      </c>
      <c r="I335" s="3">
        <v>244.97414569904342</v>
      </c>
      <c r="J335" s="3">
        <v>0.31</v>
      </c>
      <c r="K335" s="6">
        <f t="shared" si="25"/>
        <v>1.2248707284952171E-3</v>
      </c>
      <c r="O335" s="3">
        <f t="shared" si="26"/>
        <v>0.3889355103146146</v>
      </c>
      <c r="P335" s="3">
        <f t="shared" si="27"/>
        <v>1.2546306784342407</v>
      </c>
      <c r="R335" s="3">
        <f t="shared" si="28"/>
        <v>0.39158584912544359</v>
      </c>
      <c r="S335" s="3">
        <f t="shared" si="29"/>
        <v>1.2631801584691729</v>
      </c>
      <c r="U335" s="3"/>
      <c r="V335" s="3"/>
    </row>
    <row r="336" spans="1:22" x14ac:dyDescent="0.3">
      <c r="B336" s="4">
        <v>32.299999999999997</v>
      </c>
      <c r="C336" s="5">
        <v>1</v>
      </c>
      <c r="D336" s="4">
        <v>60</v>
      </c>
      <c r="E336" s="3">
        <v>2.5382184533279259</v>
      </c>
      <c r="F336" s="4">
        <v>38.299999999999997</v>
      </c>
      <c r="G336" s="4">
        <v>54.4</v>
      </c>
      <c r="H336" s="2">
        <v>6.2449543908879294E-2</v>
      </c>
      <c r="I336" s="3">
        <v>251.41676051958765</v>
      </c>
      <c r="J336" s="3">
        <v>0.35</v>
      </c>
      <c r="K336" s="6">
        <f t="shared" si="25"/>
        <v>1.2570838025979382E-3</v>
      </c>
      <c r="O336" s="3">
        <f t="shared" si="26"/>
        <v>0.39748906640992476</v>
      </c>
      <c r="P336" s="3">
        <f t="shared" si="27"/>
        <v>1.1356830468854995</v>
      </c>
      <c r="R336" s="3">
        <f t="shared" si="28"/>
        <v>0.40036394812302956</v>
      </c>
      <c r="S336" s="3">
        <f t="shared" si="29"/>
        <v>1.1438969946372273</v>
      </c>
      <c r="U336" s="3"/>
      <c r="V336" s="3"/>
    </row>
    <row r="337" spans="1:22" x14ac:dyDescent="0.3">
      <c r="A337" s="1" t="s">
        <v>84</v>
      </c>
      <c r="B337" s="4">
        <v>32.299999999999997</v>
      </c>
      <c r="C337" s="5">
        <v>1</v>
      </c>
      <c r="D337" s="4">
        <v>60</v>
      </c>
      <c r="E337" s="3">
        <v>2.8108695189494299</v>
      </c>
      <c r="F337" s="4">
        <v>38.299999999999997</v>
      </c>
      <c r="G337" s="4">
        <v>54.4</v>
      </c>
      <c r="H337" s="2">
        <v>6.1876058158272039E-2</v>
      </c>
      <c r="I337" s="3">
        <v>132.02904034674665</v>
      </c>
      <c r="J337" s="3">
        <v>0.19</v>
      </c>
      <c r="K337" s="6">
        <f t="shared" si="25"/>
        <v>6.6014520173373324E-4</v>
      </c>
      <c r="O337" s="3">
        <f t="shared" si="26"/>
        <v>0.23274785059235475</v>
      </c>
      <c r="P337" s="3">
        <f t="shared" si="27"/>
        <v>1.224988687328183</v>
      </c>
      <c r="R337" s="3">
        <f t="shared" si="28"/>
        <v>0.2319394643886919</v>
      </c>
      <c r="S337" s="3">
        <f t="shared" si="29"/>
        <v>1.2207340230983783</v>
      </c>
      <c r="U337" s="3"/>
      <c r="V337" s="3"/>
    </row>
    <row r="338" spans="1:22" x14ac:dyDescent="0.3">
      <c r="B338" s="4">
        <v>32.299999999999997</v>
      </c>
      <c r="C338" s="5">
        <v>1</v>
      </c>
      <c r="D338" s="4">
        <v>60</v>
      </c>
      <c r="E338" s="3">
        <v>2.8108695189494299</v>
      </c>
      <c r="F338" s="4">
        <v>38.299999999999997</v>
      </c>
      <c r="G338" s="4">
        <v>54.4</v>
      </c>
      <c r="H338" s="2">
        <v>6.1876058158272039E-2</v>
      </c>
      <c r="I338" s="3">
        <v>173.99589379245282</v>
      </c>
      <c r="J338" s="3">
        <v>0.24</v>
      </c>
      <c r="K338" s="6">
        <f t="shared" si="25"/>
        <v>8.699794689622641E-4</v>
      </c>
      <c r="O338" s="3">
        <f t="shared" si="26"/>
        <v>0.29331640087965011</v>
      </c>
      <c r="P338" s="3">
        <f t="shared" si="27"/>
        <v>1.2221516703318756</v>
      </c>
      <c r="R338" s="3">
        <f t="shared" si="28"/>
        <v>0.29359133302274981</v>
      </c>
      <c r="S338" s="3">
        <f t="shared" si="29"/>
        <v>1.2232972209281243</v>
      </c>
      <c r="U338" s="3"/>
      <c r="V338" s="3"/>
    </row>
    <row r="339" spans="1:22" x14ac:dyDescent="0.3">
      <c r="B339" s="4">
        <v>32.299999999999997</v>
      </c>
      <c r="C339" s="5">
        <v>1</v>
      </c>
      <c r="D339" s="4">
        <v>60</v>
      </c>
      <c r="E339" s="3">
        <v>2.8108695189494299</v>
      </c>
      <c r="F339" s="4">
        <v>38.299999999999997</v>
      </c>
      <c r="G339" s="4">
        <v>54.4</v>
      </c>
      <c r="H339" s="2">
        <v>6.1876058158272039E-2</v>
      </c>
      <c r="I339" s="3">
        <v>213.46788518576591</v>
      </c>
      <c r="J339" s="3">
        <v>0.28999999999999998</v>
      </c>
      <c r="K339" s="6">
        <f t="shared" si="25"/>
        <v>1.0673394259288296E-3</v>
      </c>
      <c r="O339" s="3">
        <f t="shared" si="26"/>
        <v>0.34813311882783382</v>
      </c>
      <c r="P339" s="3">
        <f t="shared" si="27"/>
        <v>1.2004590304408063</v>
      </c>
      <c r="R339" s="3">
        <f t="shared" si="28"/>
        <v>0.34960120513959408</v>
      </c>
      <c r="S339" s="3">
        <f t="shared" si="29"/>
        <v>1.2055213970330831</v>
      </c>
      <c r="U339" s="3"/>
      <c r="V339" s="3"/>
    </row>
    <row r="340" spans="1:22" x14ac:dyDescent="0.3">
      <c r="B340" s="4">
        <v>32.299999999999997</v>
      </c>
      <c r="C340" s="5">
        <v>1</v>
      </c>
      <c r="D340" s="4">
        <v>60</v>
      </c>
      <c r="E340" s="3">
        <v>2.8108695189494299</v>
      </c>
      <c r="F340" s="4">
        <v>38.299999999999997</v>
      </c>
      <c r="G340" s="4">
        <v>54.4</v>
      </c>
      <c r="H340" s="2">
        <v>6.1876058158272039E-2</v>
      </c>
      <c r="I340" s="3">
        <v>241.66216475241814</v>
      </c>
      <c r="J340" s="3">
        <v>0.36</v>
      </c>
      <c r="K340" s="6">
        <f t="shared" si="25"/>
        <v>1.2083108237620906E-3</v>
      </c>
      <c r="O340" s="3">
        <f t="shared" si="26"/>
        <v>0.3862722633036661</v>
      </c>
      <c r="P340" s="3">
        <f t="shared" si="27"/>
        <v>1.0729785091768502</v>
      </c>
      <c r="R340" s="3">
        <f t="shared" si="28"/>
        <v>0.3886718811666256</v>
      </c>
      <c r="S340" s="3">
        <f t="shared" si="29"/>
        <v>1.0796441143517379</v>
      </c>
      <c r="U340" s="3"/>
      <c r="V340" s="3"/>
    </row>
    <row r="341" spans="1:22" x14ac:dyDescent="0.3">
      <c r="B341" s="4">
        <v>32.299999999999997</v>
      </c>
      <c r="C341" s="5">
        <v>1</v>
      </c>
      <c r="D341" s="4">
        <v>60</v>
      </c>
      <c r="E341" s="3">
        <v>2.8108695189494299</v>
      </c>
      <c r="F341" s="4">
        <v>38.299999999999997</v>
      </c>
      <c r="G341" s="4">
        <v>54.4</v>
      </c>
      <c r="H341" s="2">
        <v>6.1876058158272039E-2</v>
      </c>
      <c r="I341" s="3">
        <v>249.02659996033555</v>
      </c>
      <c r="J341" s="3">
        <v>0.42</v>
      </c>
      <c r="K341" s="6">
        <f t="shared" si="25"/>
        <v>1.2451329998016778E-3</v>
      </c>
      <c r="O341" s="3">
        <f t="shared" si="26"/>
        <v>0.3961125435799816</v>
      </c>
      <c r="P341" s="3">
        <f t="shared" si="27"/>
        <v>0.94312510376186098</v>
      </c>
      <c r="R341" s="3">
        <f t="shared" si="28"/>
        <v>0.39876477387611131</v>
      </c>
      <c r="S341" s="3">
        <f t="shared" si="29"/>
        <v>0.94943993780026503</v>
      </c>
      <c r="U341" s="3"/>
      <c r="V341" s="3"/>
    </row>
    <row r="342" spans="1:22" x14ac:dyDescent="0.3">
      <c r="A342" s="1" t="s">
        <v>85</v>
      </c>
      <c r="B342" s="4">
        <v>28.7</v>
      </c>
      <c r="C342" s="5">
        <v>2</v>
      </c>
      <c r="D342" s="4">
        <v>50.6</v>
      </c>
      <c r="E342" s="3">
        <v>2.5765786179080412</v>
      </c>
      <c r="F342" s="4">
        <v>38</v>
      </c>
      <c r="G342" s="4">
        <v>52.3</v>
      </c>
      <c r="H342" s="2">
        <v>6.5570477718494391E-2</v>
      </c>
      <c r="I342" s="3">
        <v>149.08139577483317</v>
      </c>
      <c r="J342" s="3">
        <v>0.18</v>
      </c>
      <c r="K342" s="6">
        <f t="shared" si="25"/>
        <v>7.4540697887416586E-4</v>
      </c>
      <c r="O342" s="3">
        <f t="shared" si="26"/>
        <v>0.22006447030423121</v>
      </c>
      <c r="P342" s="3">
        <f t="shared" si="27"/>
        <v>1.2225803905790622</v>
      </c>
      <c r="R342" s="3">
        <f t="shared" si="28"/>
        <v>0.21889304509919219</v>
      </c>
      <c r="S342" s="3">
        <f t="shared" si="29"/>
        <v>1.2160724727732899</v>
      </c>
      <c r="U342" s="3"/>
      <c r="V342" s="3"/>
    </row>
    <row r="343" spans="1:22" x14ac:dyDescent="0.3">
      <c r="B343" s="4">
        <v>28.7</v>
      </c>
      <c r="C343" s="5">
        <v>2</v>
      </c>
      <c r="D343" s="4">
        <v>50.6</v>
      </c>
      <c r="E343" s="3">
        <v>2.5765786179080412</v>
      </c>
      <c r="F343" s="4">
        <v>38</v>
      </c>
      <c r="G343" s="4">
        <v>52.3</v>
      </c>
      <c r="H343" s="2">
        <v>6.5570477718494391E-2</v>
      </c>
      <c r="I343" s="3">
        <v>189.31961077632405</v>
      </c>
      <c r="J343" s="3">
        <v>0.22</v>
      </c>
      <c r="K343" s="6">
        <f t="shared" si="25"/>
        <v>9.465980538816203E-4</v>
      </c>
      <c r="O343" s="3">
        <f t="shared" si="26"/>
        <v>0.26885059056726801</v>
      </c>
      <c r="P343" s="3">
        <f t="shared" si="27"/>
        <v>1.2220481389421274</v>
      </c>
      <c r="R343" s="3">
        <f t="shared" si="28"/>
        <v>0.26844380213471769</v>
      </c>
      <c r="S343" s="3">
        <f t="shared" si="29"/>
        <v>1.2201991006123531</v>
      </c>
      <c r="U343" s="3"/>
      <c r="V343" s="3"/>
    </row>
    <row r="344" spans="1:22" x14ac:dyDescent="0.3">
      <c r="B344" s="4">
        <v>28.7</v>
      </c>
      <c r="C344" s="5">
        <v>2</v>
      </c>
      <c r="D344" s="4">
        <v>50.6</v>
      </c>
      <c r="E344" s="3">
        <v>2.5765786179080412</v>
      </c>
      <c r="F344" s="4">
        <v>38</v>
      </c>
      <c r="G344" s="4">
        <v>52.3</v>
      </c>
      <c r="H344" s="2">
        <v>6.5570477718494391E-2</v>
      </c>
      <c r="I344" s="3">
        <v>220.98838067588596</v>
      </c>
      <c r="J344" s="3">
        <v>0.27</v>
      </c>
      <c r="K344" s="6">
        <f t="shared" si="25"/>
        <v>1.1049419033794298E-3</v>
      </c>
      <c r="O344" s="3">
        <f t="shared" si="26"/>
        <v>0.30605724874071172</v>
      </c>
      <c r="P344" s="3">
        <f t="shared" si="27"/>
        <v>1.1335453657063397</v>
      </c>
      <c r="R344" s="3">
        <f t="shared" si="28"/>
        <v>0.30635137777486265</v>
      </c>
      <c r="S344" s="3">
        <f t="shared" si="29"/>
        <v>1.1346347324994912</v>
      </c>
      <c r="U344" s="3"/>
      <c r="V344" s="3"/>
    </row>
    <row r="345" spans="1:22" x14ac:dyDescent="0.3">
      <c r="B345" s="4">
        <v>28.7</v>
      </c>
      <c r="C345" s="5">
        <v>2</v>
      </c>
      <c r="D345" s="4">
        <v>50.6</v>
      </c>
      <c r="E345" s="3">
        <v>2.5765786179080412</v>
      </c>
      <c r="F345" s="4">
        <v>38</v>
      </c>
      <c r="G345" s="4">
        <v>52.3</v>
      </c>
      <c r="H345" s="2">
        <v>6.5570477718494391E-2</v>
      </c>
      <c r="I345" s="3">
        <v>251.92757860899684</v>
      </c>
      <c r="J345" s="3">
        <v>0.32</v>
      </c>
      <c r="K345" s="6">
        <f t="shared" si="25"/>
        <v>1.2596378930449842E-3</v>
      </c>
      <c r="O345" s="3">
        <f t="shared" si="26"/>
        <v>0.3415781850503003</v>
      </c>
      <c r="P345" s="3">
        <f t="shared" si="27"/>
        <v>1.0674318282821884</v>
      </c>
      <c r="R345" s="3">
        <f t="shared" si="28"/>
        <v>0.34262401099311302</v>
      </c>
      <c r="S345" s="3">
        <f t="shared" si="29"/>
        <v>1.070700034353478</v>
      </c>
      <c r="U345" s="3"/>
      <c r="V345" s="3"/>
    </row>
    <row r="346" spans="1:22" x14ac:dyDescent="0.3">
      <c r="A346" s="1" t="s">
        <v>86</v>
      </c>
      <c r="B346" s="4">
        <v>28.7</v>
      </c>
      <c r="C346" s="5">
        <v>2</v>
      </c>
      <c r="D346" s="4">
        <v>50.6</v>
      </c>
      <c r="E346" s="3">
        <v>2.5765786179080412</v>
      </c>
      <c r="F346" s="4">
        <v>38</v>
      </c>
      <c r="G346" s="4">
        <v>52.3</v>
      </c>
      <c r="H346" s="2">
        <v>6.5570477718494391E-2</v>
      </c>
      <c r="I346" s="3">
        <v>189.31961077632405</v>
      </c>
      <c r="J346" s="3">
        <v>0.16</v>
      </c>
      <c r="K346" s="6">
        <f t="shared" si="25"/>
        <v>9.465980538816203E-4</v>
      </c>
      <c r="O346" s="3">
        <f t="shared" si="26"/>
        <v>0.26885059056726801</v>
      </c>
      <c r="P346" s="3">
        <f t="shared" si="27"/>
        <v>1.680316191045425</v>
      </c>
      <c r="R346" s="3">
        <f t="shared" si="28"/>
        <v>0.26844380213471769</v>
      </c>
      <c r="S346" s="3">
        <f t="shared" si="29"/>
        <v>1.6777737633419856</v>
      </c>
      <c r="U346" s="3"/>
      <c r="V346" s="3"/>
    </row>
    <row r="347" spans="1:22" x14ac:dyDescent="0.3">
      <c r="B347" s="4">
        <v>28.7</v>
      </c>
      <c r="C347" s="5">
        <v>2</v>
      </c>
      <c r="D347" s="4">
        <v>50.6</v>
      </c>
      <c r="E347" s="3">
        <v>2.5765786179080412</v>
      </c>
      <c r="F347" s="4">
        <v>38</v>
      </c>
      <c r="G347" s="4">
        <v>52.3</v>
      </c>
      <c r="H347" s="2">
        <v>6.5570477718494391E-2</v>
      </c>
      <c r="I347" s="3">
        <v>220.98838067588596</v>
      </c>
      <c r="J347" s="3">
        <v>0.19</v>
      </c>
      <c r="K347" s="6">
        <f t="shared" si="25"/>
        <v>1.1049419033794298E-3</v>
      </c>
      <c r="O347" s="3">
        <f t="shared" si="26"/>
        <v>0.30605724874071172</v>
      </c>
      <c r="P347" s="3">
        <f t="shared" si="27"/>
        <v>1.6108276249511142</v>
      </c>
      <c r="R347" s="3">
        <f t="shared" si="28"/>
        <v>0.30635137777486265</v>
      </c>
      <c r="S347" s="3">
        <f t="shared" si="29"/>
        <v>1.612375672499277</v>
      </c>
      <c r="U347" s="3"/>
      <c r="V347" s="3"/>
    </row>
    <row r="348" spans="1:22" x14ac:dyDescent="0.3">
      <c r="B348" s="4">
        <v>28.7</v>
      </c>
      <c r="C348" s="5">
        <v>2</v>
      </c>
      <c r="D348" s="4">
        <v>50.6</v>
      </c>
      <c r="E348" s="3">
        <v>2.5765786179080412</v>
      </c>
      <c r="F348" s="4">
        <v>38</v>
      </c>
      <c r="G348" s="4">
        <v>52.3</v>
      </c>
      <c r="H348" s="2">
        <v>6.5570477718494391E-2</v>
      </c>
      <c r="I348" s="3">
        <v>251.92757860899684</v>
      </c>
      <c r="J348" s="3">
        <v>0.22</v>
      </c>
      <c r="K348" s="6">
        <f t="shared" si="25"/>
        <v>1.2596378930449842E-3</v>
      </c>
      <c r="O348" s="3">
        <f t="shared" si="26"/>
        <v>0.3415781850503003</v>
      </c>
      <c r="P348" s="3">
        <f t="shared" si="27"/>
        <v>1.5526281138650013</v>
      </c>
      <c r="R348" s="3">
        <f t="shared" si="28"/>
        <v>0.34262401099311302</v>
      </c>
      <c r="S348" s="3">
        <f t="shared" si="29"/>
        <v>1.5573818681505136</v>
      </c>
      <c r="U348" s="3"/>
      <c r="V348" s="3"/>
    </row>
    <row r="349" spans="1:22" x14ac:dyDescent="0.3">
      <c r="A349" s="1" t="s">
        <v>87</v>
      </c>
      <c r="B349" s="4">
        <v>35.799999999999997</v>
      </c>
      <c r="C349" s="5">
        <v>2</v>
      </c>
      <c r="D349" s="4">
        <v>36.4</v>
      </c>
      <c r="E349" s="3">
        <v>2.5478355335404417</v>
      </c>
      <c r="F349" s="4">
        <v>38</v>
      </c>
      <c r="G349" s="4">
        <v>55.9</v>
      </c>
      <c r="H349" s="2">
        <v>0.1124434908513556</v>
      </c>
      <c r="I349" s="3">
        <v>159.97829778788753</v>
      </c>
      <c r="J349" s="3">
        <v>0.17</v>
      </c>
      <c r="K349" s="6">
        <f t="shared" si="25"/>
        <v>7.9989148893943761E-4</v>
      </c>
      <c r="O349" s="3">
        <f t="shared" si="26"/>
        <v>0.22811629619537513</v>
      </c>
      <c r="P349" s="3">
        <f t="shared" si="27"/>
        <v>1.3418605658551477</v>
      </c>
      <c r="R349" s="3">
        <f t="shared" si="28"/>
        <v>0.23957203003929839</v>
      </c>
      <c r="S349" s="3">
        <f t="shared" si="29"/>
        <v>1.4092472355252845</v>
      </c>
      <c r="U349" s="3"/>
      <c r="V349" s="3"/>
    </row>
    <row r="350" spans="1:22" x14ac:dyDescent="0.3">
      <c r="A350" s="1" t="s">
        <v>88</v>
      </c>
      <c r="B350" s="4">
        <v>35.799999999999997</v>
      </c>
      <c r="C350" s="5">
        <v>2</v>
      </c>
      <c r="D350" s="4">
        <v>36.4</v>
      </c>
      <c r="E350" s="3">
        <v>2.7563734268389184</v>
      </c>
      <c r="F350" s="4">
        <v>38</v>
      </c>
      <c r="G350" s="4">
        <v>55.9</v>
      </c>
      <c r="H350" s="2">
        <v>0.11141006190487932</v>
      </c>
      <c r="I350" s="3">
        <v>118.01372804983332</v>
      </c>
      <c r="J350" s="3">
        <v>0.19</v>
      </c>
      <c r="K350" s="6">
        <f t="shared" si="25"/>
        <v>5.9006864024916663E-4</v>
      </c>
      <c r="O350" s="3">
        <f t="shared" si="26"/>
        <v>0.17758307512698657</v>
      </c>
      <c r="P350" s="3">
        <f t="shared" si="27"/>
        <v>0.93464776382624504</v>
      </c>
      <c r="R350" s="3">
        <f t="shared" si="28"/>
        <v>0.18541341070682646</v>
      </c>
      <c r="S350" s="3">
        <f t="shared" si="29"/>
        <v>0.97586005635171824</v>
      </c>
      <c r="U350" s="3"/>
      <c r="V350" s="3"/>
    </row>
    <row r="351" spans="1:22" x14ac:dyDescent="0.3">
      <c r="B351" s="4">
        <v>35.799999999999997</v>
      </c>
      <c r="C351" s="5">
        <v>2</v>
      </c>
      <c r="D351" s="4">
        <v>36.4</v>
      </c>
      <c r="E351" s="3">
        <v>2.7563734268389184</v>
      </c>
      <c r="F351" s="4">
        <v>38</v>
      </c>
      <c r="G351" s="4">
        <v>55.9</v>
      </c>
      <c r="H351" s="2">
        <v>0.11141006190487932</v>
      </c>
      <c r="I351" s="3">
        <v>157.86384135739399</v>
      </c>
      <c r="J351" s="3">
        <v>0.25</v>
      </c>
      <c r="K351" s="6">
        <f t="shared" si="25"/>
        <v>7.8931920678696995E-4</v>
      </c>
      <c r="O351" s="3">
        <f t="shared" si="26"/>
        <v>0.22661204323318968</v>
      </c>
      <c r="P351" s="3">
        <f t="shared" si="27"/>
        <v>0.9064481729327587</v>
      </c>
      <c r="R351" s="3">
        <f t="shared" si="28"/>
        <v>0.23770819782683525</v>
      </c>
      <c r="S351" s="3">
        <f t="shared" si="29"/>
        <v>0.950832791307341</v>
      </c>
      <c r="U351" s="3"/>
      <c r="V351" s="3"/>
    </row>
    <row r="352" spans="1:22" x14ac:dyDescent="0.3">
      <c r="R352" s="1"/>
      <c r="S352" s="1"/>
      <c r="U352" s="1"/>
      <c r="V352" s="1"/>
    </row>
    <row r="353" spans="15:22" x14ac:dyDescent="0.3">
      <c r="O353" s="1" t="s">
        <v>142</v>
      </c>
      <c r="P353" s="3">
        <f>AVERAGE(P11:P351)</f>
        <v>1.0430016114301977</v>
      </c>
      <c r="R353" s="1" t="s">
        <v>142</v>
      </c>
      <c r="S353" s="3">
        <f>AVERAGE(S11:S351)</f>
        <v>1.0394289886316448</v>
      </c>
      <c r="U353" s="1"/>
      <c r="V353" s="3"/>
    </row>
    <row r="354" spans="15:22" x14ac:dyDescent="0.3">
      <c r="O354" s="1" t="s">
        <v>143</v>
      </c>
      <c r="P354" s="3">
        <f>_xlfn.STDEV.S(P11:P351)</f>
        <v>0.2954648809770577</v>
      </c>
      <c r="R354" s="1" t="s">
        <v>143</v>
      </c>
      <c r="S354" s="3">
        <f>_xlfn.STDEV.S(S11:S351)</f>
        <v>0.2948439083233092</v>
      </c>
      <c r="U354" s="1"/>
      <c r="V354" s="3"/>
    </row>
    <row r="355" spans="15:22" x14ac:dyDescent="0.3">
      <c r="O355" s="1" t="s">
        <v>134</v>
      </c>
      <c r="P355" s="7">
        <f>P354/P353</f>
        <v>0.2832832449529073</v>
      </c>
      <c r="R355" s="1" t="s">
        <v>134</v>
      </c>
      <c r="S355" s="7">
        <f>S354/S353</f>
        <v>0.28365950107996907</v>
      </c>
      <c r="U355" s="1"/>
      <c r="V355" s="7"/>
    </row>
  </sheetData>
  <mergeCells count="1">
    <mergeCell ref="B9:I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AC3-EF41-46DB-BBAB-B00FE1C8E8FB}">
  <dimension ref="A1:J343"/>
  <sheetViews>
    <sheetView topLeftCell="D1" zoomScale="120" zoomScaleNormal="120" workbookViewId="0">
      <selection activeCell="G8" sqref="G8"/>
    </sheetView>
  </sheetViews>
  <sheetFormatPr defaultRowHeight="14.4" x14ac:dyDescent="0.3"/>
  <cols>
    <col min="1" max="1" width="33.109375" bestFit="1" customWidth="1"/>
    <col min="2" max="2" width="24.77734375" style="1" bestFit="1" customWidth="1"/>
    <col min="3" max="3" width="29.6640625" style="1" bestFit="1" customWidth="1"/>
    <col min="4" max="4" width="29.33203125" style="4" bestFit="1" customWidth="1"/>
    <col min="5" max="5" width="36.77734375" style="3" bestFit="1" customWidth="1"/>
    <col min="6" max="6" width="16.44140625" style="1" bestFit="1" customWidth="1"/>
    <col min="7" max="7" width="44.5546875" style="1" bestFit="1" customWidth="1"/>
    <col min="8" max="8" width="16.33203125" style="2" bestFit="1" customWidth="1"/>
    <col min="9" max="9" width="22.6640625" style="3" bestFit="1" customWidth="1"/>
    <col min="10" max="10" width="9.6640625" style="3" bestFit="1" customWidth="1"/>
  </cols>
  <sheetData>
    <row r="1" spans="1:10" x14ac:dyDescent="0.3">
      <c r="A1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3" t="s">
        <v>2</v>
      </c>
    </row>
    <row r="2" spans="1:10" x14ac:dyDescent="0.3">
      <c r="B2" s="1" t="s">
        <v>96</v>
      </c>
      <c r="C2" s="1" t="s">
        <v>3</v>
      </c>
      <c r="D2" s="4" t="s">
        <v>4</v>
      </c>
      <c r="E2" s="3" t="s">
        <v>97</v>
      </c>
      <c r="F2" s="1" t="s">
        <v>98</v>
      </c>
      <c r="G2" s="1" t="s">
        <v>99</v>
      </c>
      <c r="H2" s="2" t="s">
        <v>100</v>
      </c>
      <c r="I2" s="3" t="s">
        <v>101</v>
      </c>
      <c r="J2" s="3" t="s">
        <v>102</v>
      </c>
    </row>
    <row r="3" spans="1:10" x14ac:dyDescent="0.3">
      <c r="A3" t="s">
        <v>5</v>
      </c>
      <c r="B3" s="1">
        <v>20</v>
      </c>
      <c r="C3" s="1">
        <v>2</v>
      </c>
      <c r="D3" s="4">
        <v>126</v>
      </c>
      <c r="E3" s="3">
        <v>4.1203405239014401</v>
      </c>
      <c r="F3" s="1">
        <v>25</v>
      </c>
      <c r="G3" s="1">
        <v>39</v>
      </c>
      <c r="H3" s="2">
        <v>6.0723545689225174E-2</v>
      </c>
      <c r="I3" s="3">
        <v>231.81100493873356</v>
      </c>
      <c r="J3" s="3">
        <v>0.16</v>
      </c>
    </row>
    <row r="4" spans="1:10" x14ac:dyDescent="0.3">
      <c r="B4" s="1">
        <v>20</v>
      </c>
      <c r="C4" s="1">
        <v>2</v>
      </c>
      <c r="D4" s="4">
        <v>126</v>
      </c>
      <c r="E4" s="3">
        <v>4.1203405239014401</v>
      </c>
      <c r="F4" s="1">
        <v>25</v>
      </c>
      <c r="G4" s="1">
        <v>39</v>
      </c>
      <c r="H4" s="2">
        <v>6.0723545689225174E-2</v>
      </c>
      <c r="I4" s="3">
        <v>304.25194398208777</v>
      </c>
      <c r="J4" s="3">
        <v>0.23</v>
      </c>
    </row>
    <row r="5" spans="1:10" x14ac:dyDescent="0.3">
      <c r="B5" s="1">
        <v>20</v>
      </c>
      <c r="C5" s="1">
        <v>2</v>
      </c>
      <c r="D5" s="4">
        <v>126</v>
      </c>
      <c r="E5" s="3">
        <v>4.1203405239014401</v>
      </c>
      <c r="F5" s="1">
        <v>25</v>
      </c>
      <c r="G5" s="1">
        <v>39</v>
      </c>
      <c r="H5" s="2">
        <v>6.0723545689225174E-2</v>
      </c>
      <c r="I5" s="3">
        <v>314.28222784962912</v>
      </c>
      <c r="J5" s="3">
        <v>0.24</v>
      </c>
    </row>
    <row r="6" spans="1:10" x14ac:dyDescent="0.3">
      <c r="B6" s="1">
        <v>20</v>
      </c>
      <c r="C6" s="1">
        <v>2</v>
      </c>
      <c r="D6" s="4">
        <v>126</v>
      </c>
      <c r="E6" s="3">
        <v>4.1203405239014401</v>
      </c>
      <c r="F6" s="1">
        <v>25</v>
      </c>
      <c r="G6" s="1">
        <v>39</v>
      </c>
      <c r="H6" s="2">
        <v>6.0723545689225174E-2</v>
      </c>
      <c r="I6" s="3">
        <v>363.31917120205361</v>
      </c>
      <c r="J6" s="3">
        <v>0.27</v>
      </c>
    </row>
    <row r="7" spans="1:10" x14ac:dyDescent="0.3">
      <c r="B7" s="1">
        <v>20</v>
      </c>
      <c r="C7" s="1">
        <v>2</v>
      </c>
      <c r="D7" s="4">
        <v>126</v>
      </c>
      <c r="E7" s="3">
        <v>4.1203405239014401</v>
      </c>
      <c r="F7" s="1">
        <v>25</v>
      </c>
      <c r="G7" s="1">
        <v>39</v>
      </c>
      <c r="H7" s="2">
        <v>6.0723545689225174E-2</v>
      </c>
      <c r="I7" s="3">
        <v>459.16410593633765</v>
      </c>
      <c r="J7" s="3">
        <v>0.35</v>
      </c>
    </row>
    <row r="8" spans="1:10" x14ac:dyDescent="0.3">
      <c r="B8" s="1">
        <v>20</v>
      </c>
      <c r="C8" s="1">
        <v>2</v>
      </c>
      <c r="D8" s="4">
        <v>126</v>
      </c>
      <c r="E8" s="3">
        <v>4.1203405239014401</v>
      </c>
      <c r="F8" s="1">
        <v>25</v>
      </c>
      <c r="G8" s="1">
        <v>39</v>
      </c>
      <c r="H8" s="2">
        <v>6.0723545689225174E-2</v>
      </c>
      <c r="I8" s="3">
        <v>500</v>
      </c>
      <c r="J8" s="3">
        <v>0.4</v>
      </c>
    </row>
    <row r="9" spans="1:10" x14ac:dyDescent="0.3">
      <c r="A9" t="s">
        <v>6</v>
      </c>
      <c r="B9" s="1">
        <v>10</v>
      </c>
      <c r="C9" s="1">
        <v>8</v>
      </c>
      <c r="D9" s="4">
        <v>87.7</v>
      </c>
      <c r="E9" s="3">
        <v>4.1311267633290143</v>
      </c>
      <c r="F9" s="1">
        <v>25</v>
      </c>
      <c r="G9" s="1">
        <v>53</v>
      </c>
      <c r="H9" s="2">
        <v>1.5388385199705954E-2</v>
      </c>
      <c r="I9" s="3">
        <v>322.91971563781163</v>
      </c>
      <c r="J9" s="3">
        <v>0.16</v>
      </c>
    </row>
    <row r="10" spans="1:10" x14ac:dyDescent="0.3">
      <c r="B10" s="1">
        <v>10</v>
      </c>
      <c r="C10" s="1">
        <v>8</v>
      </c>
      <c r="D10" s="4">
        <v>87.7</v>
      </c>
      <c r="E10" s="3">
        <v>4.1311267633290143</v>
      </c>
      <c r="F10" s="1">
        <v>25</v>
      </c>
      <c r="G10" s="1">
        <v>53</v>
      </c>
      <c r="H10" s="2">
        <v>1.5388385199705954E-2</v>
      </c>
      <c r="I10" s="3">
        <v>367.82093324078352</v>
      </c>
      <c r="J10" s="3">
        <v>0.18</v>
      </c>
    </row>
    <row r="11" spans="1:10" x14ac:dyDescent="0.3">
      <c r="B11" s="1">
        <v>10</v>
      </c>
      <c r="C11" s="1">
        <v>8</v>
      </c>
      <c r="D11" s="4">
        <v>87.7</v>
      </c>
      <c r="E11" s="3">
        <v>4.1311267633290143</v>
      </c>
      <c r="F11" s="1">
        <v>25</v>
      </c>
      <c r="G11" s="1">
        <v>53</v>
      </c>
      <c r="H11" s="2">
        <v>1.5388385199705954E-2</v>
      </c>
      <c r="I11" s="3">
        <v>500</v>
      </c>
      <c r="J11" s="3">
        <v>0.26</v>
      </c>
    </row>
    <row r="12" spans="1:10" x14ac:dyDescent="0.3">
      <c r="A12" t="s">
        <v>7</v>
      </c>
      <c r="B12" s="1">
        <v>10</v>
      </c>
      <c r="C12" s="1">
        <v>4</v>
      </c>
      <c r="D12" s="4">
        <v>32.466666666666669</v>
      </c>
      <c r="E12" s="3">
        <v>3.262</v>
      </c>
      <c r="F12" s="1">
        <v>25</v>
      </c>
      <c r="G12" s="1">
        <v>36</v>
      </c>
      <c r="H12" s="2">
        <v>1.7444444444444443E-2</v>
      </c>
      <c r="I12" s="3">
        <v>285.04803218471648</v>
      </c>
      <c r="J12" s="3">
        <v>0.16</v>
      </c>
    </row>
    <row r="13" spans="1:10" x14ac:dyDescent="0.3">
      <c r="B13" s="1">
        <v>10</v>
      </c>
      <c r="C13" s="1">
        <v>4</v>
      </c>
      <c r="D13" s="4">
        <v>32.466666666666669</v>
      </c>
      <c r="E13" s="3">
        <v>3.262</v>
      </c>
      <c r="F13" s="1">
        <v>25</v>
      </c>
      <c r="G13" s="1">
        <v>36</v>
      </c>
      <c r="H13" s="2">
        <v>1.7444444444444443E-2</v>
      </c>
      <c r="I13" s="3">
        <v>324.99964614446418</v>
      </c>
      <c r="J13" s="3">
        <v>0.2</v>
      </c>
    </row>
    <row r="14" spans="1:10" x14ac:dyDescent="0.3">
      <c r="B14" s="1">
        <v>10</v>
      </c>
      <c r="C14" s="1">
        <v>4</v>
      </c>
      <c r="D14" s="4">
        <v>32.466666666666669</v>
      </c>
      <c r="E14" s="3">
        <v>3.262</v>
      </c>
      <c r="F14" s="1">
        <v>25</v>
      </c>
      <c r="G14" s="1">
        <v>36</v>
      </c>
      <c r="H14" s="2">
        <v>1.7444444444444443E-2</v>
      </c>
      <c r="I14" s="3">
        <v>367.6446273374533</v>
      </c>
      <c r="J14" s="3">
        <v>0.2</v>
      </c>
    </row>
    <row r="15" spans="1:10" x14ac:dyDescent="0.3">
      <c r="B15" s="1">
        <v>10</v>
      </c>
      <c r="C15" s="1">
        <v>4</v>
      </c>
      <c r="D15" s="4">
        <v>32.466666666666669</v>
      </c>
      <c r="E15" s="3">
        <v>3.262</v>
      </c>
      <c r="F15" s="1">
        <v>25</v>
      </c>
      <c r="G15" s="1">
        <v>36</v>
      </c>
      <c r="H15" s="2">
        <v>1.7444444444444443E-2</v>
      </c>
      <c r="I15" s="3">
        <v>410.73850306931587</v>
      </c>
      <c r="J15" s="3">
        <v>0.24</v>
      </c>
    </row>
    <row r="16" spans="1:10" x14ac:dyDescent="0.3">
      <c r="B16" s="1">
        <v>10</v>
      </c>
      <c r="C16" s="1">
        <v>4</v>
      </c>
      <c r="D16" s="4">
        <v>32.466666666666669</v>
      </c>
      <c r="E16" s="3">
        <v>3.262</v>
      </c>
      <c r="F16" s="1">
        <v>25</v>
      </c>
      <c r="G16" s="1">
        <v>36</v>
      </c>
      <c r="H16" s="2">
        <v>1.7444444444444443E-2</v>
      </c>
      <c r="I16" s="3">
        <v>438.56996447947728</v>
      </c>
      <c r="J16" s="3">
        <v>0.3</v>
      </c>
    </row>
    <row r="17" spans="1:10" x14ac:dyDescent="0.3">
      <c r="B17" s="1">
        <v>10</v>
      </c>
      <c r="C17" s="1">
        <v>4</v>
      </c>
      <c r="D17" s="4">
        <v>32.466666666666669</v>
      </c>
      <c r="E17" s="3">
        <v>3.262</v>
      </c>
      <c r="F17" s="1">
        <v>25</v>
      </c>
      <c r="G17" s="1">
        <v>36</v>
      </c>
      <c r="H17" s="2">
        <v>1.7444444444444443E-2</v>
      </c>
      <c r="I17" s="3">
        <v>498.27293814966185</v>
      </c>
      <c r="J17" s="3">
        <v>0.32</v>
      </c>
    </row>
    <row r="18" spans="1:10" x14ac:dyDescent="0.3">
      <c r="B18" s="1">
        <v>10</v>
      </c>
      <c r="C18" s="1">
        <v>4</v>
      </c>
      <c r="D18" s="4">
        <v>32.466666666666669</v>
      </c>
      <c r="E18" s="3">
        <v>3.262</v>
      </c>
      <c r="F18" s="1">
        <v>25</v>
      </c>
      <c r="G18" s="1">
        <v>36</v>
      </c>
      <c r="H18" s="2">
        <v>1.7444444444444443E-2</v>
      </c>
      <c r="I18" s="3">
        <v>502.76188353839768</v>
      </c>
      <c r="J18" s="3">
        <v>0.38</v>
      </c>
    </row>
    <row r="19" spans="1:10" x14ac:dyDescent="0.3">
      <c r="B19" s="1">
        <v>10</v>
      </c>
      <c r="C19" s="1">
        <v>4</v>
      </c>
      <c r="D19" s="4">
        <v>32.466666666666669</v>
      </c>
      <c r="E19" s="3">
        <v>3.262</v>
      </c>
      <c r="F19" s="1">
        <v>25</v>
      </c>
      <c r="G19" s="1">
        <v>36</v>
      </c>
      <c r="H19" s="2">
        <v>1.7444444444444443E-2</v>
      </c>
      <c r="I19" s="3">
        <v>538.67344664828317</v>
      </c>
      <c r="J19" s="3">
        <v>0.42</v>
      </c>
    </row>
    <row r="20" spans="1:10" x14ac:dyDescent="0.3">
      <c r="B20" s="1">
        <v>10</v>
      </c>
      <c r="C20" s="1">
        <v>4</v>
      </c>
      <c r="D20" s="4">
        <v>32.466666666666669</v>
      </c>
      <c r="E20" s="3">
        <v>3.262</v>
      </c>
      <c r="F20" s="1">
        <v>25</v>
      </c>
      <c r="G20" s="1">
        <v>36</v>
      </c>
      <c r="H20" s="2">
        <v>1.7444444444444443E-2</v>
      </c>
      <c r="I20" s="3">
        <v>628</v>
      </c>
      <c r="J20" s="3">
        <v>0.44</v>
      </c>
    </row>
    <row r="21" spans="1:10" x14ac:dyDescent="0.3">
      <c r="B21" s="1">
        <v>10</v>
      </c>
      <c r="C21" s="1">
        <v>4</v>
      </c>
      <c r="D21" s="4">
        <v>32.466666666666669</v>
      </c>
      <c r="E21" s="3">
        <v>3.262</v>
      </c>
      <c r="F21" s="1">
        <v>25</v>
      </c>
      <c r="G21" s="1">
        <v>36</v>
      </c>
      <c r="H21" s="2">
        <v>1.7444444444444443E-2</v>
      </c>
      <c r="I21" s="3">
        <v>628</v>
      </c>
      <c r="J21" s="3">
        <v>0.5</v>
      </c>
    </row>
    <row r="22" spans="1:10" x14ac:dyDescent="0.3">
      <c r="A22" t="s">
        <v>8</v>
      </c>
      <c r="B22" s="1">
        <v>10</v>
      </c>
      <c r="C22" s="1">
        <v>4</v>
      </c>
      <c r="D22" s="4">
        <v>32.466666666666669</v>
      </c>
      <c r="E22" s="3">
        <v>3.5139999999999993</v>
      </c>
      <c r="F22" s="1">
        <v>25</v>
      </c>
      <c r="G22" s="1">
        <v>36</v>
      </c>
      <c r="H22" s="2">
        <v>1.7444444444444443E-2</v>
      </c>
      <c r="I22" s="3">
        <v>321.47187644259361</v>
      </c>
      <c r="J22" s="3">
        <v>0.24</v>
      </c>
    </row>
    <row r="23" spans="1:10" x14ac:dyDescent="0.3">
      <c r="B23" s="1">
        <v>10</v>
      </c>
      <c r="C23" s="1">
        <v>4</v>
      </c>
      <c r="D23" s="4">
        <v>32.466666666666669</v>
      </c>
      <c r="E23" s="3">
        <v>3.5139999999999993</v>
      </c>
      <c r="F23" s="1">
        <v>25</v>
      </c>
      <c r="G23" s="1">
        <v>36</v>
      </c>
      <c r="H23" s="2">
        <v>1.7444444444444443E-2</v>
      </c>
      <c r="I23" s="3">
        <v>357.19097382510409</v>
      </c>
      <c r="J23" s="3">
        <v>0.3</v>
      </c>
    </row>
    <row r="24" spans="1:10" x14ac:dyDescent="0.3">
      <c r="B24" s="1">
        <v>10</v>
      </c>
      <c r="C24" s="1">
        <v>4</v>
      </c>
      <c r="D24" s="4">
        <v>32.466666666666669</v>
      </c>
      <c r="E24" s="3">
        <v>3.5139999999999993</v>
      </c>
      <c r="F24" s="1">
        <v>25</v>
      </c>
      <c r="G24" s="1">
        <v>36</v>
      </c>
      <c r="H24" s="2">
        <v>1.7444444444444443E-2</v>
      </c>
      <c r="I24" s="3">
        <v>370.58563534354545</v>
      </c>
      <c r="J24" s="3">
        <v>0.3</v>
      </c>
    </row>
    <row r="25" spans="1:10" x14ac:dyDescent="0.3">
      <c r="B25" s="1">
        <v>10</v>
      </c>
      <c r="C25" s="1">
        <v>4</v>
      </c>
      <c r="D25" s="4">
        <v>32.466666666666669</v>
      </c>
      <c r="E25" s="3">
        <v>3.5139999999999993</v>
      </c>
      <c r="F25" s="1">
        <v>25</v>
      </c>
      <c r="G25" s="1">
        <v>36</v>
      </c>
      <c r="H25" s="2">
        <v>1.7444444444444443E-2</v>
      </c>
      <c r="I25" s="3">
        <v>392.91007120761441</v>
      </c>
      <c r="J25" s="3">
        <v>0.3</v>
      </c>
    </row>
    <row r="26" spans="1:10" x14ac:dyDescent="0.3">
      <c r="B26" s="1">
        <v>10</v>
      </c>
      <c r="C26" s="1">
        <v>4</v>
      </c>
      <c r="D26" s="4">
        <v>32.466666666666669</v>
      </c>
      <c r="E26" s="3">
        <v>3.5139999999999993</v>
      </c>
      <c r="F26" s="1">
        <v>25</v>
      </c>
      <c r="G26" s="1">
        <v>36</v>
      </c>
      <c r="H26" s="2">
        <v>1.7444444444444443E-2</v>
      </c>
      <c r="I26" s="3">
        <v>424.16428141731097</v>
      </c>
      <c r="J26" s="3">
        <v>0.38</v>
      </c>
    </row>
    <row r="27" spans="1:10" x14ac:dyDescent="0.3">
      <c r="B27" s="1">
        <v>10</v>
      </c>
      <c r="C27" s="1">
        <v>4</v>
      </c>
      <c r="D27" s="4">
        <v>32.466666666666669</v>
      </c>
      <c r="E27" s="3">
        <v>3.5139999999999993</v>
      </c>
      <c r="F27" s="1">
        <v>25</v>
      </c>
      <c r="G27" s="1">
        <v>36</v>
      </c>
      <c r="H27" s="2">
        <v>1.7444444444444443E-2</v>
      </c>
      <c r="I27" s="3">
        <v>491.13758900951802</v>
      </c>
      <c r="J27" s="3">
        <v>0.44</v>
      </c>
    </row>
    <row r="28" spans="1:10" x14ac:dyDescent="0.3">
      <c r="A28" t="s">
        <v>9</v>
      </c>
      <c r="B28" s="1">
        <v>16</v>
      </c>
      <c r="C28" s="1">
        <v>4</v>
      </c>
      <c r="D28" s="4">
        <v>37</v>
      </c>
      <c r="E28" s="3">
        <v>4.2587999999999999</v>
      </c>
      <c r="F28" s="1">
        <v>20</v>
      </c>
      <c r="G28" s="1">
        <v>54</v>
      </c>
      <c r="H28" s="2">
        <v>0.11785107305322007</v>
      </c>
      <c r="I28" s="3">
        <v>136.24998634844746</v>
      </c>
      <c r="J28" s="3">
        <v>0.18</v>
      </c>
    </row>
    <row r="29" spans="1:10" x14ac:dyDescent="0.3">
      <c r="B29" s="1">
        <v>16</v>
      </c>
      <c r="C29" s="1">
        <v>4</v>
      </c>
      <c r="D29" s="4">
        <v>37</v>
      </c>
      <c r="E29" s="3">
        <v>4.2587999999999999</v>
      </c>
      <c r="F29" s="1">
        <v>20</v>
      </c>
      <c r="G29" s="1">
        <v>54</v>
      </c>
      <c r="H29" s="2">
        <v>0.11785107305322007</v>
      </c>
      <c r="I29" s="3">
        <v>196.14009023787494</v>
      </c>
      <c r="J29" s="3">
        <v>0.2</v>
      </c>
    </row>
    <row r="30" spans="1:10" x14ac:dyDescent="0.3">
      <c r="B30" s="1">
        <v>16</v>
      </c>
      <c r="C30" s="1">
        <v>4</v>
      </c>
      <c r="D30" s="4">
        <v>37</v>
      </c>
      <c r="E30" s="3">
        <v>4.2587999999999999</v>
      </c>
      <c r="F30" s="1">
        <v>20</v>
      </c>
      <c r="G30" s="1">
        <v>54</v>
      </c>
      <c r="H30" s="2">
        <v>0.11785107305322007</v>
      </c>
      <c r="I30" s="3">
        <v>237.31453666185638</v>
      </c>
      <c r="J30" s="3">
        <v>0.26</v>
      </c>
    </row>
    <row r="31" spans="1:10" x14ac:dyDescent="0.3">
      <c r="B31" s="1">
        <v>16</v>
      </c>
      <c r="C31" s="1">
        <v>4</v>
      </c>
      <c r="D31" s="4">
        <v>37</v>
      </c>
      <c r="E31" s="3">
        <v>4.2587999999999999</v>
      </c>
      <c r="F31" s="1">
        <v>20</v>
      </c>
      <c r="G31" s="1">
        <v>54</v>
      </c>
      <c r="H31" s="2">
        <v>0.11785107305322007</v>
      </c>
      <c r="I31" s="3">
        <v>305.43952983608006</v>
      </c>
      <c r="J31" s="3">
        <v>0.44</v>
      </c>
    </row>
    <row r="32" spans="1:10" x14ac:dyDescent="0.3">
      <c r="B32" s="1">
        <v>16</v>
      </c>
      <c r="C32" s="1">
        <v>4</v>
      </c>
      <c r="D32" s="4">
        <v>37</v>
      </c>
      <c r="E32" s="3">
        <v>4.2587999999999999</v>
      </c>
      <c r="F32" s="1">
        <v>20</v>
      </c>
      <c r="G32" s="1">
        <v>54</v>
      </c>
      <c r="H32" s="2">
        <v>0.11785107305322007</v>
      </c>
      <c r="I32" s="3">
        <v>405.00682755225324</v>
      </c>
      <c r="J32" s="3">
        <v>0.6</v>
      </c>
    </row>
    <row r="33" spans="1:10" x14ac:dyDescent="0.3">
      <c r="A33" t="s">
        <v>10</v>
      </c>
      <c r="B33" s="1">
        <v>12</v>
      </c>
      <c r="C33" s="1">
        <v>4</v>
      </c>
      <c r="D33" s="4">
        <v>79.3</v>
      </c>
      <c r="E33" s="3">
        <v>2.6933292113182881</v>
      </c>
      <c r="F33" s="1">
        <v>20</v>
      </c>
      <c r="G33" s="1">
        <v>38</v>
      </c>
      <c r="H33" s="2">
        <v>1.3593984962406014E-2</v>
      </c>
      <c r="I33" s="3">
        <v>300.43295624924116</v>
      </c>
      <c r="J33" s="3">
        <v>0.36</v>
      </c>
    </row>
    <row r="34" spans="1:10" x14ac:dyDescent="0.3">
      <c r="B34" s="1">
        <v>12</v>
      </c>
      <c r="C34" s="1">
        <v>4</v>
      </c>
      <c r="D34" s="4">
        <v>79.3</v>
      </c>
      <c r="E34" s="3">
        <v>2.6933292113182881</v>
      </c>
      <c r="F34" s="1">
        <v>20</v>
      </c>
      <c r="G34" s="1">
        <v>38</v>
      </c>
      <c r="H34" s="2">
        <v>1.3593984962406014E-2</v>
      </c>
      <c r="I34" s="3">
        <v>386.27094374902435</v>
      </c>
      <c r="J34" s="3">
        <v>0.43</v>
      </c>
    </row>
    <row r="35" spans="1:10" x14ac:dyDescent="0.3">
      <c r="B35" s="1">
        <v>12</v>
      </c>
      <c r="C35" s="1">
        <v>4</v>
      </c>
      <c r="D35" s="4">
        <v>79.3</v>
      </c>
      <c r="E35" s="3">
        <v>2.6933292113182881</v>
      </c>
      <c r="F35" s="1">
        <v>20</v>
      </c>
      <c r="G35" s="1">
        <v>38</v>
      </c>
      <c r="H35" s="2">
        <v>1.3593984962406014E-2</v>
      </c>
      <c r="I35" s="3">
        <v>500</v>
      </c>
      <c r="J35" s="3">
        <v>0.56000000000000005</v>
      </c>
    </row>
    <row r="36" spans="1:10" x14ac:dyDescent="0.3">
      <c r="B36" s="1">
        <v>12</v>
      </c>
      <c r="C36" s="1">
        <v>4</v>
      </c>
      <c r="D36" s="4">
        <v>79.3</v>
      </c>
      <c r="E36" s="3">
        <v>2.6933292113182881</v>
      </c>
      <c r="F36" s="1">
        <v>20</v>
      </c>
      <c r="G36" s="1">
        <v>38</v>
      </c>
      <c r="H36" s="2">
        <v>1.3593984962406014E-2</v>
      </c>
      <c r="I36" s="3">
        <v>500</v>
      </c>
      <c r="J36" s="3">
        <v>0.71</v>
      </c>
    </row>
    <row r="37" spans="1:10" x14ac:dyDescent="0.3">
      <c r="B37" s="1">
        <v>12</v>
      </c>
      <c r="C37" s="1">
        <v>4</v>
      </c>
      <c r="D37" s="4">
        <v>79.3</v>
      </c>
      <c r="E37" s="3">
        <v>2.6933292113182881</v>
      </c>
      <c r="F37" s="1">
        <v>20</v>
      </c>
      <c r="G37" s="1">
        <v>38</v>
      </c>
      <c r="H37" s="2">
        <v>1.3593984962406014E-2</v>
      </c>
      <c r="I37" s="3">
        <v>500</v>
      </c>
      <c r="J37" s="3">
        <v>0.79</v>
      </c>
    </row>
    <row r="38" spans="1:10" x14ac:dyDescent="0.3">
      <c r="A38" t="s">
        <v>11</v>
      </c>
      <c r="B38" s="1">
        <v>25</v>
      </c>
      <c r="C38" s="1">
        <v>4</v>
      </c>
      <c r="D38" s="4">
        <v>62</v>
      </c>
      <c r="E38" s="3">
        <v>2.6933292113182881</v>
      </c>
      <c r="F38" s="1">
        <v>20</v>
      </c>
      <c r="G38" s="1">
        <v>44.5</v>
      </c>
      <c r="H38" s="2">
        <v>5.4467051199458924E-2</v>
      </c>
      <c r="I38" s="3">
        <v>106.51265522599461</v>
      </c>
      <c r="J38" s="3">
        <v>0.2</v>
      </c>
    </row>
    <row r="39" spans="1:10" x14ac:dyDescent="0.3">
      <c r="B39" s="1">
        <v>25</v>
      </c>
      <c r="C39" s="1">
        <v>4</v>
      </c>
      <c r="D39" s="4">
        <v>62</v>
      </c>
      <c r="E39" s="3">
        <v>2.6933292113182881</v>
      </c>
      <c r="F39" s="1">
        <v>20</v>
      </c>
      <c r="G39" s="1">
        <v>44.5</v>
      </c>
      <c r="H39" s="2">
        <v>5.4467051199458924E-2</v>
      </c>
      <c r="I39" s="3">
        <v>191.72277940679027</v>
      </c>
      <c r="J39" s="3">
        <v>0.25</v>
      </c>
    </row>
    <row r="40" spans="1:10" x14ac:dyDescent="0.3">
      <c r="B40" s="1">
        <v>25</v>
      </c>
      <c r="C40" s="1">
        <v>4</v>
      </c>
      <c r="D40" s="4">
        <v>62</v>
      </c>
      <c r="E40" s="3">
        <v>2.6933292113182881</v>
      </c>
      <c r="F40" s="1">
        <v>20</v>
      </c>
      <c r="G40" s="1">
        <v>44.5</v>
      </c>
      <c r="H40" s="2">
        <v>5.4467051199458924E-2</v>
      </c>
      <c r="I40" s="3">
        <v>276.93290358758594</v>
      </c>
      <c r="J40" s="3">
        <v>0.36</v>
      </c>
    </row>
    <row r="41" spans="1:10" x14ac:dyDescent="0.3">
      <c r="B41" s="1">
        <v>25</v>
      </c>
      <c r="C41" s="1">
        <v>4</v>
      </c>
      <c r="D41" s="4">
        <v>62</v>
      </c>
      <c r="E41" s="3">
        <v>2.6933292113182881</v>
      </c>
      <c r="F41" s="1">
        <v>20</v>
      </c>
      <c r="G41" s="1">
        <v>44.5</v>
      </c>
      <c r="H41" s="2">
        <v>5.4467051199458924E-2</v>
      </c>
      <c r="I41" s="3">
        <v>362.14302776838161</v>
      </c>
      <c r="J41" s="3">
        <v>0.47</v>
      </c>
    </row>
    <row r="42" spans="1:10" x14ac:dyDescent="0.3">
      <c r="B42" s="1">
        <v>25</v>
      </c>
      <c r="C42" s="1">
        <v>4</v>
      </c>
      <c r="D42" s="4">
        <v>62</v>
      </c>
      <c r="E42" s="3">
        <v>2.6933292113182881</v>
      </c>
      <c r="F42" s="1">
        <v>20</v>
      </c>
      <c r="G42" s="1">
        <v>44.5</v>
      </c>
      <c r="H42" s="2">
        <v>5.4467051199458924E-2</v>
      </c>
      <c r="I42" s="3">
        <v>426.05062090397843</v>
      </c>
      <c r="J42" s="3">
        <v>0.56999999999999995</v>
      </c>
    </row>
    <row r="43" spans="1:10" x14ac:dyDescent="0.3">
      <c r="B43" s="1">
        <v>25</v>
      </c>
      <c r="C43" s="1">
        <v>4</v>
      </c>
      <c r="D43" s="4">
        <v>62</v>
      </c>
      <c r="E43" s="3">
        <v>2.6933292113182881</v>
      </c>
      <c r="F43" s="1">
        <v>20</v>
      </c>
      <c r="G43" s="1">
        <v>44.5</v>
      </c>
      <c r="H43" s="2">
        <v>5.4467051199458924E-2</v>
      </c>
      <c r="I43" s="3">
        <v>500</v>
      </c>
      <c r="J43" s="3">
        <v>0.78</v>
      </c>
    </row>
    <row r="44" spans="1:10" x14ac:dyDescent="0.3">
      <c r="A44" t="s">
        <v>12</v>
      </c>
      <c r="B44" s="1">
        <v>12</v>
      </c>
      <c r="C44" s="1">
        <v>4</v>
      </c>
      <c r="D44" s="4">
        <v>79.3</v>
      </c>
      <c r="E44" s="3">
        <v>2.6933292113182881</v>
      </c>
      <c r="F44" s="1">
        <v>20</v>
      </c>
      <c r="G44" s="1">
        <v>34</v>
      </c>
      <c r="H44" s="2">
        <v>1.5193277310924369E-2</v>
      </c>
      <c r="I44" s="3">
        <v>212.47112712608967</v>
      </c>
      <c r="J44" s="3">
        <v>0.21</v>
      </c>
    </row>
    <row r="45" spans="1:10" x14ac:dyDescent="0.3">
      <c r="B45" s="1">
        <v>12</v>
      </c>
      <c r="C45" s="1">
        <v>4</v>
      </c>
      <c r="D45" s="4">
        <v>79.3</v>
      </c>
      <c r="E45" s="3">
        <v>2.6933292113182881</v>
      </c>
      <c r="F45" s="1">
        <v>20</v>
      </c>
      <c r="G45" s="1">
        <v>34</v>
      </c>
      <c r="H45" s="2">
        <v>1.5193277310924369E-2</v>
      </c>
      <c r="I45" s="3">
        <v>254.96535255130757</v>
      </c>
      <c r="J45" s="3">
        <v>0.31</v>
      </c>
    </row>
    <row r="46" spans="1:10" x14ac:dyDescent="0.3">
      <c r="B46" s="1">
        <v>12</v>
      </c>
      <c r="C46" s="1">
        <v>4</v>
      </c>
      <c r="D46" s="4">
        <v>79.3</v>
      </c>
      <c r="E46" s="3">
        <v>2.6933292113182881</v>
      </c>
      <c r="F46" s="1">
        <v>20</v>
      </c>
      <c r="G46" s="1">
        <v>34</v>
      </c>
      <c r="H46" s="2">
        <v>1.5193277310924369E-2</v>
      </c>
      <c r="I46" s="3">
        <v>297.45957797652545</v>
      </c>
      <c r="J46" s="3">
        <v>0.38</v>
      </c>
    </row>
    <row r="47" spans="1:10" x14ac:dyDescent="0.3">
      <c r="B47" s="1">
        <v>12</v>
      </c>
      <c r="C47" s="1">
        <v>4</v>
      </c>
      <c r="D47" s="4">
        <v>79.3</v>
      </c>
      <c r="E47" s="3">
        <v>2.6933292113182881</v>
      </c>
      <c r="F47" s="1">
        <v>20</v>
      </c>
      <c r="G47" s="1">
        <v>34</v>
      </c>
      <c r="H47" s="2">
        <v>1.5193277310924369E-2</v>
      </c>
      <c r="I47" s="3">
        <v>382.44802882696138</v>
      </c>
      <c r="J47" s="3">
        <v>0.52</v>
      </c>
    </row>
    <row r="48" spans="1:10" x14ac:dyDescent="0.3">
      <c r="B48" s="1">
        <v>12</v>
      </c>
      <c r="C48" s="1">
        <v>4</v>
      </c>
      <c r="D48" s="4">
        <v>79.3</v>
      </c>
      <c r="E48" s="3">
        <v>2.6933292113182881</v>
      </c>
      <c r="F48" s="1">
        <v>20</v>
      </c>
      <c r="G48" s="1">
        <v>34</v>
      </c>
      <c r="H48" s="2">
        <v>1.5193277310924369E-2</v>
      </c>
      <c r="I48" s="3">
        <v>500</v>
      </c>
      <c r="J48" s="3">
        <v>0.74</v>
      </c>
    </row>
    <row r="49" spans="1:10" x14ac:dyDescent="0.3">
      <c r="A49" t="s">
        <v>13</v>
      </c>
      <c r="B49" s="1">
        <v>12</v>
      </c>
      <c r="C49" s="1">
        <v>4</v>
      </c>
      <c r="D49" s="4">
        <v>79.3</v>
      </c>
      <c r="E49" s="3">
        <v>2.6933292113182881</v>
      </c>
      <c r="F49" s="1">
        <v>20</v>
      </c>
      <c r="G49" s="1">
        <v>34</v>
      </c>
      <c r="H49" s="2">
        <v>1.5193277310924369E-2</v>
      </c>
      <c r="I49" s="3">
        <v>212.47112712608967</v>
      </c>
      <c r="J49" s="3">
        <v>0.17</v>
      </c>
    </row>
    <row r="50" spans="1:10" x14ac:dyDescent="0.3">
      <c r="B50" s="1">
        <v>12</v>
      </c>
      <c r="C50" s="1">
        <v>4</v>
      </c>
      <c r="D50" s="4">
        <v>79.3</v>
      </c>
      <c r="E50" s="3">
        <v>2.6933292113182881</v>
      </c>
      <c r="F50" s="1">
        <v>20</v>
      </c>
      <c r="G50" s="1">
        <v>34</v>
      </c>
      <c r="H50" s="2">
        <v>1.5193277310924369E-2</v>
      </c>
      <c r="I50" s="3">
        <v>297.45957797652545</v>
      </c>
      <c r="J50" s="3">
        <v>0.36</v>
      </c>
    </row>
    <row r="51" spans="1:10" x14ac:dyDescent="0.3">
      <c r="B51" s="1">
        <v>12</v>
      </c>
      <c r="C51" s="1">
        <v>4</v>
      </c>
      <c r="D51" s="4">
        <v>79.3</v>
      </c>
      <c r="E51" s="3">
        <v>2.6933292113182881</v>
      </c>
      <c r="F51" s="1">
        <v>20</v>
      </c>
      <c r="G51" s="1">
        <v>34</v>
      </c>
      <c r="H51" s="2">
        <v>1.5193277310924369E-2</v>
      </c>
      <c r="I51" s="3">
        <v>382.44802882696138</v>
      </c>
      <c r="J51" s="3">
        <v>0.56000000000000005</v>
      </c>
    </row>
    <row r="52" spans="1:10" x14ac:dyDescent="0.3">
      <c r="B52" s="1">
        <v>12</v>
      </c>
      <c r="C52" s="1">
        <v>4</v>
      </c>
      <c r="D52" s="4">
        <v>79.3</v>
      </c>
      <c r="E52" s="3">
        <v>2.6933292113182881</v>
      </c>
      <c r="F52" s="1">
        <v>20</v>
      </c>
      <c r="G52" s="1">
        <v>34</v>
      </c>
      <c r="H52" s="2">
        <v>1.5193277310924369E-2</v>
      </c>
      <c r="I52" s="3">
        <v>500</v>
      </c>
      <c r="J52" s="3">
        <v>0.78</v>
      </c>
    </row>
    <row r="53" spans="1:10" x14ac:dyDescent="0.3">
      <c r="A53" t="s">
        <v>14</v>
      </c>
      <c r="B53" s="1">
        <v>12</v>
      </c>
      <c r="C53" s="1">
        <v>4</v>
      </c>
      <c r="D53" s="4">
        <v>46</v>
      </c>
      <c r="E53" s="3">
        <v>2.6933292113182881</v>
      </c>
      <c r="F53" s="1">
        <v>70</v>
      </c>
      <c r="G53" s="1">
        <v>88</v>
      </c>
      <c r="H53" s="2">
        <v>1.0220067765707051E-2</v>
      </c>
      <c r="I53" s="3">
        <v>245.19477048546645</v>
      </c>
      <c r="J53" s="3">
        <v>0.31</v>
      </c>
    </row>
    <row r="54" spans="1:10" x14ac:dyDescent="0.3">
      <c r="B54" s="1">
        <v>12</v>
      </c>
      <c r="C54" s="1">
        <v>4</v>
      </c>
      <c r="D54" s="4">
        <v>46</v>
      </c>
      <c r="E54" s="3">
        <v>2.6933292113182881</v>
      </c>
      <c r="F54" s="1">
        <v>70</v>
      </c>
      <c r="G54" s="1">
        <v>88</v>
      </c>
      <c r="H54" s="2">
        <v>1.0220067765707051E-2</v>
      </c>
      <c r="I54" s="3">
        <v>294.23372458255977</v>
      </c>
      <c r="J54" s="3">
        <v>0.44</v>
      </c>
    </row>
    <row r="55" spans="1:10" x14ac:dyDescent="0.3">
      <c r="A55" t="s">
        <v>15</v>
      </c>
      <c r="B55" s="1">
        <v>12</v>
      </c>
      <c r="C55" s="1">
        <v>4</v>
      </c>
      <c r="D55" s="4">
        <v>46</v>
      </c>
      <c r="E55" s="3">
        <v>2.6933292113182881</v>
      </c>
      <c r="F55" s="1">
        <v>70</v>
      </c>
      <c r="G55" s="1">
        <v>84</v>
      </c>
      <c r="H55" s="2">
        <v>1.0231758789687727E-2</v>
      </c>
      <c r="I55" s="3">
        <v>193.94581491041436</v>
      </c>
      <c r="J55" s="3">
        <v>0.14000000000000001</v>
      </c>
    </row>
    <row r="56" spans="1:10" x14ac:dyDescent="0.3">
      <c r="B56" s="1">
        <v>12</v>
      </c>
      <c r="C56" s="1">
        <v>4</v>
      </c>
      <c r="D56" s="4">
        <v>46</v>
      </c>
      <c r="E56" s="3">
        <v>2.6933292113182881</v>
      </c>
      <c r="F56" s="1">
        <v>70</v>
      </c>
      <c r="G56" s="1">
        <v>84</v>
      </c>
      <c r="H56" s="2">
        <v>1.0231758789687727E-2</v>
      </c>
      <c r="I56" s="3">
        <v>242.43226863801794</v>
      </c>
      <c r="J56" s="3">
        <v>0.31</v>
      </c>
    </row>
    <row r="57" spans="1:10" x14ac:dyDescent="0.3">
      <c r="B57" s="1">
        <v>12</v>
      </c>
      <c r="C57" s="1">
        <v>4</v>
      </c>
      <c r="D57" s="4">
        <v>46</v>
      </c>
      <c r="E57" s="3">
        <v>2.6933292113182881</v>
      </c>
      <c r="F57" s="1">
        <v>70</v>
      </c>
      <c r="G57" s="1">
        <v>84</v>
      </c>
      <c r="H57" s="2">
        <v>1.0231758789687727E-2</v>
      </c>
      <c r="I57" s="3">
        <v>290.91872236562153</v>
      </c>
      <c r="J57" s="3">
        <v>0.4</v>
      </c>
    </row>
    <row r="58" spans="1:10" x14ac:dyDescent="0.3">
      <c r="A58" t="s">
        <v>16</v>
      </c>
      <c r="B58" s="1">
        <v>12</v>
      </c>
      <c r="C58" s="1">
        <v>4</v>
      </c>
      <c r="D58" s="4">
        <v>46</v>
      </c>
      <c r="E58" s="3">
        <v>2.6933292113182881</v>
      </c>
      <c r="F58" s="1">
        <v>70</v>
      </c>
      <c r="G58" s="1">
        <v>84</v>
      </c>
      <c r="H58" s="2">
        <v>1.0231758789687727E-2</v>
      </c>
      <c r="I58" s="3">
        <v>193.94581491041436</v>
      </c>
      <c r="J58" s="3">
        <v>0.25</v>
      </c>
    </row>
    <row r="59" spans="1:10" x14ac:dyDescent="0.3">
      <c r="B59" s="1">
        <v>12</v>
      </c>
      <c r="C59" s="1">
        <v>4</v>
      </c>
      <c r="D59" s="4">
        <v>46</v>
      </c>
      <c r="E59" s="3">
        <v>2.6933292113182881</v>
      </c>
      <c r="F59" s="1">
        <v>70</v>
      </c>
      <c r="G59" s="1">
        <v>84</v>
      </c>
      <c r="H59" s="2">
        <v>1.0231758789687727E-2</v>
      </c>
      <c r="I59" s="3">
        <v>242.43226863801794</v>
      </c>
      <c r="J59" s="3">
        <v>0.44</v>
      </c>
    </row>
    <row r="60" spans="1:10" x14ac:dyDescent="0.3">
      <c r="B60" s="1">
        <v>12</v>
      </c>
      <c r="C60" s="1">
        <v>4</v>
      </c>
      <c r="D60" s="4">
        <v>46</v>
      </c>
      <c r="E60" s="3">
        <v>2.6933292113182881</v>
      </c>
      <c r="F60" s="1">
        <v>70</v>
      </c>
      <c r="G60" s="1">
        <v>84</v>
      </c>
      <c r="H60" s="2">
        <v>1.0231758789687727E-2</v>
      </c>
      <c r="I60" s="3">
        <v>290.91872236562153</v>
      </c>
      <c r="J60" s="3">
        <v>0.56000000000000005</v>
      </c>
    </row>
    <row r="61" spans="1:10" x14ac:dyDescent="0.3">
      <c r="A61" t="s">
        <v>17</v>
      </c>
      <c r="B61" s="1">
        <v>25</v>
      </c>
      <c r="C61" s="1">
        <v>4</v>
      </c>
      <c r="D61" s="4">
        <v>62</v>
      </c>
      <c r="E61" s="3">
        <v>2.6933292113182881</v>
      </c>
      <c r="F61" s="1">
        <v>20</v>
      </c>
      <c r="G61" s="1">
        <v>40.5</v>
      </c>
      <c r="H61" s="2">
        <v>5.5421516754850089E-2</v>
      </c>
      <c r="I61" s="3">
        <v>210.83754926858927</v>
      </c>
      <c r="J61" s="3">
        <v>0.23</v>
      </c>
    </row>
    <row r="62" spans="1:10" x14ac:dyDescent="0.3">
      <c r="B62" s="1">
        <v>25</v>
      </c>
      <c r="C62" s="1">
        <v>4</v>
      </c>
      <c r="D62" s="4">
        <v>62</v>
      </c>
      <c r="E62" s="3">
        <v>2.6933292113182881</v>
      </c>
      <c r="F62" s="1">
        <v>20</v>
      </c>
      <c r="G62" s="1">
        <v>40.5</v>
      </c>
      <c r="H62" s="2">
        <v>5.5421516754850089E-2</v>
      </c>
      <c r="I62" s="3">
        <v>316.25632390288388</v>
      </c>
      <c r="J62" s="3">
        <v>0.35</v>
      </c>
    </row>
    <row r="63" spans="1:10" x14ac:dyDescent="0.3">
      <c r="B63" s="1">
        <v>25</v>
      </c>
      <c r="C63" s="1">
        <v>4</v>
      </c>
      <c r="D63" s="4">
        <v>62</v>
      </c>
      <c r="E63" s="3">
        <v>2.6933292113182881</v>
      </c>
      <c r="F63" s="1">
        <v>20</v>
      </c>
      <c r="G63" s="1">
        <v>40.5</v>
      </c>
      <c r="H63" s="2">
        <v>5.5421516754850089E-2</v>
      </c>
      <c r="I63" s="3">
        <v>421.67509853717854</v>
      </c>
      <c r="J63" s="3">
        <v>0.49</v>
      </c>
    </row>
    <row r="64" spans="1:10" x14ac:dyDescent="0.3">
      <c r="B64" s="1">
        <v>25</v>
      </c>
      <c r="C64" s="1">
        <v>4</v>
      </c>
      <c r="D64" s="4">
        <v>62</v>
      </c>
      <c r="E64" s="3">
        <v>2.6933292113182881</v>
      </c>
      <c r="F64" s="1">
        <v>20</v>
      </c>
      <c r="G64" s="1">
        <v>40.5</v>
      </c>
      <c r="H64" s="2">
        <v>5.5421516754850089E-2</v>
      </c>
      <c r="I64" s="3">
        <v>500</v>
      </c>
      <c r="J64" s="3">
        <v>0.67</v>
      </c>
    </row>
    <row r="65" spans="1:10" x14ac:dyDescent="0.3">
      <c r="A65" t="s">
        <v>18</v>
      </c>
      <c r="B65" s="1">
        <v>25</v>
      </c>
      <c r="C65" s="1">
        <v>4</v>
      </c>
      <c r="D65" s="4">
        <v>62</v>
      </c>
      <c r="E65" s="3">
        <v>2.6933292113182881</v>
      </c>
      <c r="F65" s="1">
        <v>20</v>
      </c>
      <c r="G65" s="1">
        <v>40.5</v>
      </c>
      <c r="H65" s="2">
        <v>5.5421516754850089E-2</v>
      </c>
      <c r="I65" s="3">
        <v>210.83754926858927</v>
      </c>
      <c r="J65" s="3">
        <v>0.27</v>
      </c>
    </row>
    <row r="66" spans="1:10" x14ac:dyDescent="0.3">
      <c r="B66" s="1">
        <v>25</v>
      </c>
      <c r="C66" s="1">
        <v>4</v>
      </c>
      <c r="D66" s="4">
        <v>62</v>
      </c>
      <c r="E66" s="3">
        <v>2.6933292113182881</v>
      </c>
      <c r="F66" s="1">
        <v>20</v>
      </c>
      <c r="G66" s="1">
        <v>40.5</v>
      </c>
      <c r="H66" s="2">
        <v>5.5421516754850089E-2</v>
      </c>
      <c r="I66" s="3">
        <v>316.25632390288388</v>
      </c>
      <c r="J66" s="3">
        <v>0.4</v>
      </c>
    </row>
    <row r="67" spans="1:10" x14ac:dyDescent="0.3">
      <c r="B67" s="1">
        <v>25</v>
      </c>
      <c r="C67" s="1">
        <v>4</v>
      </c>
      <c r="D67" s="4">
        <v>62</v>
      </c>
      <c r="E67" s="3">
        <v>2.6933292113182881</v>
      </c>
      <c r="F67" s="1">
        <v>20</v>
      </c>
      <c r="G67" s="1">
        <v>40.5</v>
      </c>
      <c r="H67" s="2">
        <v>5.5421516754850089E-2</v>
      </c>
      <c r="I67" s="3">
        <v>421.67509853717854</v>
      </c>
      <c r="J67" s="3">
        <v>0.53</v>
      </c>
    </row>
    <row r="68" spans="1:10" x14ac:dyDescent="0.3">
      <c r="B68" s="1">
        <v>25</v>
      </c>
      <c r="C68" s="1">
        <v>4</v>
      </c>
      <c r="D68" s="4">
        <v>62</v>
      </c>
      <c r="E68" s="3">
        <v>2.6933292113182881</v>
      </c>
      <c r="F68" s="1">
        <v>20</v>
      </c>
      <c r="G68" s="1">
        <v>40.5</v>
      </c>
      <c r="H68" s="2">
        <v>5.5421516754850089E-2</v>
      </c>
      <c r="I68" s="3">
        <v>500</v>
      </c>
      <c r="J68" s="3">
        <v>0.72</v>
      </c>
    </row>
    <row r="69" spans="1:10" x14ac:dyDescent="0.3">
      <c r="A69" t="s">
        <v>19</v>
      </c>
      <c r="B69" s="1">
        <v>25</v>
      </c>
      <c r="C69" s="1">
        <v>4</v>
      </c>
      <c r="D69" s="4">
        <v>28.7</v>
      </c>
      <c r="E69" s="3">
        <v>2.6933292113182881</v>
      </c>
      <c r="F69" s="1">
        <v>70</v>
      </c>
      <c r="G69" s="1">
        <v>94.5</v>
      </c>
      <c r="H69" s="2">
        <v>5.2620596145749564E-2</v>
      </c>
      <c r="I69" s="3">
        <v>122.34076582972288</v>
      </c>
      <c r="J69" s="3">
        <v>0.3</v>
      </c>
    </row>
    <row r="70" spans="1:10" x14ac:dyDescent="0.3">
      <c r="B70" s="1">
        <v>25</v>
      </c>
      <c r="C70" s="1">
        <v>4</v>
      </c>
      <c r="D70" s="4">
        <v>28.7</v>
      </c>
      <c r="E70" s="3">
        <v>2.6933292113182881</v>
      </c>
      <c r="F70" s="1">
        <v>70</v>
      </c>
      <c r="G70" s="1">
        <v>94.5</v>
      </c>
      <c r="H70" s="2">
        <v>5.2620596145749564E-2</v>
      </c>
      <c r="I70" s="3">
        <v>244.68153165944577</v>
      </c>
      <c r="J70" s="3">
        <v>0.56999999999999995</v>
      </c>
    </row>
    <row r="71" spans="1:10" x14ac:dyDescent="0.3">
      <c r="A71" t="s">
        <v>20</v>
      </c>
      <c r="B71" s="1">
        <v>25</v>
      </c>
      <c r="C71" s="1">
        <v>4</v>
      </c>
      <c r="D71" s="4">
        <v>28.7</v>
      </c>
      <c r="E71" s="3">
        <v>2.6933292113182881</v>
      </c>
      <c r="F71" s="1">
        <v>70</v>
      </c>
      <c r="G71" s="1">
        <v>90.5</v>
      </c>
      <c r="H71" s="2">
        <v>5.2767941707515108E-2</v>
      </c>
      <c r="I71" s="3">
        <v>120.90671371295994</v>
      </c>
      <c r="J71" s="3">
        <v>0.26</v>
      </c>
    </row>
    <row r="72" spans="1:10" x14ac:dyDescent="0.3">
      <c r="B72" s="1">
        <v>25</v>
      </c>
      <c r="C72" s="1">
        <v>4</v>
      </c>
      <c r="D72" s="4">
        <v>28.7</v>
      </c>
      <c r="E72" s="3">
        <v>2.6933292113182881</v>
      </c>
      <c r="F72" s="1">
        <v>70</v>
      </c>
      <c r="G72" s="1">
        <v>90.5</v>
      </c>
      <c r="H72" s="2">
        <v>5.2767941707515108E-2</v>
      </c>
      <c r="I72" s="3">
        <v>241.81342742591988</v>
      </c>
      <c r="J72" s="3">
        <v>0.6</v>
      </c>
    </row>
    <row r="73" spans="1:10" x14ac:dyDescent="0.3">
      <c r="A73" t="s">
        <v>21</v>
      </c>
      <c r="B73" s="1">
        <v>25</v>
      </c>
      <c r="C73" s="1">
        <v>4</v>
      </c>
      <c r="D73" s="4">
        <v>28.7</v>
      </c>
      <c r="E73" s="3">
        <v>2.6933292113182881</v>
      </c>
      <c r="F73" s="1">
        <v>70</v>
      </c>
      <c r="G73" s="1">
        <v>90.5</v>
      </c>
      <c r="H73" s="2">
        <v>5.2767941707515108E-2</v>
      </c>
      <c r="I73" s="3">
        <v>120.90671371295994</v>
      </c>
      <c r="J73" s="3">
        <v>0.27</v>
      </c>
    </row>
    <row r="74" spans="1:10" x14ac:dyDescent="0.3">
      <c r="B74" s="1">
        <v>25</v>
      </c>
      <c r="C74" s="1">
        <v>4</v>
      </c>
      <c r="D74" s="4">
        <v>28.7</v>
      </c>
      <c r="E74" s="3">
        <v>2.6933292113182881</v>
      </c>
      <c r="F74" s="1">
        <v>70</v>
      </c>
      <c r="G74" s="1">
        <v>90.5</v>
      </c>
      <c r="H74" s="2">
        <v>5.2767941707515108E-2</v>
      </c>
      <c r="I74" s="3">
        <v>241.81342742591988</v>
      </c>
      <c r="J74" s="3">
        <v>0.59</v>
      </c>
    </row>
    <row r="75" spans="1:10" x14ac:dyDescent="0.3">
      <c r="A75" t="s">
        <v>22</v>
      </c>
      <c r="B75" s="1">
        <v>9.52</v>
      </c>
      <c r="C75" s="1">
        <v>3</v>
      </c>
      <c r="D75" s="4">
        <v>22.2</v>
      </c>
      <c r="E75" s="3">
        <v>3.5641600019995088</v>
      </c>
      <c r="F75" s="1">
        <v>20.64</v>
      </c>
      <c r="G75" s="1">
        <v>25.4</v>
      </c>
      <c r="H75" s="2">
        <v>3.2448510099947522E-2</v>
      </c>
      <c r="I75" s="3">
        <v>295.47063165325955</v>
      </c>
      <c r="J75" s="3">
        <v>0.15</v>
      </c>
    </row>
    <row r="76" spans="1:10" x14ac:dyDescent="0.3">
      <c r="B76" s="1">
        <v>9.52</v>
      </c>
      <c r="C76" s="1">
        <v>3</v>
      </c>
      <c r="D76" s="4">
        <v>22.2</v>
      </c>
      <c r="E76" s="3">
        <v>3.5641600019995088</v>
      </c>
      <c r="F76" s="1">
        <v>20.64</v>
      </c>
      <c r="G76" s="1">
        <v>25.4</v>
      </c>
      <c r="H76" s="2">
        <v>3.2448510099947522E-2</v>
      </c>
      <c r="I76" s="3">
        <v>343.86668338956935</v>
      </c>
      <c r="J76" s="3">
        <v>0.17</v>
      </c>
    </row>
    <row r="77" spans="1:10" x14ac:dyDescent="0.3">
      <c r="A77" t="s">
        <v>23</v>
      </c>
      <c r="B77" s="1">
        <v>12.7</v>
      </c>
      <c r="C77" s="1">
        <v>3</v>
      </c>
      <c r="D77" s="4">
        <v>19.05</v>
      </c>
      <c r="E77" s="3">
        <v>3.9766081638229425</v>
      </c>
      <c r="F77" s="1">
        <v>19.05</v>
      </c>
      <c r="G77" s="1">
        <v>25.4</v>
      </c>
      <c r="H77" s="2">
        <v>6.4212474555939286E-2</v>
      </c>
      <c r="I77" s="3">
        <v>303.25602523129726</v>
      </c>
      <c r="J77" s="3">
        <v>0.15</v>
      </c>
    </row>
    <row r="78" spans="1:10" x14ac:dyDescent="0.3">
      <c r="B78" s="1">
        <v>12.7</v>
      </c>
      <c r="C78" s="1">
        <v>3</v>
      </c>
      <c r="D78" s="4">
        <v>19.05</v>
      </c>
      <c r="E78" s="3">
        <v>3.9766081638229425</v>
      </c>
      <c r="F78" s="1">
        <v>19.05</v>
      </c>
      <c r="G78" s="1">
        <v>25.4</v>
      </c>
      <c r="H78" s="2">
        <v>6.4212474555939286E-2</v>
      </c>
      <c r="I78" s="3">
        <v>347.81022799039772</v>
      </c>
      <c r="J78" s="3">
        <v>0.17</v>
      </c>
    </row>
    <row r="79" spans="1:10" x14ac:dyDescent="0.3">
      <c r="B79" s="1">
        <v>12.7</v>
      </c>
      <c r="C79" s="1">
        <v>3</v>
      </c>
      <c r="D79" s="4">
        <v>19.05</v>
      </c>
      <c r="E79" s="3">
        <v>3.9766081638229425</v>
      </c>
      <c r="F79" s="1">
        <v>19.05</v>
      </c>
      <c r="G79" s="1">
        <v>25.4</v>
      </c>
      <c r="H79" s="2">
        <v>6.4212474555939286E-2</v>
      </c>
      <c r="I79" s="3">
        <v>411.04845126137917</v>
      </c>
      <c r="J79" s="3">
        <v>0.2</v>
      </c>
    </row>
    <row r="80" spans="1:10" x14ac:dyDescent="0.3">
      <c r="A80" t="s">
        <v>24</v>
      </c>
      <c r="B80" s="1">
        <v>15.9</v>
      </c>
      <c r="C80" s="1">
        <v>3</v>
      </c>
      <c r="D80" s="4">
        <v>15.9</v>
      </c>
      <c r="E80" s="3">
        <v>3.9766081638229425</v>
      </c>
      <c r="F80" s="1">
        <v>17.46</v>
      </c>
      <c r="G80" s="1">
        <v>25.4</v>
      </c>
      <c r="H80" s="2">
        <v>0.10835067563565463</v>
      </c>
      <c r="I80" s="3">
        <v>289.73492291565424</v>
      </c>
      <c r="J80" s="3">
        <v>0.16</v>
      </c>
    </row>
    <row r="81" spans="1:10" x14ac:dyDescent="0.3">
      <c r="B81" s="1">
        <v>15.9</v>
      </c>
      <c r="C81" s="1">
        <v>3</v>
      </c>
      <c r="D81" s="4">
        <v>15.9</v>
      </c>
      <c r="E81" s="3">
        <v>3.9766081638229425</v>
      </c>
      <c r="F81" s="1">
        <v>17.46</v>
      </c>
      <c r="G81" s="1">
        <v>25.4</v>
      </c>
      <c r="H81" s="2">
        <v>0.10835067563565463</v>
      </c>
      <c r="I81" s="3">
        <v>379.98022677462848</v>
      </c>
      <c r="J81" s="3">
        <v>0.21</v>
      </c>
    </row>
    <row r="82" spans="1:10" x14ac:dyDescent="0.3">
      <c r="A82" t="s">
        <v>25</v>
      </c>
      <c r="B82" s="1">
        <v>16</v>
      </c>
      <c r="C82" s="1">
        <v>2</v>
      </c>
      <c r="D82" s="4">
        <v>138</v>
      </c>
      <c r="E82" s="3">
        <v>3.2689999999999997</v>
      </c>
      <c r="F82" s="1">
        <v>40</v>
      </c>
      <c r="G82" s="1">
        <v>48</v>
      </c>
      <c r="H82" s="2">
        <v>1.7479097888417915E-2</v>
      </c>
      <c r="I82" s="3">
        <v>185.27396447016579</v>
      </c>
      <c r="J82" s="3">
        <v>0.15</v>
      </c>
    </row>
    <row r="83" spans="1:10" x14ac:dyDescent="0.3">
      <c r="B83" s="1">
        <v>16</v>
      </c>
      <c r="C83" s="1">
        <v>2</v>
      </c>
      <c r="D83" s="4">
        <v>138</v>
      </c>
      <c r="E83" s="3">
        <v>3.2689999999999997</v>
      </c>
      <c r="F83" s="1">
        <v>40</v>
      </c>
      <c r="G83" s="1">
        <v>48</v>
      </c>
      <c r="H83" s="2">
        <v>1.7479097888417915E-2</v>
      </c>
      <c r="I83" s="3">
        <v>211.76759699968991</v>
      </c>
      <c r="J83" s="3">
        <v>0.2</v>
      </c>
    </row>
    <row r="84" spans="1:10" x14ac:dyDescent="0.3">
      <c r="B84" s="1">
        <v>16</v>
      </c>
      <c r="C84" s="1">
        <v>2</v>
      </c>
      <c r="D84" s="4">
        <v>138</v>
      </c>
      <c r="E84" s="3">
        <v>3.2689999999999997</v>
      </c>
      <c r="F84" s="1">
        <v>40</v>
      </c>
      <c r="G84" s="1">
        <v>48</v>
      </c>
      <c r="H84" s="2">
        <v>1.7479097888417915E-2</v>
      </c>
      <c r="I84" s="3">
        <v>238.26122952921415</v>
      </c>
      <c r="J84" s="3">
        <v>0.25</v>
      </c>
    </row>
    <row r="85" spans="1:10" x14ac:dyDescent="0.3">
      <c r="B85" s="1">
        <v>16</v>
      </c>
      <c r="C85" s="1">
        <v>2</v>
      </c>
      <c r="D85" s="4">
        <v>138</v>
      </c>
      <c r="E85" s="3">
        <v>3.2689999999999997</v>
      </c>
      <c r="F85" s="1">
        <v>40</v>
      </c>
      <c r="G85" s="1">
        <v>48</v>
      </c>
      <c r="H85" s="2">
        <v>1.7479097888417915E-2</v>
      </c>
      <c r="I85" s="3">
        <v>264.70949624961241</v>
      </c>
      <c r="J85" s="3">
        <v>0.28000000000000003</v>
      </c>
    </row>
    <row r="86" spans="1:10" x14ac:dyDescent="0.3">
      <c r="B86" s="1">
        <v>16</v>
      </c>
      <c r="C86" s="1">
        <v>2</v>
      </c>
      <c r="D86" s="4">
        <v>138</v>
      </c>
      <c r="E86" s="3">
        <v>3.2689999999999997</v>
      </c>
      <c r="F86" s="1">
        <v>40</v>
      </c>
      <c r="G86" s="1">
        <v>48</v>
      </c>
      <c r="H86" s="2">
        <v>1.7479097888417915E-2</v>
      </c>
      <c r="I86" s="3">
        <v>291.15776297001077</v>
      </c>
      <c r="J86" s="3">
        <v>0.28000000000000003</v>
      </c>
    </row>
    <row r="87" spans="1:10" x14ac:dyDescent="0.3">
      <c r="B87" s="1">
        <v>16</v>
      </c>
      <c r="C87" s="1">
        <v>2</v>
      </c>
      <c r="D87" s="4">
        <v>138</v>
      </c>
      <c r="E87" s="3">
        <v>3.2689999999999997</v>
      </c>
      <c r="F87" s="1">
        <v>40</v>
      </c>
      <c r="G87" s="1">
        <v>48</v>
      </c>
      <c r="H87" s="2">
        <v>1.7479097888417915E-2</v>
      </c>
      <c r="I87" s="3">
        <v>317.65139549953489</v>
      </c>
      <c r="J87" s="3">
        <v>0.3</v>
      </c>
    </row>
    <row r="88" spans="1:10" x14ac:dyDescent="0.3">
      <c r="B88" s="1">
        <v>16</v>
      </c>
      <c r="C88" s="1">
        <v>2</v>
      </c>
      <c r="D88" s="4">
        <v>138</v>
      </c>
      <c r="E88" s="3">
        <v>3.2689999999999997</v>
      </c>
      <c r="F88" s="1">
        <v>40</v>
      </c>
      <c r="G88" s="1">
        <v>48</v>
      </c>
      <c r="H88" s="2">
        <v>1.7479097888417915E-2</v>
      </c>
      <c r="I88" s="3">
        <v>344.14502802905912</v>
      </c>
      <c r="J88" s="3">
        <v>0.33</v>
      </c>
    </row>
    <row r="89" spans="1:10" x14ac:dyDescent="0.3">
      <c r="B89" s="1">
        <v>16</v>
      </c>
      <c r="C89" s="1">
        <v>2</v>
      </c>
      <c r="D89" s="4">
        <v>138</v>
      </c>
      <c r="E89" s="3">
        <v>3.2689999999999997</v>
      </c>
      <c r="F89" s="1">
        <v>40</v>
      </c>
      <c r="G89" s="1">
        <v>48</v>
      </c>
      <c r="H89" s="2">
        <v>1.7479097888417915E-2</v>
      </c>
      <c r="I89" s="3">
        <v>370.54792894033159</v>
      </c>
      <c r="J89" s="3">
        <v>0.33</v>
      </c>
    </row>
    <row r="90" spans="1:10" x14ac:dyDescent="0.3">
      <c r="A90" t="s">
        <v>26</v>
      </c>
      <c r="B90" s="1">
        <v>16</v>
      </c>
      <c r="C90" s="1">
        <v>2</v>
      </c>
      <c r="D90" s="4">
        <v>138</v>
      </c>
      <c r="E90" s="3">
        <v>3.2689999999999997</v>
      </c>
      <c r="F90" s="1">
        <v>40</v>
      </c>
      <c r="G90" s="1">
        <v>48</v>
      </c>
      <c r="H90" s="2">
        <v>1.7479097888417915E-2</v>
      </c>
      <c r="I90" s="3">
        <v>211.76759699968991</v>
      </c>
      <c r="J90" s="3">
        <v>0.15</v>
      </c>
    </row>
    <row r="91" spans="1:10" x14ac:dyDescent="0.3">
      <c r="B91" s="1">
        <v>16</v>
      </c>
      <c r="C91" s="1">
        <v>2</v>
      </c>
      <c r="D91" s="4">
        <v>138</v>
      </c>
      <c r="E91" s="3">
        <v>3.2689999999999997</v>
      </c>
      <c r="F91" s="1">
        <v>40</v>
      </c>
      <c r="G91" s="1">
        <v>48</v>
      </c>
      <c r="H91" s="2">
        <v>1.7479097888417915E-2</v>
      </c>
      <c r="I91" s="3">
        <v>238.26122952921415</v>
      </c>
      <c r="J91" s="3">
        <v>0.18</v>
      </c>
    </row>
    <row r="92" spans="1:10" x14ac:dyDescent="0.3">
      <c r="B92" s="1">
        <v>16</v>
      </c>
      <c r="C92" s="1">
        <v>2</v>
      </c>
      <c r="D92" s="4">
        <v>138</v>
      </c>
      <c r="E92" s="3">
        <v>3.2689999999999997</v>
      </c>
      <c r="F92" s="1">
        <v>40</v>
      </c>
      <c r="G92" s="1">
        <v>48</v>
      </c>
      <c r="H92" s="2">
        <v>1.7479097888417915E-2</v>
      </c>
      <c r="I92" s="3">
        <v>264.70949624961241</v>
      </c>
      <c r="J92" s="3">
        <v>0.2</v>
      </c>
    </row>
    <row r="93" spans="1:10" x14ac:dyDescent="0.3">
      <c r="B93" s="1">
        <v>16</v>
      </c>
      <c r="C93" s="1">
        <v>2</v>
      </c>
      <c r="D93" s="4">
        <v>138</v>
      </c>
      <c r="E93" s="3">
        <v>3.2689999999999997</v>
      </c>
      <c r="F93" s="1">
        <v>40</v>
      </c>
      <c r="G93" s="1">
        <v>48</v>
      </c>
      <c r="H93" s="2">
        <v>1.7479097888417915E-2</v>
      </c>
      <c r="I93" s="3">
        <v>291.15776297001077</v>
      </c>
      <c r="J93" s="3">
        <v>0.25</v>
      </c>
    </row>
    <row r="94" spans="1:10" x14ac:dyDescent="0.3">
      <c r="B94" s="1">
        <v>16</v>
      </c>
      <c r="C94" s="1">
        <v>2</v>
      </c>
      <c r="D94" s="4">
        <v>138</v>
      </c>
      <c r="E94" s="3">
        <v>3.2689999999999997</v>
      </c>
      <c r="F94" s="1">
        <v>40</v>
      </c>
      <c r="G94" s="1">
        <v>48</v>
      </c>
      <c r="H94" s="2">
        <v>1.7479097888417915E-2</v>
      </c>
      <c r="I94" s="3">
        <v>317.65139549953489</v>
      </c>
      <c r="J94" s="3">
        <v>0.3</v>
      </c>
    </row>
    <row r="95" spans="1:10" x14ac:dyDescent="0.3">
      <c r="B95" s="1">
        <v>16</v>
      </c>
      <c r="C95" s="1">
        <v>2</v>
      </c>
      <c r="D95" s="4">
        <v>138</v>
      </c>
      <c r="E95" s="3">
        <v>3.2689999999999997</v>
      </c>
      <c r="F95" s="1">
        <v>40</v>
      </c>
      <c r="G95" s="1">
        <v>48</v>
      </c>
      <c r="H95" s="2">
        <v>1.7479097888417915E-2</v>
      </c>
      <c r="I95" s="3">
        <v>344.14502802905912</v>
      </c>
      <c r="J95" s="3">
        <v>0.33</v>
      </c>
    </row>
    <row r="96" spans="1:10" x14ac:dyDescent="0.3">
      <c r="B96" s="1">
        <v>16</v>
      </c>
      <c r="C96" s="1">
        <v>2</v>
      </c>
      <c r="D96" s="4">
        <v>138</v>
      </c>
      <c r="E96" s="3">
        <v>3.2689999999999997</v>
      </c>
      <c r="F96" s="1">
        <v>40</v>
      </c>
      <c r="G96" s="1">
        <v>48</v>
      </c>
      <c r="H96" s="2">
        <v>1.7479097888417915E-2</v>
      </c>
      <c r="I96" s="3">
        <v>370.54792894033159</v>
      </c>
      <c r="J96" s="3">
        <v>0.38</v>
      </c>
    </row>
    <row r="97" spans="1:10" x14ac:dyDescent="0.3">
      <c r="A97" t="s">
        <v>27</v>
      </c>
      <c r="B97" s="1">
        <v>16</v>
      </c>
      <c r="C97" s="1">
        <v>2</v>
      </c>
      <c r="D97" s="4">
        <v>168</v>
      </c>
      <c r="E97" s="3">
        <v>3.2689999999999997</v>
      </c>
      <c r="F97" s="1">
        <v>25</v>
      </c>
      <c r="G97" s="1">
        <v>33</v>
      </c>
      <c r="H97" s="2">
        <v>1.9393939393939394E-2</v>
      </c>
      <c r="I97" s="3">
        <v>211.76759699968994</v>
      </c>
      <c r="J97" s="3">
        <v>0.15</v>
      </c>
    </row>
    <row r="98" spans="1:10" x14ac:dyDescent="0.3">
      <c r="B98" s="1">
        <v>16</v>
      </c>
      <c r="C98" s="1">
        <v>2</v>
      </c>
      <c r="D98" s="4">
        <v>168</v>
      </c>
      <c r="E98" s="3">
        <v>3.2689999999999997</v>
      </c>
      <c r="F98" s="1">
        <v>25</v>
      </c>
      <c r="G98" s="1">
        <v>33</v>
      </c>
      <c r="H98" s="2">
        <v>1.9393939393939394E-2</v>
      </c>
      <c r="I98" s="3">
        <v>238.26122952921412</v>
      </c>
      <c r="J98" s="3">
        <v>0.18</v>
      </c>
    </row>
    <row r="99" spans="1:10" x14ac:dyDescent="0.3">
      <c r="B99" s="1">
        <v>16</v>
      </c>
      <c r="C99" s="1">
        <v>2</v>
      </c>
      <c r="D99" s="4">
        <v>168</v>
      </c>
      <c r="E99" s="3">
        <v>3.2689999999999997</v>
      </c>
      <c r="F99" s="1">
        <v>25</v>
      </c>
      <c r="G99" s="1">
        <v>33</v>
      </c>
      <c r="H99" s="2">
        <v>1.9393939393939394E-2</v>
      </c>
      <c r="I99" s="3">
        <v>264.70949624961241</v>
      </c>
      <c r="J99" s="3">
        <v>0.2</v>
      </c>
    </row>
    <row r="100" spans="1:10" x14ac:dyDescent="0.3">
      <c r="B100" s="1">
        <v>16</v>
      </c>
      <c r="C100" s="1">
        <v>2</v>
      </c>
      <c r="D100" s="4">
        <v>168</v>
      </c>
      <c r="E100" s="3">
        <v>3.2689999999999997</v>
      </c>
      <c r="F100" s="1">
        <v>25</v>
      </c>
      <c r="G100" s="1">
        <v>33</v>
      </c>
      <c r="H100" s="2">
        <v>1.9393939393939394E-2</v>
      </c>
      <c r="I100" s="3">
        <v>291.15776297001071</v>
      </c>
      <c r="J100" s="3">
        <v>0.23</v>
      </c>
    </row>
    <row r="101" spans="1:10" x14ac:dyDescent="0.3">
      <c r="B101" s="1">
        <v>16</v>
      </c>
      <c r="C101" s="1">
        <v>2</v>
      </c>
      <c r="D101" s="4">
        <v>168</v>
      </c>
      <c r="E101" s="3">
        <v>3.2689999999999997</v>
      </c>
      <c r="F101" s="1">
        <v>25</v>
      </c>
      <c r="G101" s="1">
        <v>33</v>
      </c>
      <c r="H101" s="2">
        <v>1.9393939393939394E-2</v>
      </c>
      <c r="I101" s="3">
        <v>317.65139549953489</v>
      </c>
      <c r="J101" s="3">
        <v>0.25</v>
      </c>
    </row>
    <row r="102" spans="1:10" x14ac:dyDescent="0.3">
      <c r="B102" s="1">
        <v>16</v>
      </c>
      <c r="C102" s="1">
        <v>2</v>
      </c>
      <c r="D102" s="4">
        <v>168</v>
      </c>
      <c r="E102" s="3">
        <v>3.2689999999999997</v>
      </c>
      <c r="F102" s="1">
        <v>25</v>
      </c>
      <c r="G102" s="1">
        <v>33</v>
      </c>
      <c r="H102" s="2">
        <v>1.9393939393939394E-2</v>
      </c>
      <c r="I102" s="3">
        <v>344.14502802905906</v>
      </c>
      <c r="J102" s="3">
        <v>0.3</v>
      </c>
    </row>
    <row r="103" spans="1:10" x14ac:dyDescent="0.3">
      <c r="B103" s="1">
        <v>16</v>
      </c>
      <c r="C103" s="1">
        <v>2</v>
      </c>
      <c r="D103" s="4">
        <v>168</v>
      </c>
      <c r="E103" s="3">
        <v>3.2689999999999997</v>
      </c>
      <c r="F103" s="1">
        <v>25</v>
      </c>
      <c r="G103" s="1">
        <v>33</v>
      </c>
      <c r="H103" s="2">
        <v>1.9393939393939394E-2</v>
      </c>
      <c r="I103" s="3">
        <v>370.54792894033153</v>
      </c>
      <c r="J103" s="3">
        <v>0.3</v>
      </c>
    </row>
    <row r="104" spans="1:10" x14ac:dyDescent="0.3">
      <c r="A104" t="s">
        <v>28</v>
      </c>
      <c r="B104" s="1">
        <v>16</v>
      </c>
      <c r="C104" s="1">
        <v>2</v>
      </c>
      <c r="D104" s="4">
        <v>168</v>
      </c>
      <c r="E104" s="3">
        <v>3.2689999999999997</v>
      </c>
      <c r="F104" s="1">
        <v>25</v>
      </c>
      <c r="G104" s="1">
        <v>33</v>
      </c>
      <c r="H104" s="2">
        <v>1.9393939393939394E-2</v>
      </c>
      <c r="I104" s="3">
        <v>185.27396447016577</v>
      </c>
      <c r="J104" s="3">
        <v>0.15</v>
      </c>
    </row>
    <row r="105" spans="1:10" x14ac:dyDescent="0.3">
      <c r="B105" s="1">
        <v>16</v>
      </c>
      <c r="C105" s="1">
        <v>2</v>
      </c>
      <c r="D105" s="4">
        <v>168</v>
      </c>
      <c r="E105" s="3">
        <v>3.2689999999999997</v>
      </c>
      <c r="F105" s="1">
        <v>25</v>
      </c>
      <c r="G105" s="1">
        <v>33</v>
      </c>
      <c r="H105" s="2">
        <v>1.9393939393939394E-2</v>
      </c>
      <c r="I105" s="3">
        <v>211.76759699968994</v>
      </c>
      <c r="J105" s="3">
        <v>0.18</v>
      </c>
    </row>
    <row r="106" spans="1:10" x14ac:dyDescent="0.3">
      <c r="B106" s="1">
        <v>16</v>
      </c>
      <c r="C106" s="1">
        <v>2</v>
      </c>
      <c r="D106" s="4">
        <v>168</v>
      </c>
      <c r="E106" s="3">
        <v>3.2689999999999997</v>
      </c>
      <c r="F106" s="1">
        <v>25</v>
      </c>
      <c r="G106" s="1">
        <v>33</v>
      </c>
      <c r="H106" s="2">
        <v>1.9393939393939394E-2</v>
      </c>
      <c r="I106" s="3">
        <v>238.26122952921412</v>
      </c>
      <c r="J106" s="3">
        <v>0.18</v>
      </c>
    </row>
    <row r="107" spans="1:10" x14ac:dyDescent="0.3">
      <c r="B107" s="1">
        <v>16</v>
      </c>
      <c r="C107" s="1">
        <v>2</v>
      </c>
      <c r="D107" s="4">
        <v>168</v>
      </c>
      <c r="E107" s="3">
        <v>3.2689999999999997</v>
      </c>
      <c r="F107" s="1">
        <v>25</v>
      </c>
      <c r="G107" s="1">
        <v>33</v>
      </c>
      <c r="H107" s="2">
        <v>1.9393939393939394E-2</v>
      </c>
      <c r="I107" s="3">
        <v>264.70949624961241</v>
      </c>
      <c r="J107" s="3">
        <v>0.25</v>
      </c>
    </row>
    <row r="108" spans="1:10" x14ac:dyDescent="0.3">
      <c r="B108" s="1">
        <v>16</v>
      </c>
      <c r="C108" s="1">
        <v>2</v>
      </c>
      <c r="D108" s="4">
        <v>168</v>
      </c>
      <c r="E108" s="3">
        <v>3.2689999999999997</v>
      </c>
      <c r="F108" s="1">
        <v>25</v>
      </c>
      <c r="G108" s="1">
        <v>33</v>
      </c>
      <c r="H108" s="2">
        <v>1.9393939393939394E-2</v>
      </c>
      <c r="I108" s="3">
        <v>291.15776297001071</v>
      </c>
      <c r="J108" s="3">
        <v>0.28000000000000003</v>
      </c>
    </row>
    <row r="109" spans="1:10" x14ac:dyDescent="0.3">
      <c r="B109" s="1">
        <v>16</v>
      </c>
      <c r="C109" s="1">
        <v>2</v>
      </c>
      <c r="D109" s="4">
        <v>168</v>
      </c>
      <c r="E109" s="3">
        <v>3.2689999999999997</v>
      </c>
      <c r="F109" s="1">
        <v>25</v>
      </c>
      <c r="G109" s="1">
        <v>33</v>
      </c>
      <c r="H109" s="2">
        <v>1.9393939393939394E-2</v>
      </c>
      <c r="I109" s="3">
        <v>317.65139549953489</v>
      </c>
      <c r="J109" s="3">
        <v>0.33</v>
      </c>
    </row>
    <row r="110" spans="1:10" x14ac:dyDescent="0.3">
      <c r="B110" s="1">
        <v>16</v>
      </c>
      <c r="C110" s="1">
        <v>2</v>
      </c>
      <c r="D110" s="4">
        <v>168</v>
      </c>
      <c r="E110" s="3">
        <v>3.2689999999999997</v>
      </c>
      <c r="F110" s="1">
        <v>25</v>
      </c>
      <c r="G110" s="1">
        <v>33</v>
      </c>
      <c r="H110" s="2">
        <v>1.9393939393939394E-2</v>
      </c>
      <c r="I110" s="3">
        <v>344.14502802905906</v>
      </c>
      <c r="J110" s="3">
        <v>0.38</v>
      </c>
    </row>
    <row r="111" spans="1:10" x14ac:dyDescent="0.3">
      <c r="B111" s="1">
        <v>16</v>
      </c>
      <c r="C111" s="1">
        <v>2</v>
      </c>
      <c r="D111" s="4">
        <v>168</v>
      </c>
      <c r="E111" s="3">
        <v>3.2689999999999997</v>
      </c>
      <c r="F111" s="1">
        <v>25</v>
      </c>
      <c r="G111" s="1">
        <v>33</v>
      </c>
      <c r="H111" s="2">
        <v>1.9393939393939394E-2</v>
      </c>
      <c r="I111" s="3">
        <v>370.54792894033153</v>
      </c>
      <c r="J111" s="3">
        <v>0.43</v>
      </c>
    </row>
    <row r="112" spans="1:10" x14ac:dyDescent="0.3">
      <c r="A112" t="s">
        <v>29</v>
      </c>
      <c r="B112" s="1">
        <v>16</v>
      </c>
      <c r="C112" s="1">
        <v>3</v>
      </c>
      <c r="D112" s="4">
        <v>76</v>
      </c>
      <c r="E112" s="3">
        <v>3.2689999999999997</v>
      </c>
      <c r="F112" s="1">
        <v>25</v>
      </c>
      <c r="G112" s="1">
        <v>33</v>
      </c>
      <c r="H112" s="2">
        <v>2.9281922513849066E-2</v>
      </c>
      <c r="I112" s="3">
        <v>233.30469206437246</v>
      </c>
      <c r="J112" s="3">
        <v>0.15</v>
      </c>
    </row>
    <row r="113" spans="1:10" x14ac:dyDescent="0.3">
      <c r="B113" s="1">
        <v>16</v>
      </c>
      <c r="C113" s="1">
        <v>3</v>
      </c>
      <c r="D113" s="4">
        <v>76</v>
      </c>
      <c r="E113" s="3">
        <v>3.2689999999999997</v>
      </c>
      <c r="F113" s="1">
        <v>25</v>
      </c>
      <c r="G113" s="1">
        <v>33</v>
      </c>
      <c r="H113" s="2">
        <v>2.9281922513849066E-2</v>
      </c>
      <c r="I113" s="3">
        <v>251.20389200920044</v>
      </c>
      <c r="J113" s="3">
        <v>0.18</v>
      </c>
    </row>
    <row r="114" spans="1:10" x14ac:dyDescent="0.3">
      <c r="B114" s="1">
        <v>16</v>
      </c>
      <c r="C114" s="1">
        <v>3</v>
      </c>
      <c r="D114" s="4">
        <v>76</v>
      </c>
      <c r="E114" s="3">
        <v>3.2689999999999997</v>
      </c>
      <c r="F114" s="1">
        <v>25</v>
      </c>
      <c r="G114" s="1">
        <v>33</v>
      </c>
      <c r="H114" s="2">
        <v>2.9281922513849066E-2</v>
      </c>
      <c r="I114" s="3">
        <v>269.16460123218928</v>
      </c>
      <c r="J114" s="3">
        <v>0.18</v>
      </c>
    </row>
    <row r="115" spans="1:10" x14ac:dyDescent="0.3">
      <c r="B115" s="1">
        <v>16</v>
      </c>
      <c r="C115" s="1">
        <v>3</v>
      </c>
      <c r="D115" s="4">
        <v>76</v>
      </c>
      <c r="E115" s="3">
        <v>3.2689999999999997</v>
      </c>
      <c r="F115" s="1">
        <v>25</v>
      </c>
      <c r="G115" s="1">
        <v>33</v>
      </c>
      <c r="H115" s="2">
        <v>2.9281922513849066E-2</v>
      </c>
      <c r="I115" s="3">
        <v>287.12531045517812</v>
      </c>
      <c r="J115" s="3">
        <v>0.2</v>
      </c>
    </row>
    <row r="116" spans="1:10" x14ac:dyDescent="0.3">
      <c r="B116" s="1">
        <v>16</v>
      </c>
      <c r="C116" s="1">
        <v>3</v>
      </c>
      <c r="D116" s="4">
        <v>76</v>
      </c>
      <c r="E116" s="3">
        <v>3.2689999999999997</v>
      </c>
      <c r="F116" s="1">
        <v>25</v>
      </c>
      <c r="G116" s="1">
        <v>33</v>
      </c>
      <c r="H116" s="2">
        <v>2.9281922513849066E-2</v>
      </c>
      <c r="I116" s="3">
        <v>305.08601967816708</v>
      </c>
      <c r="J116" s="3">
        <v>0.2</v>
      </c>
    </row>
    <row r="117" spans="1:10" x14ac:dyDescent="0.3">
      <c r="A117" t="s">
        <v>30</v>
      </c>
      <c r="B117" s="1">
        <v>16</v>
      </c>
      <c r="C117" s="1">
        <v>3</v>
      </c>
      <c r="D117" s="4">
        <v>76</v>
      </c>
      <c r="E117" s="3">
        <v>3.2689999999999997</v>
      </c>
      <c r="F117" s="1">
        <v>25</v>
      </c>
      <c r="G117" s="1">
        <v>33</v>
      </c>
      <c r="H117" s="2">
        <v>2.9281922513849066E-2</v>
      </c>
      <c r="I117" s="3">
        <v>251.20389200920044</v>
      </c>
      <c r="J117" s="3">
        <v>0.15</v>
      </c>
    </row>
    <row r="118" spans="1:10" x14ac:dyDescent="0.3">
      <c r="B118" s="1">
        <v>16</v>
      </c>
      <c r="C118" s="1">
        <v>3</v>
      </c>
      <c r="D118" s="4">
        <v>76</v>
      </c>
      <c r="E118" s="3">
        <v>3.2689999999999997</v>
      </c>
      <c r="F118" s="1">
        <v>25</v>
      </c>
      <c r="G118" s="1">
        <v>33</v>
      </c>
      <c r="H118" s="2">
        <v>2.9281922513849066E-2</v>
      </c>
      <c r="I118" s="3">
        <v>269.16460123218928</v>
      </c>
      <c r="J118" s="3">
        <v>0.18</v>
      </c>
    </row>
    <row r="119" spans="1:10" x14ac:dyDescent="0.3">
      <c r="B119" s="1">
        <v>16</v>
      </c>
      <c r="C119" s="1">
        <v>3</v>
      </c>
      <c r="D119" s="4">
        <v>76</v>
      </c>
      <c r="E119" s="3">
        <v>3.2689999999999997</v>
      </c>
      <c r="F119" s="1">
        <v>25</v>
      </c>
      <c r="G119" s="1">
        <v>33</v>
      </c>
      <c r="H119" s="2">
        <v>2.9281922513849066E-2</v>
      </c>
      <c r="I119" s="3">
        <v>287.12531045517812</v>
      </c>
      <c r="J119" s="3">
        <v>0.2</v>
      </c>
    </row>
    <row r="120" spans="1:10" x14ac:dyDescent="0.3">
      <c r="B120" s="1">
        <v>16</v>
      </c>
      <c r="C120" s="1">
        <v>3</v>
      </c>
      <c r="D120" s="4">
        <v>76</v>
      </c>
      <c r="E120" s="3">
        <v>3.2689999999999997</v>
      </c>
      <c r="F120" s="1">
        <v>25</v>
      </c>
      <c r="G120" s="1">
        <v>33</v>
      </c>
      <c r="H120" s="2">
        <v>2.9281922513849066E-2</v>
      </c>
      <c r="I120" s="3">
        <v>305.08601967816708</v>
      </c>
      <c r="J120" s="3">
        <v>0.2</v>
      </c>
    </row>
    <row r="121" spans="1:10" x14ac:dyDescent="0.3">
      <c r="A121" t="s">
        <v>31</v>
      </c>
      <c r="B121" s="1">
        <v>12</v>
      </c>
      <c r="C121" s="1">
        <v>2</v>
      </c>
      <c r="D121" s="4">
        <v>296</v>
      </c>
      <c r="E121" s="3">
        <v>3.2689999999999997</v>
      </c>
      <c r="F121" s="1">
        <v>25</v>
      </c>
      <c r="G121" s="1">
        <v>31</v>
      </c>
      <c r="H121" s="2">
        <v>1.2477206469672451E-2</v>
      </c>
      <c r="I121" s="3">
        <v>176.28617352026819</v>
      </c>
      <c r="J121" s="3">
        <v>0.2</v>
      </c>
    </row>
    <row r="122" spans="1:10" x14ac:dyDescent="0.3">
      <c r="B122" s="1">
        <v>12</v>
      </c>
      <c r="C122" s="1">
        <v>2</v>
      </c>
      <c r="D122" s="4">
        <v>296</v>
      </c>
      <c r="E122" s="3">
        <v>3.2689999999999997</v>
      </c>
      <c r="F122" s="1">
        <v>25</v>
      </c>
      <c r="G122" s="1">
        <v>31</v>
      </c>
      <c r="H122" s="2">
        <v>1.2477206469672451E-2</v>
      </c>
      <c r="I122" s="3">
        <v>242.34630278375195</v>
      </c>
      <c r="J122" s="3">
        <v>0.25</v>
      </c>
    </row>
    <row r="123" spans="1:10" x14ac:dyDescent="0.3">
      <c r="B123" s="1">
        <v>12</v>
      </c>
      <c r="C123" s="1">
        <v>2</v>
      </c>
      <c r="D123" s="4">
        <v>296</v>
      </c>
      <c r="E123" s="3">
        <v>3.2689999999999997</v>
      </c>
      <c r="F123" s="1">
        <v>25</v>
      </c>
      <c r="G123" s="1">
        <v>31</v>
      </c>
      <c r="H123" s="2">
        <v>1.2477206469672451E-2</v>
      </c>
      <c r="I123" s="3">
        <v>308.4064320472358</v>
      </c>
      <c r="J123" s="3">
        <v>0.33</v>
      </c>
    </row>
    <row r="124" spans="1:10" x14ac:dyDescent="0.3">
      <c r="A124" t="s">
        <v>32</v>
      </c>
      <c r="B124" s="1">
        <v>12</v>
      </c>
      <c r="C124" s="1">
        <v>2</v>
      </c>
      <c r="D124" s="4">
        <v>296</v>
      </c>
      <c r="E124" s="3">
        <v>3.2689999999999997</v>
      </c>
      <c r="F124" s="1">
        <v>25</v>
      </c>
      <c r="G124" s="1">
        <v>31</v>
      </c>
      <c r="H124" s="2">
        <v>1.2477206469672451E-2</v>
      </c>
      <c r="I124" s="3">
        <v>242.34630278375195</v>
      </c>
      <c r="J124" s="3">
        <v>0.23</v>
      </c>
    </row>
    <row r="125" spans="1:10" x14ac:dyDescent="0.3">
      <c r="B125" s="1">
        <v>12</v>
      </c>
      <c r="C125" s="1">
        <v>2</v>
      </c>
      <c r="D125" s="4">
        <v>296</v>
      </c>
      <c r="E125" s="3">
        <v>3.2689999999999997</v>
      </c>
      <c r="F125" s="1">
        <v>25</v>
      </c>
      <c r="G125" s="1">
        <v>31</v>
      </c>
      <c r="H125" s="2">
        <v>1.2477206469672451E-2</v>
      </c>
      <c r="I125" s="3">
        <v>308.4064320472358</v>
      </c>
      <c r="J125" s="3">
        <v>0.28000000000000003</v>
      </c>
    </row>
    <row r="126" spans="1:10" x14ac:dyDescent="0.3">
      <c r="A126" t="s">
        <v>33</v>
      </c>
      <c r="B126" s="1">
        <v>12</v>
      </c>
      <c r="C126" s="1">
        <v>3</v>
      </c>
      <c r="D126" s="4">
        <v>142</v>
      </c>
      <c r="E126" s="3">
        <v>3.2689999999999997</v>
      </c>
      <c r="F126" s="1">
        <v>25</v>
      </c>
      <c r="G126" s="1">
        <v>31</v>
      </c>
      <c r="H126" s="2">
        <v>1.9527117912145887E-2</v>
      </c>
      <c r="I126" s="3">
        <v>208.77973928930371</v>
      </c>
      <c r="J126" s="3">
        <v>0.18</v>
      </c>
    </row>
    <row r="127" spans="1:10" x14ac:dyDescent="0.3">
      <c r="B127" s="1">
        <v>12</v>
      </c>
      <c r="C127" s="1">
        <v>3</v>
      </c>
      <c r="D127" s="4">
        <v>142</v>
      </c>
      <c r="E127" s="3">
        <v>3.2689999999999997</v>
      </c>
      <c r="F127" s="1">
        <v>25</v>
      </c>
      <c r="G127" s="1">
        <v>31</v>
      </c>
      <c r="H127" s="2">
        <v>1.9527117912145887E-2</v>
      </c>
      <c r="I127" s="3">
        <v>253.50000168297348</v>
      </c>
      <c r="J127" s="3">
        <v>0.23</v>
      </c>
    </row>
    <row r="128" spans="1:10" x14ac:dyDescent="0.3">
      <c r="B128" s="1">
        <v>12</v>
      </c>
      <c r="C128" s="1">
        <v>3</v>
      </c>
      <c r="D128" s="4">
        <v>142</v>
      </c>
      <c r="E128" s="3">
        <v>3.2689999999999997</v>
      </c>
      <c r="F128" s="1">
        <v>25</v>
      </c>
      <c r="G128" s="1">
        <v>31</v>
      </c>
      <c r="H128" s="2">
        <v>1.9527117912145887E-2</v>
      </c>
      <c r="I128" s="3">
        <v>298.2202640766431</v>
      </c>
      <c r="J128" s="3">
        <v>0.25</v>
      </c>
    </row>
    <row r="129" spans="1:10" x14ac:dyDescent="0.3">
      <c r="A129" t="s">
        <v>34</v>
      </c>
      <c r="B129" s="1">
        <v>12</v>
      </c>
      <c r="C129" s="1">
        <v>3</v>
      </c>
      <c r="D129" s="4">
        <v>142</v>
      </c>
      <c r="E129" s="3">
        <v>3.2689999999999997</v>
      </c>
      <c r="F129" s="1">
        <v>25</v>
      </c>
      <c r="G129" s="1">
        <v>31</v>
      </c>
      <c r="H129" s="2">
        <v>1.9527117912145887E-2</v>
      </c>
      <c r="I129" s="3">
        <v>208.77973928930371</v>
      </c>
      <c r="J129" s="3">
        <v>0.18</v>
      </c>
    </row>
    <row r="130" spans="1:10" x14ac:dyDescent="0.3">
      <c r="B130" s="1">
        <v>12</v>
      </c>
      <c r="C130" s="1">
        <v>3</v>
      </c>
      <c r="D130" s="4">
        <v>142</v>
      </c>
      <c r="E130" s="3">
        <v>3.2689999999999997</v>
      </c>
      <c r="F130" s="1">
        <v>25</v>
      </c>
      <c r="G130" s="1">
        <v>31</v>
      </c>
      <c r="H130" s="2">
        <v>1.9527117912145887E-2</v>
      </c>
      <c r="I130" s="3">
        <v>253.50000168297348</v>
      </c>
      <c r="J130" s="3">
        <v>0.23</v>
      </c>
    </row>
    <row r="131" spans="1:10" x14ac:dyDescent="0.3">
      <c r="B131" s="1">
        <v>12</v>
      </c>
      <c r="C131" s="1">
        <v>3</v>
      </c>
      <c r="D131" s="4">
        <v>142</v>
      </c>
      <c r="E131" s="3">
        <v>3.2689999999999997</v>
      </c>
      <c r="F131" s="1">
        <v>25</v>
      </c>
      <c r="G131" s="1">
        <v>31</v>
      </c>
      <c r="H131" s="2">
        <v>1.9527117912145887E-2</v>
      </c>
      <c r="I131" s="3">
        <v>298.2202640766431</v>
      </c>
      <c r="J131" s="3">
        <v>0.25</v>
      </c>
    </row>
    <row r="132" spans="1:10" x14ac:dyDescent="0.3">
      <c r="A132" t="s">
        <v>35</v>
      </c>
      <c r="B132" s="1">
        <v>12</v>
      </c>
      <c r="C132" s="1">
        <v>4</v>
      </c>
      <c r="D132" s="4">
        <v>90.67</v>
      </c>
      <c r="E132" s="3">
        <v>3.2689999999999997</v>
      </c>
      <c r="F132" s="1">
        <v>25</v>
      </c>
      <c r="G132" s="1">
        <v>31</v>
      </c>
      <c r="H132" s="2">
        <v>2.6968773854657992E-2</v>
      </c>
      <c r="I132" s="3">
        <v>226.45530266575949</v>
      </c>
      <c r="J132" s="3">
        <v>0.15</v>
      </c>
    </row>
    <row r="133" spans="1:10" x14ac:dyDescent="0.3">
      <c r="B133" s="1">
        <v>12</v>
      </c>
      <c r="C133" s="1">
        <v>4</v>
      </c>
      <c r="D133" s="4">
        <v>90.67</v>
      </c>
      <c r="E133" s="3">
        <v>3.2689999999999997</v>
      </c>
      <c r="F133" s="1">
        <v>25</v>
      </c>
      <c r="G133" s="1">
        <v>31</v>
      </c>
      <c r="H133" s="2">
        <v>2.6968773854657992E-2</v>
      </c>
      <c r="I133" s="3">
        <v>260.41389561049635</v>
      </c>
      <c r="J133" s="3">
        <v>0.15</v>
      </c>
    </row>
    <row r="134" spans="1:10" x14ac:dyDescent="0.3">
      <c r="B134" s="1">
        <v>12</v>
      </c>
      <c r="C134" s="1">
        <v>4</v>
      </c>
      <c r="D134" s="4">
        <v>90.67</v>
      </c>
      <c r="E134" s="3">
        <v>3.2689999999999997</v>
      </c>
      <c r="F134" s="1">
        <v>25</v>
      </c>
      <c r="G134" s="1">
        <v>31</v>
      </c>
      <c r="H134" s="2">
        <v>2.6968773854657992E-2</v>
      </c>
      <c r="I134" s="3">
        <v>294.3724885552333</v>
      </c>
      <c r="J134" s="3">
        <v>0.18</v>
      </c>
    </row>
    <row r="135" spans="1:10" x14ac:dyDescent="0.3">
      <c r="A135" t="s">
        <v>36</v>
      </c>
      <c r="B135" s="1">
        <v>12</v>
      </c>
      <c r="C135" s="1">
        <v>4</v>
      </c>
      <c r="D135" s="4">
        <v>90.67</v>
      </c>
      <c r="E135" s="3">
        <v>3.2689999999999997</v>
      </c>
      <c r="F135" s="1">
        <v>25</v>
      </c>
      <c r="G135" s="1">
        <v>31</v>
      </c>
      <c r="H135" s="2">
        <v>2.6968773854657992E-2</v>
      </c>
      <c r="I135" s="3">
        <v>226.45530266575949</v>
      </c>
      <c r="J135" s="3">
        <v>0.18</v>
      </c>
    </row>
    <row r="136" spans="1:10" x14ac:dyDescent="0.3">
      <c r="B136" s="1">
        <v>12</v>
      </c>
      <c r="C136" s="1">
        <v>4</v>
      </c>
      <c r="D136" s="4">
        <v>90.67</v>
      </c>
      <c r="E136" s="3">
        <v>3.2689999999999997</v>
      </c>
      <c r="F136" s="1">
        <v>25</v>
      </c>
      <c r="G136" s="1">
        <v>31</v>
      </c>
      <c r="H136" s="2">
        <v>2.6968773854657992E-2</v>
      </c>
      <c r="I136" s="3">
        <v>260.41389561049635</v>
      </c>
      <c r="J136" s="3">
        <v>0.2</v>
      </c>
    </row>
    <row r="137" spans="1:10" x14ac:dyDescent="0.3">
      <c r="B137" s="1">
        <v>12</v>
      </c>
      <c r="C137" s="1">
        <v>4</v>
      </c>
      <c r="D137" s="4">
        <v>90.67</v>
      </c>
      <c r="E137" s="3">
        <v>3.2689999999999997</v>
      </c>
      <c r="F137" s="1">
        <v>25</v>
      </c>
      <c r="G137" s="1">
        <v>31</v>
      </c>
      <c r="H137" s="2">
        <v>2.6968773854657992E-2</v>
      </c>
      <c r="I137" s="3">
        <v>294.3724885552333</v>
      </c>
      <c r="J137" s="3">
        <v>0.23</v>
      </c>
    </row>
    <row r="138" spans="1:10" x14ac:dyDescent="0.3">
      <c r="A138" t="s">
        <v>37</v>
      </c>
      <c r="B138" s="1">
        <v>10</v>
      </c>
      <c r="C138" s="1">
        <v>1</v>
      </c>
      <c r="D138" s="4">
        <v>45</v>
      </c>
      <c r="E138" s="3">
        <v>2.8</v>
      </c>
      <c r="F138" s="1">
        <v>40</v>
      </c>
      <c r="G138" s="1">
        <v>45</v>
      </c>
      <c r="H138" s="2">
        <v>1.140137516348016E-2</v>
      </c>
      <c r="I138" s="3">
        <v>274.14363221273135</v>
      </c>
      <c r="J138" s="3">
        <v>0.16</v>
      </c>
    </row>
    <row r="139" spans="1:10" x14ac:dyDescent="0.3">
      <c r="B139" s="1">
        <v>10</v>
      </c>
      <c r="C139" s="1">
        <v>1</v>
      </c>
      <c r="D139" s="4">
        <v>45</v>
      </c>
      <c r="E139" s="3">
        <v>2.8</v>
      </c>
      <c r="F139" s="1">
        <v>40</v>
      </c>
      <c r="G139" s="1">
        <v>45</v>
      </c>
      <c r="H139" s="2">
        <v>1.140137516348016E-2</v>
      </c>
      <c r="I139" s="3">
        <v>294.20292237463855</v>
      </c>
      <c r="J139" s="3">
        <v>0.18</v>
      </c>
    </row>
    <row r="140" spans="1:10" x14ac:dyDescent="0.3">
      <c r="B140" s="1">
        <v>10</v>
      </c>
      <c r="C140" s="1">
        <v>1</v>
      </c>
      <c r="D140" s="4">
        <v>45</v>
      </c>
      <c r="E140" s="3">
        <v>2.8</v>
      </c>
      <c r="F140" s="1">
        <v>40</v>
      </c>
      <c r="G140" s="1">
        <v>45</v>
      </c>
      <c r="H140" s="2">
        <v>1.140137516348016E-2</v>
      </c>
      <c r="I140" s="3">
        <v>316.93678455813335</v>
      </c>
      <c r="J140" s="3">
        <v>0.2</v>
      </c>
    </row>
    <row r="141" spans="1:10" x14ac:dyDescent="0.3">
      <c r="B141" s="1">
        <v>10</v>
      </c>
      <c r="C141" s="1">
        <v>1</v>
      </c>
      <c r="D141" s="4">
        <v>45</v>
      </c>
      <c r="E141" s="3">
        <v>2.8</v>
      </c>
      <c r="F141" s="1">
        <v>40</v>
      </c>
      <c r="G141" s="1">
        <v>45</v>
      </c>
      <c r="H141" s="2">
        <v>1.140137516348016E-2</v>
      </c>
      <c r="I141" s="3">
        <v>336.9960747200405</v>
      </c>
      <c r="J141" s="3">
        <v>0.22</v>
      </c>
    </row>
    <row r="142" spans="1:10" x14ac:dyDescent="0.3">
      <c r="B142" s="1">
        <v>10</v>
      </c>
      <c r="C142" s="1">
        <v>1</v>
      </c>
      <c r="D142" s="4">
        <v>45</v>
      </c>
      <c r="E142" s="3">
        <v>2.8</v>
      </c>
      <c r="F142" s="1">
        <v>40</v>
      </c>
      <c r="G142" s="1">
        <v>45</v>
      </c>
      <c r="H142" s="2">
        <v>1.140137516348016E-2</v>
      </c>
      <c r="I142" s="3">
        <v>359.72993690353525</v>
      </c>
      <c r="J142" s="3">
        <v>0.24</v>
      </c>
    </row>
    <row r="143" spans="1:10" x14ac:dyDescent="0.3">
      <c r="B143" s="1">
        <v>10</v>
      </c>
      <c r="C143" s="1">
        <v>1</v>
      </c>
      <c r="D143" s="4">
        <v>45</v>
      </c>
      <c r="E143" s="3">
        <v>2.8</v>
      </c>
      <c r="F143" s="1">
        <v>40</v>
      </c>
      <c r="G143" s="1">
        <v>45</v>
      </c>
      <c r="H143" s="2">
        <v>1.140137516348016E-2</v>
      </c>
      <c r="I143" s="3">
        <v>379.78922706544245</v>
      </c>
      <c r="J143" s="3">
        <v>0.26</v>
      </c>
    </row>
    <row r="144" spans="1:10" x14ac:dyDescent="0.3">
      <c r="B144" s="1">
        <v>10</v>
      </c>
      <c r="C144" s="1">
        <v>1</v>
      </c>
      <c r="D144" s="4">
        <v>45</v>
      </c>
      <c r="E144" s="3">
        <v>2.8</v>
      </c>
      <c r="F144" s="1">
        <v>40</v>
      </c>
      <c r="G144" s="1">
        <v>45</v>
      </c>
      <c r="H144" s="2">
        <v>1.140137516348016E-2</v>
      </c>
      <c r="I144" s="3">
        <v>403.86037525973109</v>
      </c>
      <c r="J144" s="3">
        <v>0.28000000000000003</v>
      </c>
    </row>
    <row r="145" spans="1:10" x14ac:dyDescent="0.3">
      <c r="A145" t="s">
        <v>38</v>
      </c>
      <c r="B145" s="1">
        <v>10</v>
      </c>
      <c r="C145" s="1">
        <v>1</v>
      </c>
      <c r="D145" s="4">
        <v>45</v>
      </c>
      <c r="E145" s="3">
        <v>2.8</v>
      </c>
      <c r="F145" s="1">
        <v>40</v>
      </c>
      <c r="G145" s="1">
        <v>45</v>
      </c>
      <c r="H145" s="2">
        <v>1.140137516348016E-2</v>
      </c>
      <c r="I145" s="3">
        <v>251.40977002923657</v>
      </c>
      <c r="J145" s="3">
        <v>0.15</v>
      </c>
    </row>
    <row r="146" spans="1:10" x14ac:dyDescent="0.3">
      <c r="B146" s="1">
        <v>10</v>
      </c>
      <c r="C146" s="1">
        <v>1</v>
      </c>
      <c r="D146" s="4">
        <v>45</v>
      </c>
      <c r="E146" s="3">
        <v>2.8</v>
      </c>
      <c r="F146" s="1">
        <v>40</v>
      </c>
      <c r="G146" s="1">
        <v>45</v>
      </c>
      <c r="H146" s="2">
        <v>1.140137516348016E-2</v>
      </c>
      <c r="I146" s="3">
        <v>274.14363221273135</v>
      </c>
      <c r="J146" s="3">
        <v>0.17</v>
      </c>
    </row>
    <row r="147" spans="1:10" x14ac:dyDescent="0.3">
      <c r="B147" s="1">
        <v>10</v>
      </c>
      <c r="C147" s="1">
        <v>1</v>
      </c>
      <c r="D147" s="4">
        <v>45</v>
      </c>
      <c r="E147" s="3">
        <v>2.8</v>
      </c>
      <c r="F147" s="1">
        <v>40</v>
      </c>
      <c r="G147" s="1">
        <v>45</v>
      </c>
      <c r="H147" s="2">
        <v>1.140137516348016E-2</v>
      </c>
      <c r="I147" s="3">
        <v>295.54020838543232</v>
      </c>
      <c r="J147" s="3">
        <v>0.19</v>
      </c>
    </row>
    <row r="148" spans="1:10" x14ac:dyDescent="0.3">
      <c r="B148" s="1">
        <v>10</v>
      </c>
      <c r="C148" s="1">
        <v>1</v>
      </c>
      <c r="D148" s="4">
        <v>45</v>
      </c>
      <c r="E148" s="3">
        <v>2.8</v>
      </c>
      <c r="F148" s="1">
        <v>40</v>
      </c>
      <c r="G148" s="1">
        <v>45</v>
      </c>
      <c r="H148" s="2">
        <v>1.140137516348016E-2</v>
      </c>
      <c r="I148" s="3">
        <v>314.93085554194266</v>
      </c>
      <c r="J148" s="3">
        <v>0.2</v>
      </c>
    </row>
    <row r="149" spans="1:10" x14ac:dyDescent="0.3">
      <c r="B149" s="1">
        <v>10</v>
      </c>
      <c r="C149" s="1">
        <v>1</v>
      </c>
      <c r="D149" s="4">
        <v>45</v>
      </c>
      <c r="E149" s="3">
        <v>2.8</v>
      </c>
      <c r="F149" s="1">
        <v>40</v>
      </c>
      <c r="G149" s="1">
        <v>45</v>
      </c>
      <c r="H149" s="2">
        <v>1.140137516348016E-2</v>
      </c>
      <c r="I149" s="3">
        <v>336.9960747200405</v>
      </c>
      <c r="J149" s="3">
        <v>0.22</v>
      </c>
    </row>
    <row r="150" spans="1:10" x14ac:dyDescent="0.3">
      <c r="B150" s="1">
        <v>10</v>
      </c>
      <c r="C150" s="1">
        <v>1</v>
      </c>
      <c r="D150" s="4">
        <v>45</v>
      </c>
      <c r="E150" s="3">
        <v>2.8</v>
      </c>
      <c r="F150" s="1">
        <v>40</v>
      </c>
      <c r="G150" s="1">
        <v>45</v>
      </c>
      <c r="H150" s="2">
        <v>1.140137516348016E-2</v>
      </c>
      <c r="I150" s="3">
        <v>359.06129389813839</v>
      </c>
      <c r="J150" s="3">
        <v>0.24</v>
      </c>
    </row>
    <row r="151" spans="1:10" x14ac:dyDescent="0.3">
      <c r="B151" s="1">
        <v>10</v>
      </c>
      <c r="C151" s="1">
        <v>1</v>
      </c>
      <c r="D151" s="4">
        <v>45</v>
      </c>
      <c r="E151" s="3">
        <v>2.8</v>
      </c>
      <c r="F151" s="1">
        <v>40</v>
      </c>
      <c r="G151" s="1">
        <v>45</v>
      </c>
      <c r="H151" s="2">
        <v>1.140137516348016E-2</v>
      </c>
      <c r="I151" s="3">
        <v>377.78329804925175</v>
      </c>
      <c r="J151" s="3">
        <v>0.26</v>
      </c>
    </row>
    <row r="152" spans="1:10" x14ac:dyDescent="0.3">
      <c r="B152" s="1">
        <v>10</v>
      </c>
      <c r="C152" s="1">
        <v>1</v>
      </c>
      <c r="D152" s="4">
        <v>45</v>
      </c>
      <c r="E152" s="3">
        <v>2.8</v>
      </c>
      <c r="F152" s="1">
        <v>40</v>
      </c>
      <c r="G152" s="1">
        <v>45</v>
      </c>
      <c r="H152" s="2">
        <v>1.140137516348016E-2</v>
      </c>
      <c r="I152" s="3">
        <v>395.83665919496815</v>
      </c>
      <c r="J152" s="3">
        <v>0.28999999999999998</v>
      </c>
    </row>
    <row r="153" spans="1:10" x14ac:dyDescent="0.3">
      <c r="A153" t="s">
        <v>39</v>
      </c>
      <c r="B153" s="1">
        <v>20</v>
      </c>
      <c r="C153" s="1">
        <v>1</v>
      </c>
      <c r="D153" s="4">
        <v>40</v>
      </c>
      <c r="E153" s="3">
        <v>2.8</v>
      </c>
      <c r="F153" s="1">
        <v>40</v>
      </c>
      <c r="G153" s="1">
        <v>50</v>
      </c>
      <c r="H153" s="2">
        <v>5.4123833185813645E-2</v>
      </c>
      <c r="I153" s="3">
        <v>201.33268539095971</v>
      </c>
      <c r="J153" s="3">
        <v>0.17</v>
      </c>
    </row>
    <row r="154" spans="1:10" x14ac:dyDescent="0.3">
      <c r="B154" s="1">
        <v>20</v>
      </c>
      <c r="C154" s="1">
        <v>1</v>
      </c>
      <c r="D154" s="4">
        <v>40</v>
      </c>
      <c r="E154" s="3">
        <v>2.8</v>
      </c>
      <c r="F154" s="1">
        <v>40</v>
      </c>
      <c r="G154" s="1">
        <v>50</v>
      </c>
      <c r="H154" s="2">
        <v>5.4123833185813645E-2</v>
      </c>
      <c r="I154" s="3">
        <v>235.28147905021083</v>
      </c>
      <c r="J154" s="3">
        <v>0.2</v>
      </c>
    </row>
    <row r="155" spans="1:10" x14ac:dyDescent="0.3">
      <c r="B155" s="1">
        <v>20</v>
      </c>
      <c r="C155" s="1">
        <v>1</v>
      </c>
      <c r="D155" s="4">
        <v>40</v>
      </c>
      <c r="E155" s="3">
        <v>2.8</v>
      </c>
      <c r="F155" s="1">
        <v>40</v>
      </c>
      <c r="G155" s="1">
        <v>50</v>
      </c>
      <c r="H155" s="2">
        <v>5.4123833185813645E-2</v>
      </c>
      <c r="I155" s="3">
        <v>268.14100660274795</v>
      </c>
      <c r="J155" s="3">
        <v>0.24</v>
      </c>
    </row>
    <row r="156" spans="1:10" x14ac:dyDescent="0.3">
      <c r="B156" s="1">
        <v>20</v>
      </c>
      <c r="C156" s="1">
        <v>1</v>
      </c>
      <c r="D156" s="4">
        <v>40</v>
      </c>
      <c r="E156" s="3">
        <v>2.8</v>
      </c>
      <c r="F156" s="1">
        <v>40</v>
      </c>
      <c r="G156" s="1">
        <v>50</v>
      </c>
      <c r="H156" s="2">
        <v>5.4123833185813645E-2</v>
      </c>
      <c r="I156" s="3">
        <v>300.81898980416611</v>
      </c>
      <c r="J156" s="3">
        <v>0.27</v>
      </c>
    </row>
    <row r="157" spans="1:10" x14ac:dyDescent="0.3">
      <c r="B157" s="1">
        <v>20</v>
      </c>
      <c r="C157" s="1">
        <v>1</v>
      </c>
      <c r="D157" s="4">
        <v>40</v>
      </c>
      <c r="E157" s="3">
        <v>2.8</v>
      </c>
      <c r="F157" s="1">
        <v>40</v>
      </c>
      <c r="G157" s="1">
        <v>50</v>
      </c>
      <c r="H157" s="2">
        <v>5.4123833185813645E-2</v>
      </c>
      <c r="I157" s="3">
        <v>333.13388430334641</v>
      </c>
      <c r="J157" s="3">
        <v>0.32</v>
      </c>
    </row>
    <row r="158" spans="1:10" x14ac:dyDescent="0.3">
      <c r="B158" s="1">
        <v>20</v>
      </c>
      <c r="C158" s="1">
        <v>1</v>
      </c>
      <c r="D158" s="4">
        <v>40</v>
      </c>
      <c r="E158" s="3">
        <v>2.8</v>
      </c>
      <c r="F158" s="1">
        <v>40</v>
      </c>
      <c r="G158" s="1">
        <v>50</v>
      </c>
      <c r="H158" s="2">
        <v>5.4123833185813645E-2</v>
      </c>
      <c r="I158" s="3">
        <v>366.35650055812141</v>
      </c>
      <c r="J158" s="3">
        <v>0.34</v>
      </c>
    </row>
    <row r="159" spans="1:10" x14ac:dyDescent="0.3">
      <c r="A159" t="s">
        <v>40</v>
      </c>
      <c r="B159" s="1">
        <v>20</v>
      </c>
      <c r="C159" s="1">
        <v>1</v>
      </c>
      <c r="D159" s="4">
        <v>40</v>
      </c>
      <c r="E159" s="3">
        <v>2.8</v>
      </c>
      <c r="F159" s="1">
        <v>40</v>
      </c>
      <c r="G159" s="1">
        <v>50</v>
      </c>
      <c r="H159" s="2">
        <v>5.4123833185813645E-2</v>
      </c>
      <c r="I159" s="3">
        <v>169.74396829625545</v>
      </c>
      <c r="J159" s="3">
        <v>0.16</v>
      </c>
    </row>
    <row r="160" spans="1:10" x14ac:dyDescent="0.3">
      <c r="B160" s="1">
        <v>20</v>
      </c>
      <c r="C160" s="1">
        <v>1</v>
      </c>
      <c r="D160" s="4">
        <v>40</v>
      </c>
      <c r="E160" s="3">
        <v>2.8</v>
      </c>
      <c r="F160" s="1">
        <v>40</v>
      </c>
      <c r="G160" s="1">
        <v>50</v>
      </c>
      <c r="H160" s="2">
        <v>5.4123833185813645E-2</v>
      </c>
      <c r="I160" s="3">
        <v>201.87731844431667</v>
      </c>
      <c r="J160" s="3">
        <v>0.2</v>
      </c>
    </row>
    <row r="161" spans="1:10" x14ac:dyDescent="0.3">
      <c r="B161" s="1">
        <v>20</v>
      </c>
      <c r="C161" s="1">
        <v>1</v>
      </c>
      <c r="D161" s="4">
        <v>40</v>
      </c>
      <c r="E161" s="3">
        <v>2.8</v>
      </c>
      <c r="F161" s="1">
        <v>40</v>
      </c>
      <c r="G161" s="1">
        <v>50</v>
      </c>
      <c r="H161" s="2">
        <v>5.4123833185813645E-2</v>
      </c>
      <c r="I161" s="3">
        <v>234.73684599685382</v>
      </c>
      <c r="J161" s="3">
        <v>0.24</v>
      </c>
    </row>
    <row r="162" spans="1:10" x14ac:dyDescent="0.3">
      <c r="B162" s="1">
        <v>20</v>
      </c>
      <c r="C162" s="1">
        <v>1</v>
      </c>
      <c r="D162" s="4">
        <v>40</v>
      </c>
      <c r="E162" s="3">
        <v>2.8</v>
      </c>
      <c r="F162" s="1">
        <v>40</v>
      </c>
      <c r="G162" s="1">
        <v>50</v>
      </c>
      <c r="H162" s="2">
        <v>5.4123833185813645E-2</v>
      </c>
      <c r="I162" s="3">
        <v>267.23328484715302</v>
      </c>
      <c r="J162" s="3">
        <v>0.27</v>
      </c>
    </row>
    <row r="163" spans="1:10" x14ac:dyDescent="0.3">
      <c r="B163" s="1">
        <v>20</v>
      </c>
      <c r="C163" s="1">
        <v>1</v>
      </c>
      <c r="D163" s="4">
        <v>40</v>
      </c>
      <c r="E163" s="3">
        <v>2.8</v>
      </c>
      <c r="F163" s="1">
        <v>40</v>
      </c>
      <c r="G163" s="1">
        <v>50</v>
      </c>
      <c r="H163" s="2">
        <v>5.4123833185813645E-2</v>
      </c>
      <c r="I163" s="3">
        <v>301.0005341552851</v>
      </c>
      <c r="J163" s="3">
        <v>0.28999999999999998</v>
      </c>
    </row>
    <row r="164" spans="1:10" x14ac:dyDescent="0.3">
      <c r="B164" s="1">
        <v>20</v>
      </c>
      <c r="C164" s="1">
        <v>1</v>
      </c>
      <c r="D164" s="4">
        <v>40</v>
      </c>
      <c r="E164" s="3">
        <v>2.8</v>
      </c>
      <c r="F164" s="1">
        <v>40</v>
      </c>
      <c r="G164" s="1">
        <v>50</v>
      </c>
      <c r="H164" s="2">
        <v>5.4123833185813645E-2</v>
      </c>
      <c r="I164" s="3">
        <v>333.13388430334641</v>
      </c>
      <c r="J164" s="3">
        <v>0.32</v>
      </c>
    </row>
    <row r="165" spans="1:10" x14ac:dyDescent="0.3">
      <c r="B165" s="1">
        <v>20</v>
      </c>
      <c r="C165" s="1">
        <v>1</v>
      </c>
      <c r="D165" s="4">
        <v>40</v>
      </c>
      <c r="E165" s="3">
        <v>2.8</v>
      </c>
      <c r="F165" s="1">
        <v>40</v>
      </c>
      <c r="G165" s="1">
        <v>50</v>
      </c>
      <c r="H165" s="2">
        <v>5.4123833185813645E-2</v>
      </c>
      <c r="I165" s="3">
        <v>348.7466984995794</v>
      </c>
      <c r="J165" s="3">
        <v>0.33</v>
      </c>
    </row>
    <row r="166" spans="1:10" x14ac:dyDescent="0.3">
      <c r="A166" t="s">
        <v>41</v>
      </c>
      <c r="B166" s="1">
        <v>10</v>
      </c>
      <c r="C166" s="1">
        <v>1</v>
      </c>
      <c r="D166" s="4">
        <v>45</v>
      </c>
      <c r="E166" s="3">
        <v>2.8</v>
      </c>
      <c r="F166" s="1">
        <v>40</v>
      </c>
      <c r="G166" s="1">
        <v>45</v>
      </c>
      <c r="H166" s="2">
        <v>7.9598096831560491E-3</v>
      </c>
      <c r="I166" s="3">
        <v>310.30985357473827</v>
      </c>
      <c r="J166" s="3">
        <v>0.15</v>
      </c>
    </row>
    <row r="167" spans="1:10" x14ac:dyDescent="0.3">
      <c r="B167" s="1">
        <v>10</v>
      </c>
      <c r="C167" s="1">
        <v>1</v>
      </c>
      <c r="D167" s="4">
        <v>45</v>
      </c>
      <c r="E167" s="3">
        <v>2.8</v>
      </c>
      <c r="F167" s="1">
        <v>40</v>
      </c>
      <c r="G167" s="1">
        <v>45</v>
      </c>
      <c r="H167" s="2">
        <v>7.9598096831560491E-3</v>
      </c>
      <c r="I167" s="3">
        <v>330.28688277482877</v>
      </c>
      <c r="J167" s="3">
        <v>0.19</v>
      </c>
    </row>
    <row r="168" spans="1:10" x14ac:dyDescent="0.3">
      <c r="B168" s="1">
        <v>10</v>
      </c>
      <c r="C168" s="1">
        <v>1</v>
      </c>
      <c r="D168" s="4">
        <v>45</v>
      </c>
      <c r="E168" s="3">
        <v>2.8</v>
      </c>
      <c r="F168" s="1">
        <v>40</v>
      </c>
      <c r="G168" s="1">
        <v>45</v>
      </c>
      <c r="H168" s="2">
        <v>7.9598096831560491E-3</v>
      </c>
      <c r="I168" s="3">
        <v>334.28228861484689</v>
      </c>
      <c r="J168" s="3">
        <v>0.2</v>
      </c>
    </row>
    <row r="169" spans="1:10" x14ac:dyDescent="0.3">
      <c r="B169" s="1">
        <v>10</v>
      </c>
      <c r="C169" s="1">
        <v>1</v>
      </c>
      <c r="D169" s="4">
        <v>45</v>
      </c>
      <c r="E169" s="3">
        <v>2.8</v>
      </c>
      <c r="F169" s="1">
        <v>40</v>
      </c>
      <c r="G169" s="1">
        <v>45</v>
      </c>
      <c r="H169" s="2">
        <v>7.9598096831560491E-3</v>
      </c>
      <c r="I169" s="3">
        <v>351.15177993936766</v>
      </c>
      <c r="J169" s="3">
        <v>0.23</v>
      </c>
    </row>
    <row r="170" spans="1:10" x14ac:dyDescent="0.3">
      <c r="B170" s="1">
        <v>10</v>
      </c>
      <c r="C170" s="1">
        <v>1</v>
      </c>
      <c r="D170" s="4">
        <v>45</v>
      </c>
      <c r="E170" s="3">
        <v>2.8</v>
      </c>
      <c r="F170" s="1">
        <v>40</v>
      </c>
      <c r="G170" s="1">
        <v>45</v>
      </c>
      <c r="H170" s="2">
        <v>7.9598096831560491E-3</v>
      </c>
      <c r="I170" s="3">
        <v>362.69406347719769</v>
      </c>
      <c r="J170" s="3">
        <v>0.25</v>
      </c>
    </row>
    <row r="171" spans="1:10" x14ac:dyDescent="0.3">
      <c r="B171" s="1">
        <v>10</v>
      </c>
      <c r="C171" s="1">
        <v>1</v>
      </c>
      <c r="D171" s="4">
        <v>45</v>
      </c>
      <c r="E171" s="3">
        <v>2.8</v>
      </c>
      <c r="F171" s="1">
        <v>40</v>
      </c>
      <c r="G171" s="1">
        <v>45</v>
      </c>
      <c r="H171" s="2">
        <v>7.9598096831560491E-3</v>
      </c>
      <c r="I171" s="3">
        <v>375.5681489617005</v>
      </c>
      <c r="J171" s="3">
        <v>0.28000000000000003</v>
      </c>
    </row>
    <row r="172" spans="1:10" x14ac:dyDescent="0.3">
      <c r="B172" s="1">
        <v>10</v>
      </c>
      <c r="C172" s="1">
        <v>1</v>
      </c>
      <c r="D172" s="4">
        <v>45</v>
      </c>
      <c r="E172" s="3">
        <v>2.8</v>
      </c>
      <c r="F172" s="1">
        <v>40</v>
      </c>
      <c r="G172" s="1">
        <v>45</v>
      </c>
      <c r="H172" s="2">
        <v>7.9598096831560491E-3</v>
      </c>
      <c r="I172" s="3">
        <v>387.11043249953048</v>
      </c>
      <c r="J172" s="3">
        <v>0.31</v>
      </c>
    </row>
    <row r="173" spans="1:10" x14ac:dyDescent="0.3">
      <c r="B173" s="1">
        <v>10</v>
      </c>
      <c r="C173" s="1">
        <v>1</v>
      </c>
      <c r="D173" s="4">
        <v>45</v>
      </c>
      <c r="E173" s="3">
        <v>2.8</v>
      </c>
      <c r="F173" s="1">
        <v>40</v>
      </c>
      <c r="G173" s="1">
        <v>45</v>
      </c>
      <c r="H173" s="2">
        <v>7.9598096831560491E-3</v>
      </c>
      <c r="I173" s="3">
        <v>400.87238594848156</v>
      </c>
      <c r="J173" s="3">
        <v>0.36</v>
      </c>
    </row>
    <row r="174" spans="1:10" x14ac:dyDescent="0.3">
      <c r="A174" t="s">
        <v>42</v>
      </c>
      <c r="B174" s="1">
        <v>10</v>
      </c>
      <c r="C174" s="1">
        <v>1</v>
      </c>
      <c r="D174" s="4">
        <v>45</v>
      </c>
      <c r="E174" s="3">
        <v>2.8</v>
      </c>
      <c r="F174" s="1">
        <v>40</v>
      </c>
      <c r="G174" s="1">
        <v>45</v>
      </c>
      <c r="H174" s="2">
        <v>7.9598096831560491E-3</v>
      </c>
      <c r="I174" s="3">
        <v>308.9780516280656</v>
      </c>
      <c r="J174" s="3">
        <v>0.16</v>
      </c>
    </row>
    <row r="175" spans="1:10" x14ac:dyDescent="0.3">
      <c r="B175" s="1">
        <v>10</v>
      </c>
      <c r="C175" s="1">
        <v>1</v>
      </c>
      <c r="D175" s="4">
        <v>45</v>
      </c>
      <c r="E175" s="3">
        <v>2.8</v>
      </c>
      <c r="F175" s="1">
        <v>40</v>
      </c>
      <c r="G175" s="1">
        <v>45</v>
      </c>
      <c r="H175" s="2">
        <v>7.9598096831560491E-3</v>
      </c>
      <c r="I175" s="3">
        <v>322.29607109479258</v>
      </c>
      <c r="J175" s="3">
        <v>0.18</v>
      </c>
    </row>
    <row r="176" spans="1:10" x14ac:dyDescent="0.3">
      <c r="B176" s="1">
        <v>10</v>
      </c>
      <c r="C176" s="1">
        <v>1</v>
      </c>
      <c r="D176" s="4">
        <v>45</v>
      </c>
      <c r="E176" s="3">
        <v>2.8</v>
      </c>
      <c r="F176" s="1">
        <v>40</v>
      </c>
      <c r="G176" s="1">
        <v>45</v>
      </c>
      <c r="H176" s="2">
        <v>7.9598096831560491E-3</v>
      </c>
      <c r="I176" s="3">
        <v>334.72622259707111</v>
      </c>
      <c r="J176" s="3">
        <v>0.2</v>
      </c>
    </row>
    <row r="177" spans="1:10" x14ac:dyDescent="0.3">
      <c r="B177" s="1">
        <v>10</v>
      </c>
      <c r="C177" s="1">
        <v>1</v>
      </c>
      <c r="D177" s="4">
        <v>45</v>
      </c>
      <c r="E177" s="3">
        <v>2.8</v>
      </c>
      <c r="F177" s="1">
        <v>40</v>
      </c>
      <c r="G177" s="1">
        <v>45</v>
      </c>
      <c r="H177" s="2">
        <v>7.9598096831560491E-3</v>
      </c>
      <c r="I177" s="3">
        <v>347.60030808157381</v>
      </c>
      <c r="J177" s="3">
        <v>0.23</v>
      </c>
    </row>
    <row r="178" spans="1:10" x14ac:dyDescent="0.3">
      <c r="B178" s="1">
        <v>10</v>
      </c>
      <c r="C178" s="1">
        <v>1</v>
      </c>
      <c r="D178" s="4">
        <v>45</v>
      </c>
      <c r="E178" s="3">
        <v>2.8</v>
      </c>
      <c r="F178" s="1">
        <v>40</v>
      </c>
      <c r="G178" s="1">
        <v>45</v>
      </c>
      <c r="H178" s="2">
        <v>7.9598096831560491E-3</v>
      </c>
      <c r="I178" s="3">
        <v>361.36226153052507</v>
      </c>
      <c r="J178" s="3">
        <v>0.24</v>
      </c>
    </row>
    <row r="179" spans="1:10" x14ac:dyDescent="0.3">
      <c r="B179" s="1">
        <v>10</v>
      </c>
      <c r="C179" s="1">
        <v>1</v>
      </c>
      <c r="D179" s="4">
        <v>45</v>
      </c>
      <c r="E179" s="3">
        <v>2.8</v>
      </c>
      <c r="F179" s="1">
        <v>40</v>
      </c>
      <c r="G179" s="1">
        <v>45</v>
      </c>
      <c r="H179" s="2">
        <v>7.9598096831560491E-3</v>
      </c>
      <c r="I179" s="3">
        <v>375.5681489617005</v>
      </c>
      <c r="J179" s="3">
        <v>0.25</v>
      </c>
    </row>
    <row r="180" spans="1:10" x14ac:dyDescent="0.3">
      <c r="B180" s="1">
        <v>10</v>
      </c>
      <c r="C180" s="1">
        <v>1</v>
      </c>
      <c r="D180" s="4">
        <v>45</v>
      </c>
      <c r="E180" s="3">
        <v>2.8</v>
      </c>
      <c r="F180" s="1">
        <v>40</v>
      </c>
      <c r="G180" s="1">
        <v>45</v>
      </c>
      <c r="H180" s="2">
        <v>7.9598096831560491E-3</v>
      </c>
      <c r="I180" s="3">
        <v>388.44223444620314</v>
      </c>
      <c r="J180" s="3">
        <v>0.27</v>
      </c>
    </row>
    <row r="181" spans="1:10" x14ac:dyDescent="0.3">
      <c r="B181" s="1">
        <v>10</v>
      </c>
      <c r="C181" s="1">
        <v>1</v>
      </c>
      <c r="D181" s="4">
        <v>45</v>
      </c>
      <c r="E181" s="3">
        <v>2.8</v>
      </c>
      <c r="F181" s="1">
        <v>40</v>
      </c>
      <c r="G181" s="1">
        <v>45</v>
      </c>
      <c r="H181" s="2">
        <v>7.9598096831560491E-3</v>
      </c>
      <c r="I181" s="3">
        <v>399.98451798403318</v>
      </c>
      <c r="J181" s="3">
        <v>0.28999999999999998</v>
      </c>
    </row>
    <row r="182" spans="1:10" x14ac:dyDescent="0.3">
      <c r="A182" t="s">
        <v>43</v>
      </c>
      <c r="B182" s="1">
        <v>10</v>
      </c>
      <c r="C182" s="1">
        <v>1</v>
      </c>
      <c r="D182" s="4">
        <v>45</v>
      </c>
      <c r="E182" s="3">
        <v>2.8</v>
      </c>
      <c r="F182" s="1">
        <v>40</v>
      </c>
      <c r="G182" s="1">
        <v>45</v>
      </c>
      <c r="H182" s="2">
        <v>7.9598096831560491E-3</v>
      </c>
      <c r="I182" s="3">
        <v>323.62787304146531</v>
      </c>
      <c r="J182" s="3">
        <v>0.15</v>
      </c>
    </row>
    <row r="183" spans="1:10" x14ac:dyDescent="0.3">
      <c r="B183" s="1">
        <v>10</v>
      </c>
      <c r="C183" s="1">
        <v>1</v>
      </c>
      <c r="D183" s="4">
        <v>45</v>
      </c>
      <c r="E183" s="3">
        <v>2.8</v>
      </c>
      <c r="F183" s="1">
        <v>40</v>
      </c>
      <c r="G183" s="1">
        <v>45</v>
      </c>
      <c r="H183" s="2">
        <v>7.9598096831560491E-3</v>
      </c>
      <c r="I183" s="3">
        <v>336.50195852596801</v>
      </c>
      <c r="J183" s="3">
        <v>0.16</v>
      </c>
    </row>
    <row r="184" spans="1:10" x14ac:dyDescent="0.3">
      <c r="B184" s="1">
        <v>10</v>
      </c>
      <c r="C184" s="1">
        <v>1</v>
      </c>
      <c r="D184" s="4">
        <v>45</v>
      </c>
      <c r="E184" s="3">
        <v>2.8</v>
      </c>
      <c r="F184" s="1">
        <v>40</v>
      </c>
      <c r="G184" s="1">
        <v>45</v>
      </c>
      <c r="H184" s="2">
        <v>7.9598096831560491E-3</v>
      </c>
      <c r="I184" s="3">
        <v>354.70325179716156</v>
      </c>
      <c r="J184" s="3">
        <v>0.18</v>
      </c>
    </row>
    <row r="185" spans="1:10" x14ac:dyDescent="0.3">
      <c r="B185" s="1">
        <v>10</v>
      </c>
      <c r="C185" s="1">
        <v>1</v>
      </c>
      <c r="D185" s="4">
        <v>45</v>
      </c>
      <c r="E185" s="3">
        <v>2.8</v>
      </c>
      <c r="F185" s="1">
        <v>40</v>
      </c>
      <c r="G185" s="1">
        <v>45</v>
      </c>
      <c r="H185" s="2">
        <v>7.9598096831560491E-3</v>
      </c>
      <c r="I185" s="3">
        <v>365.35766737054308</v>
      </c>
      <c r="J185" s="3">
        <v>0.18</v>
      </c>
    </row>
    <row r="186" spans="1:10" x14ac:dyDescent="0.3">
      <c r="B186" s="1">
        <v>10</v>
      </c>
      <c r="C186" s="1">
        <v>1</v>
      </c>
      <c r="D186" s="4">
        <v>45</v>
      </c>
      <c r="E186" s="3">
        <v>2.8</v>
      </c>
      <c r="F186" s="1">
        <v>40</v>
      </c>
      <c r="G186" s="1">
        <v>45</v>
      </c>
      <c r="H186" s="2">
        <v>7.9598096831560491E-3</v>
      </c>
      <c r="I186" s="3">
        <v>375.5681489617005</v>
      </c>
      <c r="J186" s="3">
        <v>0.19</v>
      </c>
    </row>
    <row r="187" spans="1:10" x14ac:dyDescent="0.3">
      <c r="B187" s="1">
        <v>10</v>
      </c>
      <c r="C187" s="1">
        <v>1</v>
      </c>
      <c r="D187" s="4">
        <v>45</v>
      </c>
      <c r="E187" s="3">
        <v>2.8</v>
      </c>
      <c r="F187" s="1">
        <v>40</v>
      </c>
      <c r="G187" s="1">
        <v>45</v>
      </c>
      <c r="H187" s="2">
        <v>7.9598096831560491E-3</v>
      </c>
      <c r="I187" s="3">
        <v>386.66649851730631</v>
      </c>
      <c r="J187" s="3">
        <v>0.2</v>
      </c>
    </row>
    <row r="188" spans="1:10" x14ac:dyDescent="0.3">
      <c r="B188" s="1">
        <v>10</v>
      </c>
      <c r="C188" s="1">
        <v>1</v>
      </c>
      <c r="D188" s="4">
        <v>45</v>
      </c>
      <c r="E188" s="3">
        <v>2.8</v>
      </c>
      <c r="F188" s="1">
        <v>40</v>
      </c>
      <c r="G188" s="1">
        <v>45</v>
      </c>
      <c r="H188" s="2">
        <v>7.9598096831560491E-3</v>
      </c>
      <c r="I188" s="3">
        <v>401.31631993070596</v>
      </c>
      <c r="J188" s="3">
        <v>0.22</v>
      </c>
    </row>
    <row r="189" spans="1:10" x14ac:dyDescent="0.3">
      <c r="A189" t="s">
        <v>44</v>
      </c>
      <c r="B189" s="1">
        <v>20</v>
      </c>
      <c r="C189" s="1">
        <v>1</v>
      </c>
      <c r="D189" s="4">
        <v>40</v>
      </c>
      <c r="E189" s="3">
        <v>2.8</v>
      </c>
      <c r="F189" s="1">
        <v>40</v>
      </c>
      <c r="G189" s="1">
        <v>50</v>
      </c>
      <c r="H189" s="2">
        <v>3.7261485294905368E-2</v>
      </c>
      <c r="I189" s="3">
        <v>224.93648942333181</v>
      </c>
      <c r="J189" s="3">
        <v>0.16</v>
      </c>
    </row>
    <row r="190" spans="1:10" x14ac:dyDescent="0.3">
      <c r="B190" s="1">
        <v>20</v>
      </c>
      <c r="C190" s="1">
        <v>1</v>
      </c>
      <c r="D190" s="4">
        <v>40</v>
      </c>
      <c r="E190" s="3">
        <v>2.8</v>
      </c>
      <c r="F190" s="1">
        <v>40</v>
      </c>
      <c r="G190" s="1">
        <v>50</v>
      </c>
      <c r="H190" s="2">
        <v>3.7261485294905368E-2</v>
      </c>
      <c r="I190" s="3">
        <v>259.89764030841235</v>
      </c>
      <c r="J190" s="3">
        <v>0.2</v>
      </c>
    </row>
    <row r="191" spans="1:10" x14ac:dyDescent="0.3">
      <c r="B191" s="1">
        <v>20</v>
      </c>
      <c r="C191" s="1">
        <v>1</v>
      </c>
      <c r="D191" s="4">
        <v>40</v>
      </c>
      <c r="E191" s="3">
        <v>2.8</v>
      </c>
      <c r="F191" s="1">
        <v>40</v>
      </c>
      <c r="G191" s="1">
        <v>50</v>
      </c>
      <c r="H191" s="2">
        <v>3.7261485294905368E-2</v>
      </c>
      <c r="I191" s="3">
        <v>294.74027881761134</v>
      </c>
      <c r="J191" s="3">
        <v>0.23</v>
      </c>
    </row>
    <row r="192" spans="1:10" x14ac:dyDescent="0.3">
      <c r="A192" t="s">
        <v>45</v>
      </c>
      <c r="B192" s="1">
        <v>20</v>
      </c>
      <c r="C192" s="1">
        <v>1</v>
      </c>
      <c r="D192" s="4">
        <v>40</v>
      </c>
      <c r="E192" s="3">
        <v>2.8</v>
      </c>
      <c r="F192" s="1">
        <v>40</v>
      </c>
      <c r="G192" s="1">
        <v>50</v>
      </c>
      <c r="H192" s="2">
        <v>3.7261485294905368E-2</v>
      </c>
      <c r="I192" s="3">
        <v>224.93648942333181</v>
      </c>
      <c r="J192" s="3">
        <v>0.14000000000000001</v>
      </c>
    </row>
    <row r="193" spans="1:10" x14ac:dyDescent="0.3">
      <c r="B193" s="1">
        <v>20</v>
      </c>
      <c r="C193" s="1">
        <v>1</v>
      </c>
      <c r="D193" s="4">
        <v>40</v>
      </c>
      <c r="E193" s="3">
        <v>2.8</v>
      </c>
      <c r="F193" s="1">
        <v>40</v>
      </c>
      <c r="G193" s="1">
        <v>50</v>
      </c>
      <c r="H193" s="2">
        <v>3.7261485294905368E-2</v>
      </c>
      <c r="I193" s="3">
        <v>259.42359080488586</v>
      </c>
      <c r="J193" s="3">
        <v>0.17</v>
      </c>
    </row>
    <row r="194" spans="1:10" x14ac:dyDescent="0.3">
      <c r="B194" s="1">
        <v>20</v>
      </c>
      <c r="C194" s="1">
        <v>1</v>
      </c>
      <c r="D194" s="4">
        <v>40</v>
      </c>
      <c r="E194" s="3">
        <v>2.8</v>
      </c>
      <c r="F194" s="1">
        <v>40</v>
      </c>
      <c r="G194" s="1">
        <v>50</v>
      </c>
      <c r="H194" s="2">
        <v>3.7261485294905368E-2</v>
      </c>
      <c r="I194" s="3">
        <v>294.14771693820313</v>
      </c>
      <c r="J194" s="3">
        <v>0.21</v>
      </c>
    </row>
    <row r="195" spans="1:10" x14ac:dyDescent="0.3">
      <c r="A195" t="s">
        <v>46</v>
      </c>
      <c r="B195" s="1">
        <v>20</v>
      </c>
      <c r="C195" s="1">
        <v>1</v>
      </c>
      <c r="D195" s="4">
        <v>40</v>
      </c>
      <c r="E195" s="3">
        <v>2.8</v>
      </c>
      <c r="F195" s="1">
        <v>40</v>
      </c>
      <c r="G195" s="1">
        <v>50</v>
      </c>
      <c r="H195" s="2">
        <v>3.7261485294905368E-2</v>
      </c>
      <c r="I195" s="3">
        <v>154.30311339788094</v>
      </c>
      <c r="J195" s="3">
        <v>0.21</v>
      </c>
    </row>
    <row r="196" spans="1:10" x14ac:dyDescent="0.3">
      <c r="B196" s="1">
        <v>20</v>
      </c>
      <c r="C196" s="1">
        <v>1</v>
      </c>
      <c r="D196" s="4">
        <v>40</v>
      </c>
      <c r="E196" s="3">
        <v>2.8</v>
      </c>
      <c r="F196" s="1">
        <v>40</v>
      </c>
      <c r="G196" s="1">
        <v>50</v>
      </c>
      <c r="H196" s="2">
        <v>3.7261485294905368E-2</v>
      </c>
      <c r="I196" s="3">
        <v>190.33087566589617</v>
      </c>
      <c r="J196" s="3">
        <v>0.25</v>
      </c>
    </row>
    <row r="197" spans="1:10" x14ac:dyDescent="0.3">
      <c r="B197" s="1">
        <v>20</v>
      </c>
      <c r="C197" s="1">
        <v>1</v>
      </c>
      <c r="D197" s="4">
        <v>40</v>
      </c>
      <c r="E197" s="3">
        <v>2.8</v>
      </c>
      <c r="F197" s="1">
        <v>40</v>
      </c>
      <c r="G197" s="1">
        <v>50</v>
      </c>
      <c r="H197" s="2">
        <v>3.7261485294905368E-2</v>
      </c>
      <c r="I197" s="3">
        <v>224.34392754392366</v>
      </c>
      <c r="J197" s="3">
        <v>0.28999999999999998</v>
      </c>
    </row>
    <row r="198" spans="1:10" x14ac:dyDescent="0.3">
      <c r="B198" s="1">
        <v>20</v>
      </c>
      <c r="C198" s="1">
        <v>1</v>
      </c>
      <c r="D198" s="4">
        <v>40</v>
      </c>
      <c r="E198" s="3">
        <v>2.8</v>
      </c>
      <c r="F198" s="1">
        <v>40</v>
      </c>
      <c r="G198" s="1">
        <v>50</v>
      </c>
      <c r="H198" s="2">
        <v>3.7261485294905368E-2</v>
      </c>
      <c r="I198" s="3">
        <v>258.47549179783277</v>
      </c>
      <c r="J198" s="3">
        <v>0.33</v>
      </c>
    </row>
    <row r="199" spans="1:10" x14ac:dyDescent="0.3">
      <c r="B199" s="1">
        <v>20</v>
      </c>
      <c r="C199" s="1">
        <v>1</v>
      </c>
      <c r="D199" s="4">
        <v>40</v>
      </c>
      <c r="E199" s="3">
        <v>2.8</v>
      </c>
      <c r="F199" s="1">
        <v>40</v>
      </c>
      <c r="G199" s="1">
        <v>50</v>
      </c>
      <c r="H199" s="2">
        <v>3.7261485294905368E-2</v>
      </c>
      <c r="I199" s="3">
        <v>306.71002878165581</v>
      </c>
      <c r="J199" s="3">
        <v>0.37</v>
      </c>
    </row>
    <row r="200" spans="1:10" x14ac:dyDescent="0.3">
      <c r="A200" t="s">
        <v>47</v>
      </c>
      <c r="B200" s="1">
        <v>20</v>
      </c>
      <c r="C200" s="1">
        <v>6</v>
      </c>
      <c r="D200" s="4">
        <v>84</v>
      </c>
      <c r="E200" s="3">
        <v>3.5088212858554391</v>
      </c>
      <c r="F200" s="1">
        <v>50</v>
      </c>
      <c r="G200" s="1">
        <v>64</v>
      </c>
      <c r="H200" s="2">
        <v>3.1012448894699375E-2</v>
      </c>
      <c r="I200" s="3">
        <v>179.8880402629556</v>
      </c>
      <c r="J200" s="3">
        <v>0.15</v>
      </c>
    </row>
    <row r="201" spans="1:10" x14ac:dyDescent="0.3">
      <c r="B201" s="1">
        <v>20</v>
      </c>
      <c r="C201" s="1">
        <v>6</v>
      </c>
      <c r="D201" s="4">
        <v>84</v>
      </c>
      <c r="E201" s="3">
        <v>3.5088212858554391</v>
      </c>
      <c r="F201" s="1">
        <v>50</v>
      </c>
      <c r="G201" s="1">
        <v>64</v>
      </c>
      <c r="H201" s="2">
        <v>3.1012448894699375E-2</v>
      </c>
      <c r="I201" s="3">
        <v>225.29667178564338</v>
      </c>
      <c r="J201" s="3">
        <v>0.23</v>
      </c>
    </row>
    <row r="202" spans="1:10" x14ac:dyDescent="0.3">
      <c r="B202" s="1">
        <v>20</v>
      </c>
      <c r="C202" s="1">
        <v>6</v>
      </c>
      <c r="D202" s="4">
        <v>84</v>
      </c>
      <c r="E202" s="3">
        <v>3.5088212858554391</v>
      </c>
      <c r="F202" s="1">
        <v>50</v>
      </c>
      <c r="G202" s="1">
        <v>64</v>
      </c>
      <c r="H202" s="2">
        <v>3.1012448894699375E-2</v>
      </c>
      <c r="I202" s="3">
        <v>270.70530330833117</v>
      </c>
      <c r="J202" s="3">
        <v>0.28000000000000003</v>
      </c>
    </row>
    <row r="203" spans="1:10" x14ac:dyDescent="0.3">
      <c r="A203" t="s">
        <v>48</v>
      </c>
      <c r="B203" s="1">
        <v>20</v>
      </c>
      <c r="C203" s="1">
        <v>9</v>
      </c>
      <c r="D203" s="4">
        <v>45</v>
      </c>
      <c r="E203" s="3">
        <v>3.5088212858554391</v>
      </c>
      <c r="F203" s="1">
        <v>50</v>
      </c>
      <c r="G203" s="1">
        <v>64</v>
      </c>
      <c r="H203" s="2">
        <v>4.9328037963777847E-2</v>
      </c>
      <c r="I203" s="3">
        <v>176.83957373352104</v>
      </c>
      <c r="J203" s="3">
        <v>0.18</v>
      </c>
    </row>
    <row r="204" spans="1:10" x14ac:dyDescent="0.3">
      <c r="B204" s="1">
        <v>20</v>
      </c>
      <c r="C204" s="1">
        <v>9</v>
      </c>
      <c r="D204" s="4">
        <v>45</v>
      </c>
      <c r="E204" s="3">
        <v>3.5088212858554391</v>
      </c>
      <c r="F204" s="1">
        <v>50</v>
      </c>
      <c r="G204" s="1">
        <v>64</v>
      </c>
      <c r="H204" s="2">
        <v>4.9328037963777847E-2</v>
      </c>
      <c r="I204" s="3">
        <v>220.75275647271758</v>
      </c>
      <c r="J204" s="3">
        <v>0.26</v>
      </c>
    </row>
    <row r="205" spans="1:10" x14ac:dyDescent="0.3">
      <c r="B205" s="1">
        <v>20</v>
      </c>
      <c r="C205" s="1">
        <v>9</v>
      </c>
      <c r="D205" s="4">
        <v>45</v>
      </c>
      <c r="E205" s="3">
        <v>3.5088212858554391</v>
      </c>
      <c r="F205" s="1">
        <v>50</v>
      </c>
      <c r="G205" s="1">
        <v>64</v>
      </c>
      <c r="H205" s="2">
        <v>4.9328037963777847E-2</v>
      </c>
      <c r="I205" s="3">
        <v>264.66593921191406</v>
      </c>
      <c r="J205" s="3">
        <v>0.34</v>
      </c>
    </row>
    <row r="206" spans="1:10" x14ac:dyDescent="0.3">
      <c r="A206" t="s">
        <v>49</v>
      </c>
      <c r="B206" s="1">
        <v>16</v>
      </c>
      <c r="C206" s="1">
        <v>2</v>
      </c>
      <c r="D206" s="4">
        <v>52</v>
      </c>
      <c r="E206" s="3">
        <v>3.42</v>
      </c>
      <c r="F206" s="1">
        <v>27</v>
      </c>
      <c r="G206" s="1">
        <v>35</v>
      </c>
      <c r="H206" s="2">
        <v>4.8680193563528699E-2</v>
      </c>
      <c r="I206" s="3">
        <v>234.72234542321382</v>
      </c>
      <c r="J206" s="3">
        <v>0.15</v>
      </c>
    </row>
    <row r="207" spans="1:10" x14ac:dyDescent="0.3">
      <c r="B207" s="1">
        <v>16</v>
      </c>
      <c r="C207" s="1">
        <v>2</v>
      </c>
      <c r="D207" s="4">
        <v>52</v>
      </c>
      <c r="E207" s="3">
        <v>3.42</v>
      </c>
      <c r="F207" s="1">
        <v>27</v>
      </c>
      <c r="G207" s="1">
        <v>35</v>
      </c>
      <c r="H207" s="2">
        <v>4.8680193563528699E-2</v>
      </c>
      <c r="I207" s="3">
        <v>315.66108522432211</v>
      </c>
      <c r="J207" s="3">
        <v>0.19</v>
      </c>
    </row>
    <row r="208" spans="1:10" x14ac:dyDescent="0.3">
      <c r="B208" s="1">
        <v>16</v>
      </c>
      <c r="C208" s="1">
        <v>2</v>
      </c>
      <c r="D208" s="4">
        <v>52</v>
      </c>
      <c r="E208" s="3">
        <v>3.42</v>
      </c>
      <c r="F208" s="1">
        <v>27</v>
      </c>
      <c r="G208" s="1">
        <v>35</v>
      </c>
      <c r="H208" s="2">
        <v>4.8680193563528699E-2</v>
      </c>
      <c r="I208" s="3">
        <v>364.22432910498702</v>
      </c>
      <c r="J208" s="3">
        <v>0.22</v>
      </c>
    </row>
    <row r="209" spans="1:10" x14ac:dyDescent="0.3">
      <c r="B209" s="1">
        <v>16</v>
      </c>
      <c r="C209" s="1">
        <v>2</v>
      </c>
      <c r="D209" s="4">
        <v>52</v>
      </c>
      <c r="E209" s="3">
        <v>3.42</v>
      </c>
      <c r="F209" s="1">
        <v>27</v>
      </c>
      <c r="G209" s="1">
        <v>35</v>
      </c>
      <c r="H209" s="2">
        <v>4.8680193563528699E-2</v>
      </c>
      <c r="I209" s="3">
        <v>404.69369900554108</v>
      </c>
      <c r="J209" s="3">
        <v>0.22</v>
      </c>
    </row>
    <row r="210" spans="1:10" x14ac:dyDescent="0.3">
      <c r="B210" s="1">
        <v>16</v>
      </c>
      <c r="C210" s="1">
        <v>2</v>
      </c>
      <c r="D210" s="4">
        <v>52</v>
      </c>
      <c r="E210" s="3">
        <v>3.42</v>
      </c>
      <c r="F210" s="1">
        <v>27</v>
      </c>
      <c r="G210" s="1">
        <v>35</v>
      </c>
      <c r="H210" s="2">
        <v>4.8680193563528699E-2</v>
      </c>
      <c r="I210" s="3">
        <v>469.44469084642765</v>
      </c>
      <c r="J210" s="3">
        <v>0.25</v>
      </c>
    </row>
    <row r="211" spans="1:10" x14ac:dyDescent="0.3">
      <c r="B211" s="1">
        <v>16</v>
      </c>
      <c r="C211" s="1">
        <v>2</v>
      </c>
      <c r="D211" s="4">
        <v>52</v>
      </c>
      <c r="E211" s="3">
        <v>3.42</v>
      </c>
      <c r="F211" s="1">
        <v>27</v>
      </c>
      <c r="G211" s="1">
        <v>35</v>
      </c>
      <c r="H211" s="2">
        <v>4.8680193563528699E-2</v>
      </c>
      <c r="I211" s="3">
        <v>526.10180870720353</v>
      </c>
      <c r="J211" s="3">
        <v>0.28999999999999998</v>
      </c>
    </row>
    <row r="212" spans="1:10" x14ac:dyDescent="0.3">
      <c r="A212" t="s">
        <v>50</v>
      </c>
      <c r="B212" s="1">
        <v>20</v>
      </c>
      <c r="C212" s="1">
        <v>2</v>
      </c>
      <c r="D212" s="4">
        <v>44</v>
      </c>
      <c r="E212" s="3">
        <v>3.42</v>
      </c>
      <c r="F212" s="1">
        <v>25</v>
      </c>
      <c r="G212" s="1">
        <v>35</v>
      </c>
      <c r="H212" s="2">
        <v>8.2535915718449052E-2</v>
      </c>
      <c r="I212" s="3">
        <v>270.87013331072598</v>
      </c>
      <c r="J212" s="3">
        <v>0.17</v>
      </c>
    </row>
    <row r="213" spans="1:10" x14ac:dyDescent="0.3">
      <c r="B213" s="1">
        <v>20</v>
      </c>
      <c r="C213" s="1">
        <v>2</v>
      </c>
      <c r="D213" s="4">
        <v>44</v>
      </c>
      <c r="E213" s="3">
        <v>3.42</v>
      </c>
      <c r="F213" s="1">
        <v>25</v>
      </c>
      <c r="G213" s="1">
        <v>35</v>
      </c>
      <c r="H213" s="2">
        <v>8.2535915718449052E-2</v>
      </c>
      <c r="I213" s="3">
        <v>308.0483869023941</v>
      </c>
      <c r="J213" s="3">
        <v>0.19</v>
      </c>
    </row>
    <row r="214" spans="1:10" x14ac:dyDescent="0.3">
      <c r="B214" s="1">
        <v>20</v>
      </c>
      <c r="C214" s="1">
        <v>2</v>
      </c>
      <c r="D214" s="4">
        <v>44</v>
      </c>
      <c r="E214" s="3">
        <v>3.42</v>
      </c>
      <c r="F214" s="1">
        <v>25</v>
      </c>
      <c r="G214" s="1">
        <v>35</v>
      </c>
      <c r="H214" s="2">
        <v>8.2535915718449052E-2</v>
      </c>
      <c r="I214" s="3">
        <v>355.84899866311054</v>
      </c>
      <c r="J214" s="3">
        <v>0.21</v>
      </c>
    </row>
    <row r="215" spans="1:10" x14ac:dyDescent="0.3">
      <c r="B215" s="1">
        <v>20</v>
      </c>
      <c r="C215" s="1">
        <v>2</v>
      </c>
      <c r="D215" s="4">
        <v>44</v>
      </c>
      <c r="E215" s="3">
        <v>3.42</v>
      </c>
      <c r="F215" s="1">
        <v>25</v>
      </c>
      <c r="G215" s="1">
        <v>35</v>
      </c>
      <c r="H215" s="2">
        <v>8.2535915718449052E-2</v>
      </c>
      <c r="I215" s="3">
        <v>377.09371500120665</v>
      </c>
      <c r="J215" s="3">
        <v>0.23</v>
      </c>
    </row>
    <row r="216" spans="1:10" x14ac:dyDescent="0.3">
      <c r="B216" s="1">
        <v>20</v>
      </c>
      <c r="C216" s="1">
        <v>2</v>
      </c>
      <c r="D216" s="4">
        <v>44</v>
      </c>
      <c r="E216" s="3">
        <v>3.42</v>
      </c>
      <c r="F216" s="1">
        <v>25</v>
      </c>
      <c r="G216" s="1">
        <v>35</v>
      </c>
      <c r="H216" s="2">
        <v>8.2535915718449052E-2</v>
      </c>
      <c r="I216" s="3">
        <v>424.89432676192303</v>
      </c>
      <c r="J216" s="3">
        <v>0.25</v>
      </c>
    </row>
    <row r="217" spans="1:10" x14ac:dyDescent="0.3">
      <c r="B217" s="1">
        <v>20</v>
      </c>
      <c r="C217" s="1">
        <v>2</v>
      </c>
      <c r="D217" s="4">
        <v>44</v>
      </c>
      <c r="E217" s="3">
        <v>3.42</v>
      </c>
      <c r="F217" s="1">
        <v>25</v>
      </c>
      <c r="G217" s="1">
        <v>35</v>
      </c>
      <c r="H217" s="2">
        <v>8.2535915718449052E-2</v>
      </c>
      <c r="I217" s="3">
        <v>525.80672936787971</v>
      </c>
      <c r="J217" s="3">
        <v>0.25</v>
      </c>
    </row>
    <row r="218" spans="1:10" x14ac:dyDescent="0.3">
      <c r="A218" t="s">
        <v>51</v>
      </c>
      <c r="B218" s="1">
        <v>20</v>
      </c>
      <c r="C218" s="1">
        <v>3</v>
      </c>
      <c r="D218" s="4">
        <v>12</v>
      </c>
      <c r="E218" s="3">
        <v>3.42</v>
      </c>
      <c r="F218" s="1">
        <v>25</v>
      </c>
      <c r="G218" s="1">
        <v>35</v>
      </c>
      <c r="H218" s="2">
        <v>0.13524934868327321</v>
      </c>
      <c r="I218" s="3">
        <v>246.92191294539825</v>
      </c>
      <c r="J218" s="3">
        <v>0.18</v>
      </c>
    </row>
    <row r="219" spans="1:10" x14ac:dyDescent="0.3">
      <c r="B219" s="1">
        <v>20</v>
      </c>
      <c r="C219" s="1">
        <v>3</v>
      </c>
      <c r="D219" s="4">
        <v>12</v>
      </c>
      <c r="E219" s="3">
        <v>3.42</v>
      </c>
      <c r="F219" s="1">
        <v>25</v>
      </c>
      <c r="G219" s="1">
        <v>35</v>
      </c>
      <c r="H219" s="2">
        <v>0.13524934868327321</v>
      </c>
      <c r="I219" s="3">
        <v>283.23395896678039</v>
      </c>
      <c r="J219" s="3">
        <v>0.19</v>
      </c>
    </row>
    <row r="220" spans="1:10" x14ac:dyDescent="0.3">
      <c r="B220" s="1">
        <v>20</v>
      </c>
      <c r="C220" s="1">
        <v>3</v>
      </c>
      <c r="D220" s="4">
        <v>12</v>
      </c>
      <c r="E220" s="3">
        <v>3.42</v>
      </c>
      <c r="F220" s="1">
        <v>25</v>
      </c>
      <c r="G220" s="1">
        <v>35</v>
      </c>
      <c r="H220" s="2">
        <v>0.13524934868327321</v>
      </c>
      <c r="I220" s="3">
        <v>315.9148003860243</v>
      </c>
      <c r="J220" s="3">
        <v>0.21</v>
      </c>
    </row>
    <row r="221" spans="1:10" x14ac:dyDescent="0.3">
      <c r="B221" s="1">
        <v>20</v>
      </c>
      <c r="C221" s="1">
        <v>3</v>
      </c>
      <c r="D221" s="4">
        <v>12</v>
      </c>
      <c r="E221" s="3">
        <v>3.42</v>
      </c>
      <c r="F221" s="1">
        <v>25</v>
      </c>
      <c r="G221" s="1">
        <v>35</v>
      </c>
      <c r="H221" s="2">
        <v>0.13524934868327321</v>
      </c>
      <c r="I221" s="3">
        <v>355.85805100954457</v>
      </c>
      <c r="J221" s="3">
        <v>0.23</v>
      </c>
    </row>
    <row r="222" spans="1:10" x14ac:dyDescent="0.3">
      <c r="B222" s="1">
        <v>20</v>
      </c>
      <c r="C222" s="1">
        <v>3</v>
      </c>
      <c r="D222" s="4">
        <v>12</v>
      </c>
      <c r="E222" s="3">
        <v>3.42</v>
      </c>
      <c r="F222" s="1">
        <v>25</v>
      </c>
      <c r="G222" s="1">
        <v>35</v>
      </c>
      <c r="H222" s="2">
        <v>0.13524934868327321</v>
      </c>
      <c r="I222" s="3">
        <v>395.80130163306495</v>
      </c>
      <c r="J222" s="3">
        <v>0.25</v>
      </c>
    </row>
    <row r="223" spans="1:10" x14ac:dyDescent="0.3">
      <c r="B223" s="1">
        <v>20</v>
      </c>
      <c r="C223" s="1">
        <v>3</v>
      </c>
      <c r="D223" s="4">
        <v>12</v>
      </c>
      <c r="E223" s="3">
        <v>3.42</v>
      </c>
      <c r="F223" s="1">
        <v>25</v>
      </c>
      <c r="G223" s="1">
        <v>35</v>
      </c>
      <c r="H223" s="2">
        <v>0.13524934868327321</v>
      </c>
      <c r="I223" s="3">
        <v>432.11334765444701</v>
      </c>
      <c r="J223" s="3">
        <v>0.28999999999999998</v>
      </c>
    </row>
    <row r="224" spans="1:10" x14ac:dyDescent="0.3">
      <c r="B224" s="1">
        <v>20</v>
      </c>
      <c r="C224" s="1">
        <v>3</v>
      </c>
      <c r="D224" s="4">
        <v>12</v>
      </c>
      <c r="E224" s="3">
        <v>3.42</v>
      </c>
      <c r="F224" s="1">
        <v>25</v>
      </c>
      <c r="G224" s="1">
        <v>35</v>
      </c>
      <c r="H224" s="2">
        <v>0.13524934868327321</v>
      </c>
      <c r="I224" s="3">
        <v>468.42539367582907</v>
      </c>
      <c r="J224" s="3">
        <v>0.31</v>
      </c>
    </row>
    <row r="225" spans="1:10" x14ac:dyDescent="0.3">
      <c r="B225" s="1">
        <v>20</v>
      </c>
      <c r="C225" s="1">
        <v>3</v>
      </c>
      <c r="D225" s="4">
        <v>12</v>
      </c>
      <c r="E225" s="3">
        <v>3.42</v>
      </c>
      <c r="F225" s="1">
        <v>25</v>
      </c>
      <c r="G225" s="1">
        <v>35</v>
      </c>
      <c r="H225" s="2">
        <v>0.13524934868327321</v>
      </c>
      <c r="I225" s="3">
        <v>501.10623509507292</v>
      </c>
      <c r="J225" s="3">
        <v>0.37</v>
      </c>
    </row>
    <row r="226" spans="1:10" x14ac:dyDescent="0.3">
      <c r="A226" t="s">
        <v>52</v>
      </c>
      <c r="B226" s="1">
        <v>16</v>
      </c>
      <c r="C226" s="1">
        <v>2</v>
      </c>
      <c r="D226" s="4">
        <v>52</v>
      </c>
      <c r="E226" s="3">
        <v>2.98</v>
      </c>
      <c r="F226" s="1">
        <v>27</v>
      </c>
      <c r="G226" s="1">
        <v>35</v>
      </c>
      <c r="H226" s="2">
        <v>4.8026966994219954E-2</v>
      </c>
      <c r="I226" s="3">
        <v>370.74728404873275</v>
      </c>
      <c r="J226" s="3">
        <v>0.16</v>
      </c>
    </row>
    <row r="227" spans="1:10" x14ac:dyDescent="0.3">
      <c r="B227" s="1">
        <v>16</v>
      </c>
      <c r="C227" s="1">
        <v>2</v>
      </c>
      <c r="D227" s="4">
        <v>52</v>
      </c>
      <c r="E227" s="3">
        <v>2.98</v>
      </c>
      <c r="F227" s="1">
        <v>27</v>
      </c>
      <c r="G227" s="1">
        <v>35</v>
      </c>
      <c r="H227" s="2">
        <v>4.8026966994219954E-2</v>
      </c>
      <c r="I227" s="3">
        <v>443.28479614522388</v>
      </c>
      <c r="J227" s="3">
        <v>0.2</v>
      </c>
    </row>
    <row r="228" spans="1:10" x14ac:dyDescent="0.3">
      <c r="B228" s="1">
        <v>16</v>
      </c>
      <c r="C228" s="1">
        <v>2</v>
      </c>
      <c r="D228" s="4">
        <v>52</v>
      </c>
      <c r="E228" s="3">
        <v>2.98</v>
      </c>
      <c r="F228" s="1">
        <v>27</v>
      </c>
      <c r="G228" s="1">
        <v>35</v>
      </c>
      <c r="H228" s="2">
        <v>4.8026966994219954E-2</v>
      </c>
      <c r="I228" s="3">
        <v>523.88203180799201</v>
      </c>
      <c r="J228" s="3">
        <v>0.26</v>
      </c>
    </row>
    <row r="229" spans="1:10" x14ac:dyDescent="0.3">
      <c r="A229" t="s">
        <v>53</v>
      </c>
      <c r="B229" s="1">
        <v>20</v>
      </c>
      <c r="C229" s="1">
        <v>2</v>
      </c>
      <c r="D229" s="4">
        <v>44</v>
      </c>
      <c r="E229" s="3">
        <v>2.98</v>
      </c>
      <c r="F229" s="1">
        <v>25</v>
      </c>
      <c r="G229" s="1">
        <v>35</v>
      </c>
      <c r="H229" s="2">
        <v>8.1200522425266847E-2</v>
      </c>
      <c r="I229" s="3">
        <v>264.28009430947355</v>
      </c>
      <c r="J229" s="3">
        <v>0.17</v>
      </c>
    </row>
    <row r="230" spans="1:10" x14ac:dyDescent="0.3">
      <c r="B230" s="1">
        <v>20</v>
      </c>
      <c r="C230" s="1">
        <v>2</v>
      </c>
      <c r="D230" s="4">
        <v>44</v>
      </c>
      <c r="E230" s="3">
        <v>2.98</v>
      </c>
      <c r="F230" s="1">
        <v>25</v>
      </c>
      <c r="G230" s="1">
        <v>35</v>
      </c>
      <c r="H230" s="2">
        <v>8.1200522425266847E-2</v>
      </c>
      <c r="I230" s="3">
        <v>301.27930751279979</v>
      </c>
      <c r="J230" s="3">
        <v>0.19</v>
      </c>
    </row>
    <row r="231" spans="1:10" x14ac:dyDescent="0.3">
      <c r="B231" s="1">
        <v>20</v>
      </c>
      <c r="C231" s="1">
        <v>2</v>
      </c>
      <c r="D231" s="4">
        <v>44</v>
      </c>
      <c r="E231" s="3">
        <v>2.98</v>
      </c>
      <c r="F231" s="1">
        <v>25</v>
      </c>
      <c r="G231" s="1">
        <v>35</v>
      </c>
      <c r="H231" s="2">
        <v>8.1200522425266847E-2</v>
      </c>
      <c r="I231" s="3">
        <v>348.84972448850499</v>
      </c>
      <c r="J231" s="3">
        <v>0.23</v>
      </c>
    </row>
    <row r="232" spans="1:10" x14ac:dyDescent="0.3">
      <c r="B232" s="1">
        <v>20</v>
      </c>
      <c r="C232" s="1">
        <v>2</v>
      </c>
      <c r="D232" s="4">
        <v>44</v>
      </c>
      <c r="E232" s="3">
        <v>2.98</v>
      </c>
      <c r="F232" s="1">
        <v>25</v>
      </c>
      <c r="G232" s="1">
        <v>35</v>
      </c>
      <c r="H232" s="2">
        <v>8.1200522425266847E-2</v>
      </c>
      <c r="I232" s="3">
        <v>369.99213203326286</v>
      </c>
      <c r="J232" s="3">
        <v>0.25</v>
      </c>
    </row>
    <row r="233" spans="1:10" x14ac:dyDescent="0.3">
      <c r="B233" s="1">
        <v>20</v>
      </c>
      <c r="C233" s="1">
        <v>2</v>
      </c>
      <c r="D233" s="4">
        <v>44</v>
      </c>
      <c r="E233" s="3">
        <v>2.98</v>
      </c>
      <c r="F233" s="1">
        <v>25</v>
      </c>
      <c r="G233" s="1">
        <v>35</v>
      </c>
      <c r="H233" s="2">
        <v>8.1200522425266847E-2</v>
      </c>
      <c r="I233" s="3">
        <v>401.7057433503997</v>
      </c>
      <c r="J233" s="3">
        <v>0.3</v>
      </c>
    </row>
    <row r="234" spans="1:10" x14ac:dyDescent="0.3">
      <c r="B234" s="1">
        <v>20</v>
      </c>
      <c r="C234" s="1">
        <v>2</v>
      </c>
      <c r="D234" s="4">
        <v>44</v>
      </c>
      <c r="E234" s="3">
        <v>2.98</v>
      </c>
      <c r="F234" s="1">
        <v>25</v>
      </c>
      <c r="G234" s="1">
        <v>35</v>
      </c>
      <c r="H234" s="2">
        <v>8.1200522425266847E-2</v>
      </c>
      <c r="I234" s="3">
        <v>422.84815089515763</v>
      </c>
      <c r="J234" s="3">
        <v>0.32</v>
      </c>
    </row>
    <row r="235" spans="1:10" x14ac:dyDescent="0.3">
      <c r="B235" s="1">
        <v>20</v>
      </c>
      <c r="C235" s="1">
        <v>2</v>
      </c>
      <c r="D235" s="4">
        <v>44</v>
      </c>
      <c r="E235" s="3">
        <v>2.98</v>
      </c>
      <c r="F235" s="1">
        <v>25</v>
      </c>
      <c r="G235" s="1">
        <v>35</v>
      </c>
      <c r="H235" s="2">
        <v>8.1200522425266847E-2</v>
      </c>
      <c r="I235" s="3">
        <v>474.64704937981429</v>
      </c>
      <c r="J235" s="3">
        <v>0.36</v>
      </c>
    </row>
    <row r="236" spans="1:10" x14ac:dyDescent="0.3">
      <c r="B236" s="1">
        <v>20</v>
      </c>
      <c r="C236" s="1">
        <v>2</v>
      </c>
      <c r="D236" s="4">
        <v>44</v>
      </c>
      <c r="E236" s="3">
        <v>2.98</v>
      </c>
      <c r="F236" s="1">
        <v>25</v>
      </c>
      <c r="G236" s="1">
        <v>35</v>
      </c>
      <c r="H236" s="2">
        <v>8.1200522425266847E-2</v>
      </c>
      <c r="I236" s="3">
        <v>526.44594786447112</v>
      </c>
      <c r="J236" s="3">
        <v>0.47</v>
      </c>
    </row>
    <row r="237" spans="1:10" x14ac:dyDescent="0.3">
      <c r="A237" t="s">
        <v>54</v>
      </c>
      <c r="B237" s="1">
        <v>20</v>
      </c>
      <c r="C237" s="1">
        <v>3</v>
      </c>
      <c r="D237" s="4">
        <v>12</v>
      </c>
      <c r="E237" s="3">
        <v>2.98</v>
      </c>
      <c r="F237" s="1">
        <v>25</v>
      </c>
      <c r="G237" s="1">
        <v>35</v>
      </c>
      <c r="H237" s="2">
        <v>0.1326866695196976</v>
      </c>
      <c r="I237" s="3">
        <v>303.4025683141906</v>
      </c>
      <c r="J237" s="3">
        <v>0.16</v>
      </c>
    </row>
    <row r="238" spans="1:10" x14ac:dyDescent="0.3">
      <c r="B238" s="1">
        <v>20</v>
      </c>
      <c r="C238" s="1">
        <v>3</v>
      </c>
      <c r="D238" s="4">
        <v>12</v>
      </c>
      <c r="E238" s="3">
        <v>2.98</v>
      </c>
      <c r="F238" s="1">
        <v>25</v>
      </c>
      <c r="G238" s="1">
        <v>35</v>
      </c>
      <c r="H238" s="2">
        <v>0.1326866695196976</v>
      </c>
      <c r="I238" s="3">
        <v>317.8503096624853</v>
      </c>
      <c r="J238" s="3">
        <v>0.18</v>
      </c>
    </row>
    <row r="239" spans="1:10" x14ac:dyDescent="0.3">
      <c r="B239" s="1">
        <v>20</v>
      </c>
      <c r="C239" s="1">
        <v>3</v>
      </c>
      <c r="D239" s="4">
        <v>12</v>
      </c>
      <c r="E239" s="3">
        <v>2.98</v>
      </c>
      <c r="F239" s="1">
        <v>25</v>
      </c>
      <c r="G239" s="1">
        <v>35</v>
      </c>
      <c r="H239" s="2">
        <v>0.1326866695196976</v>
      </c>
      <c r="I239" s="3">
        <v>353.96966303322239</v>
      </c>
      <c r="J239" s="3">
        <v>0.18</v>
      </c>
    </row>
    <row r="240" spans="1:10" x14ac:dyDescent="0.3">
      <c r="B240" s="1">
        <v>20</v>
      </c>
      <c r="C240" s="1">
        <v>3</v>
      </c>
      <c r="D240" s="4">
        <v>12</v>
      </c>
      <c r="E240" s="3">
        <v>2.98</v>
      </c>
      <c r="F240" s="1">
        <v>25</v>
      </c>
      <c r="G240" s="1">
        <v>35</v>
      </c>
      <c r="H240" s="2">
        <v>0.1326866695196976</v>
      </c>
      <c r="I240" s="3">
        <v>393.70095174103312</v>
      </c>
      <c r="J240" s="3">
        <v>0.2</v>
      </c>
    </row>
    <row r="241" spans="1:10" x14ac:dyDescent="0.3">
      <c r="B241" s="1">
        <v>20</v>
      </c>
      <c r="C241" s="1">
        <v>3</v>
      </c>
      <c r="D241" s="4">
        <v>12</v>
      </c>
      <c r="E241" s="3">
        <v>2.98</v>
      </c>
      <c r="F241" s="1">
        <v>25</v>
      </c>
      <c r="G241" s="1">
        <v>35</v>
      </c>
      <c r="H241" s="2">
        <v>0.1326866695196976</v>
      </c>
      <c r="I241" s="3">
        <v>429.82030511177004</v>
      </c>
      <c r="J241" s="3">
        <v>0.2</v>
      </c>
    </row>
    <row r="242" spans="1:10" x14ac:dyDescent="0.3">
      <c r="B242" s="1">
        <v>20</v>
      </c>
      <c r="C242" s="1">
        <v>3</v>
      </c>
      <c r="D242" s="4">
        <v>12</v>
      </c>
      <c r="E242" s="3">
        <v>2.98</v>
      </c>
      <c r="F242" s="1">
        <v>25</v>
      </c>
      <c r="G242" s="1">
        <v>35</v>
      </c>
      <c r="H242" s="2">
        <v>0.1326866695196976</v>
      </c>
      <c r="I242" s="3">
        <v>462.32772314543331</v>
      </c>
      <c r="J242" s="3">
        <v>0.2</v>
      </c>
    </row>
    <row r="243" spans="1:10" x14ac:dyDescent="0.3">
      <c r="B243" s="1">
        <v>20</v>
      </c>
      <c r="C243" s="1">
        <v>3</v>
      </c>
      <c r="D243" s="4">
        <v>12</v>
      </c>
      <c r="E243" s="3">
        <v>2.98</v>
      </c>
      <c r="F243" s="1">
        <v>25</v>
      </c>
      <c r="G243" s="1">
        <v>35</v>
      </c>
      <c r="H243" s="2">
        <v>0.1326866695196976</v>
      </c>
      <c r="I243" s="3">
        <v>502.05901185324399</v>
      </c>
      <c r="J243" s="3">
        <v>0.22</v>
      </c>
    </row>
    <row r="244" spans="1:10" x14ac:dyDescent="0.3">
      <c r="A244" t="s">
        <v>55</v>
      </c>
      <c r="B244" s="1">
        <v>28</v>
      </c>
      <c r="C244" s="1">
        <v>4</v>
      </c>
      <c r="D244" s="4">
        <v>16</v>
      </c>
      <c r="E244" s="3">
        <v>5.3084743571011064</v>
      </c>
      <c r="F244" s="1">
        <v>30</v>
      </c>
      <c r="G244" s="1">
        <v>44</v>
      </c>
      <c r="H244" s="2">
        <v>0.22188311816029316</v>
      </c>
      <c r="I244" s="3">
        <v>151.17196997745879</v>
      </c>
      <c r="J244" s="3">
        <v>0.22</v>
      </c>
    </row>
    <row r="245" spans="1:10" x14ac:dyDescent="0.3">
      <c r="B245" s="1">
        <v>28</v>
      </c>
      <c r="C245" s="1">
        <v>4</v>
      </c>
      <c r="D245" s="4">
        <v>16</v>
      </c>
      <c r="E245" s="3">
        <v>5.3084743571011064</v>
      </c>
      <c r="F245" s="1">
        <v>30</v>
      </c>
      <c r="G245" s="1">
        <v>44</v>
      </c>
      <c r="H245" s="2">
        <v>0.22188311816029316</v>
      </c>
      <c r="I245" s="3">
        <v>201.70659994135215</v>
      </c>
      <c r="J245" s="3">
        <v>0.25</v>
      </c>
    </row>
    <row r="246" spans="1:10" x14ac:dyDescent="0.3">
      <c r="B246" s="1">
        <v>28</v>
      </c>
      <c r="C246" s="1">
        <v>4</v>
      </c>
      <c r="D246" s="4">
        <v>16</v>
      </c>
      <c r="E246" s="3">
        <v>5.3084743571011064</v>
      </c>
      <c r="F246" s="1">
        <v>30</v>
      </c>
      <c r="G246" s="1">
        <v>44</v>
      </c>
      <c r="H246" s="2">
        <v>0.22188311816029316</v>
      </c>
      <c r="I246" s="3">
        <v>230.64523419418001</v>
      </c>
      <c r="J246" s="3">
        <v>0.28999999999999998</v>
      </c>
    </row>
    <row r="247" spans="1:10" x14ac:dyDescent="0.3">
      <c r="B247" s="1">
        <v>28</v>
      </c>
      <c r="C247" s="1">
        <v>4</v>
      </c>
      <c r="D247" s="4">
        <v>16</v>
      </c>
      <c r="E247" s="3">
        <v>5.3084743571011064</v>
      </c>
      <c r="F247" s="1">
        <v>30</v>
      </c>
      <c r="G247" s="1">
        <v>44</v>
      </c>
      <c r="H247" s="2">
        <v>0.22188311816029316</v>
      </c>
      <c r="I247" s="3">
        <v>263.90306758922088</v>
      </c>
      <c r="J247" s="3">
        <v>0.31</v>
      </c>
    </row>
    <row r="248" spans="1:10" x14ac:dyDescent="0.3">
      <c r="B248" s="1">
        <v>28</v>
      </c>
      <c r="C248" s="1">
        <v>4</v>
      </c>
      <c r="D248" s="4">
        <v>16</v>
      </c>
      <c r="E248" s="3">
        <v>5.3084743571011064</v>
      </c>
      <c r="F248" s="1">
        <v>30</v>
      </c>
      <c r="G248" s="1">
        <v>44</v>
      </c>
      <c r="H248" s="2">
        <v>0.22188311816029316</v>
      </c>
      <c r="I248" s="3">
        <v>315.73345729577818</v>
      </c>
      <c r="J248" s="3">
        <v>0.33</v>
      </c>
    </row>
    <row r="249" spans="1:10" x14ac:dyDescent="0.3">
      <c r="B249" s="1">
        <v>28</v>
      </c>
      <c r="C249" s="1">
        <v>4</v>
      </c>
      <c r="D249" s="4">
        <v>16</v>
      </c>
      <c r="E249" s="3">
        <v>5.3084743571011064</v>
      </c>
      <c r="F249" s="1">
        <v>30</v>
      </c>
      <c r="G249" s="1">
        <v>44</v>
      </c>
      <c r="H249" s="2">
        <v>0.22188311816029316</v>
      </c>
      <c r="I249" s="3">
        <v>342.08057206327823</v>
      </c>
      <c r="J249" s="3">
        <v>0.34</v>
      </c>
    </row>
    <row r="250" spans="1:10" x14ac:dyDescent="0.3">
      <c r="B250" s="1">
        <v>28</v>
      </c>
      <c r="C250" s="1">
        <v>4</v>
      </c>
      <c r="D250" s="4">
        <v>16</v>
      </c>
      <c r="E250" s="3">
        <v>5.3084743571011064</v>
      </c>
      <c r="F250" s="1">
        <v>30</v>
      </c>
      <c r="G250" s="1">
        <v>44</v>
      </c>
      <c r="H250" s="2">
        <v>0.22188311816029316</v>
      </c>
      <c r="I250" s="3">
        <v>380.5214444289748</v>
      </c>
      <c r="J250" s="3">
        <v>0.37</v>
      </c>
    </row>
    <row r="251" spans="1:10" x14ac:dyDescent="0.3">
      <c r="A251" t="s">
        <v>56</v>
      </c>
      <c r="B251" s="1">
        <v>15.9</v>
      </c>
      <c r="C251" s="1">
        <v>2</v>
      </c>
      <c r="D251" s="4">
        <v>46</v>
      </c>
      <c r="E251" s="3">
        <v>2.8258773978663156</v>
      </c>
      <c r="F251" s="1">
        <v>30</v>
      </c>
      <c r="G251" s="1">
        <v>38</v>
      </c>
      <c r="H251" s="2">
        <v>4.4148388230368388E-2</v>
      </c>
      <c r="I251" s="3">
        <v>361.66957450902817</v>
      </c>
      <c r="J251" s="3">
        <v>0.2</v>
      </c>
    </row>
    <row r="252" spans="1:10" x14ac:dyDescent="0.3">
      <c r="B252" s="1">
        <v>15.9</v>
      </c>
      <c r="C252" s="1">
        <v>2</v>
      </c>
      <c r="D252" s="4">
        <v>46</v>
      </c>
      <c r="E252" s="3">
        <v>2.8258773978663156</v>
      </c>
      <c r="F252" s="1">
        <v>30</v>
      </c>
      <c r="G252" s="1">
        <v>38</v>
      </c>
      <c r="H252" s="2">
        <v>4.4148388230368388E-2</v>
      </c>
      <c r="I252" s="3">
        <v>392.3</v>
      </c>
      <c r="J252" s="3">
        <v>0.35</v>
      </c>
    </row>
    <row r="253" spans="1:10" x14ac:dyDescent="0.3">
      <c r="A253" t="s">
        <v>57</v>
      </c>
      <c r="B253" s="1">
        <v>15.9</v>
      </c>
      <c r="C253" s="1">
        <v>2</v>
      </c>
      <c r="D253" s="4">
        <v>46</v>
      </c>
      <c r="E253" s="3">
        <v>2.8258773978663156</v>
      </c>
      <c r="F253" s="1">
        <v>30</v>
      </c>
      <c r="G253" s="1">
        <v>38</v>
      </c>
      <c r="H253" s="2">
        <v>4.4148388230368388E-2</v>
      </c>
      <c r="I253" s="3">
        <v>363.0041485847072</v>
      </c>
      <c r="J253" s="3">
        <v>0.2</v>
      </c>
    </row>
    <row r="254" spans="1:10" x14ac:dyDescent="0.3">
      <c r="B254" s="1">
        <v>15.9</v>
      </c>
      <c r="C254" s="1">
        <v>2</v>
      </c>
      <c r="D254" s="4">
        <v>46</v>
      </c>
      <c r="E254" s="3">
        <v>2.8258773978663156</v>
      </c>
      <c r="F254" s="1">
        <v>30</v>
      </c>
      <c r="G254" s="1">
        <v>38</v>
      </c>
      <c r="H254" s="2">
        <v>4.4148388230368388E-2</v>
      </c>
      <c r="I254" s="3">
        <v>392.3</v>
      </c>
      <c r="J254" s="3">
        <v>0.25</v>
      </c>
    </row>
    <row r="255" spans="1:10" x14ac:dyDescent="0.3">
      <c r="A255" t="s">
        <v>58</v>
      </c>
      <c r="B255" s="1">
        <v>15.9</v>
      </c>
      <c r="C255" s="1">
        <v>2</v>
      </c>
      <c r="D255" s="4">
        <v>46</v>
      </c>
      <c r="E255" s="3">
        <v>2.8258773978663156</v>
      </c>
      <c r="F255" s="1">
        <v>30</v>
      </c>
      <c r="G255" s="1">
        <v>38</v>
      </c>
      <c r="H255" s="2">
        <v>4.4148388230368388E-2</v>
      </c>
      <c r="I255" s="3">
        <v>363.0041485847072</v>
      </c>
      <c r="J255" s="3">
        <v>0.2</v>
      </c>
    </row>
    <row r="256" spans="1:10" x14ac:dyDescent="0.3">
      <c r="B256" s="1">
        <v>15.9</v>
      </c>
      <c r="C256" s="1">
        <v>2</v>
      </c>
      <c r="D256" s="4">
        <v>46</v>
      </c>
      <c r="E256" s="3">
        <v>2.8258773978663156</v>
      </c>
      <c r="F256" s="1">
        <v>30</v>
      </c>
      <c r="G256" s="1">
        <v>38</v>
      </c>
      <c r="H256" s="2">
        <v>4.4148388230368388E-2</v>
      </c>
      <c r="I256" s="3">
        <v>392.3</v>
      </c>
      <c r="J256" s="3">
        <v>0.25</v>
      </c>
    </row>
    <row r="257" spans="1:10" x14ac:dyDescent="0.3">
      <c r="A257" t="s">
        <v>59</v>
      </c>
      <c r="B257" s="1">
        <v>15.9</v>
      </c>
      <c r="C257" s="1">
        <v>2</v>
      </c>
      <c r="D257" s="4">
        <v>46</v>
      </c>
      <c r="E257" s="3">
        <v>2.8258773978663156</v>
      </c>
      <c r="F257" s="1">
        <v>30</v>
      </c>
      <c r="G257" s="1">
        <v>38</v>
      </c>
      <c r="H257" s="2">
        <v>4.4148388230368388E-2</v>
      </c>
      <c r="I257" s="3">
        <v>364.33872266038628</v>
      </c>
      <c r="J257" s="3">
        <v>0.2</v>
      </c>
    </row>
    <row r="258" spans="1:10" x14ac:dyDescent="0.3">
      <c r="B258" s="1">
        <v>15.9</v>
      </c>
      <c r="C258" s="1">
        <v>2</v>
      </c>
      <c r="D258" s="4">
        <v>46</v>
      </c>
      <c r="E258" s="3">
        <v>2.8258773978663156</v>
      </c>
      <c r="F258" s="1">
        <v>30</v>
      </c>
      <c r="G258" s="1">
        <v>38</v>
      </c>
      <c r="H258" s="2">
        <v>4.4148388230368388E-2</v>
      </c>
      <c r="I258" s="3">
        <v>392.3</v>
      </c>
      <c r="J258" s="3">
        <v>0.3</v>
      </c>
    </row>
    <row r="259" spans="1:10" x14ac:dyDescent="0.3">
      <c r="A259" t="s">
        <v>60</v>
      </c>
      <c r="B259" s="1">
        <v>12.7</v>
      </c>
      <c r="C259" s="1">
        <v>2</v>
      </c>
      <c r="D259" s="4">
        <v>52</v>
      </c>
      <c r="E259" s="3">
        <v>2.9208758709847928</v>
      </c>
      <c r="F259" s="1">
        <v>30</v>
      </c>
      <c r="G259" s="1">
        <v>36.5</v>
      </c>
      <c r="H259" s="2">
        <v>2.6406277928437891E-2</v>
      </c>
      <c r="I259" s="3">
        <v>317.10269794078823</v>
      </c>
      <c r="J259" s="3">
        <v>0.15</v>
      </c>
    </row>
    <row r="260" spans="1:10" x14ac:dyDescent="0.3">
      <c r="B260" s="1">
        <v>12.7</v>
      </c>
      <c r="C260" s="1">
        <v>2</v>
      </c>
      <c r="D260" s="4">
        <v>52</v>
      </c>
      <c r="E260" s="3">
        <v>2.9208758709847928</v>
      </c>
      <c r="F260" s="1">
        <v>30</v>
      </c>
      <c r="G260" s="1">
        <v>36.5</v>
      </c>
      <c r="H260" s="2">
        <v>2.6406277928437891E-2</v>
      </c>
      <c r="I260" s="3">
        <v>392.3</v>
      </c>
      <c r="J260" s="3">
        <v>0.2</v>
      </c>
    </row>
    <row r="261" spans="1:10" x14ac:dyDescent="0.3">
      <c r="A261" t="s">
        <v>61</v>
      </c>
      <c r="B261" s="1">
        <v>12.7</v>
      </c>
      <c r="C261" s="1">
        <v>2</v>
      </c>
      <c r="D261" s="4">
        <v>52</v>
      </c>
      <c r="E261" s="3">
        <v>2.9208758709847928</v>
      </c>
      <c r="F261" s="1">
        <v>30</v>
      </c>
      <c r="G261" s="1">
        <v>36.5</v>
      </c>
      <c r="H261" s="2">
        <v>2.6406277928437891E-2</v>
      </c>
      <c r="I261" s="3">
        <v>319.13540754297276</v>
      </c>
      <c r="J261" s="3">
        <v>0.15</v>
      </c>
    </row>
    <row r="262" spans="1:10" x14ac:dyDescent="0.3">
      <c r="B262" s="1">
        <v>12.7</v>
      </c>
      <c r="C262" s="1">
        <v>2</v>
      </c>
      <c r="D262" s="4">
        <v>52</v>
      </c>
      <c r="E262" s="3">
        <v>2.9208758709847928</v>
      </c>
      <c r="F262" s="1">
        <v>30</v>
      </c>
      <c r="G262" s="1">
        <v>36.5</v>
      </c>
      <c r="H262" s="2">
        <v>2.6406277928437891E-2</v>
      </c>
      <c r="I262" s="3">
        <v>392.3</v>
      </c>
      <c r="J262" s="3">
        <v>0.2</v>
      </c>
    </row>
    <row r="263" spans="1:10" x14ac:dyDescent="0.3">
      <c r="A263" t="s">
        <v>62</v>
      </c>
      <c r="B263" s="1">
        <v>15.9</v>
      </c>
      <c r="C263" s="1">
        <v>2</v>
      </c>
      <c r="D263" s="4">
        <v>46</v>
      </c>
      <c r="E263" s="3">
        <v>2.9208758709847928</v>
      </c>
      <c r="F263" s="1">
        <v>30</v>
      </c>
      <c r="G263" s="1">
        <v>38</v>
      </c>
      <c r="H263" s="2">
        <v>4.4034980538332921E-2</v>
      </c>
      <c r="I263" s="3">
        <v>260.02902224680844</v>
      </c>
      <c r="J263" s="3">
        <v>0.15</v>
      </c>
    </row>
    <row r="264" spans="1:10" x14ac:dyDescent="0.3">
      <c r="B264" s="1">
        <v>15.9</v>
      </c>
      <c r="C264" s="1">
        <v>2</v>
      </c>
      <c r="D264" s="4">
        <v>46</v>
      </c>
      <c r="E264" s="3">
        <v>2.9208758709847928</v>
      </c>
      <c r="F264" s="1">
        <v>30</v>
      </c>
      <c r="G264" s="1">
        <v>38</v>
      </c>
      <c r="H264" s="2">
        <v>4.4034980538332921E-2</v>
      </c>
      <c r="I264" s="3">
        <v>365.37411331090004</v>
      </c>
      <c r="J264" s="3">
        <v>0.25</v>
      </c>
    </row>
    <row r="265" spans="1:10" x14ac:dyDescent="0.3">
      <c r="B265" s="1">
        <v>15.9</v>
      </c>
      <c r="C265" s="1">
        <v>2</v>
      </c>
      <c r="D265" s="4">
        <v>46</v>
      </c>
      <c r="E265" s="3">
        <v>2.9208758709847928</v>
      </c>
      <c r="F265" s="1">
        <v>30</v>
      </c>
      <c r="G265" s="1">
        <v>38</v>
      </c>
      <c r="H265" s="2">
        <v>4.4034980538332921E-2</v>
      </c>
      <c r="I265" s="3">
        <v>392.3</v>
      </c>
      <c r="J265" s="3">
        <v>0.3</v>
      </c>
    </row>
    <row r="266" spans="1:10" x14ac:dyDescent="0.3">
      <c r="A266" t="s">
        <v>63</v>
      </c>
      <c r="B266" s="1">
        <v>15.9</v>
      </c>
      <c r="C266" s="1">
        <v>2</v>
      </c>
      <c r="D266" s="4">
        <v>46</v>
      </c>
      <c r="E266" s="3">
        <v>2.9208758709847928</v>
      </c>
      <c r="F266" s="1">
        <v>30</v>
      </c>
      <c r="G266" s="1">
        <v>38</v>
      </c>
      <c r="H266" s="2">
        <v>4.4034980538332921E-2</v>
      </c>
      <c r="I266" s="3">
        <v>261.36250441217675</v>
      </c>
      <c r="J266" s="3">
        <v>0.15</v>
      </c>
    </row>
    <row r="267" spans="1:10" x14ac:dyDescent="0.3">
      <c r="B267" s="1">
        <v>15.9</v>
      </c>
      <c r="C267" s="1">
        <v>2</v>
      </c>
      <c r="D267" s="4">
        <v>46</v>
      </c>
      <c r="E267" s="3">
        <v>2.9208758709847928</v>
      </c>
      <c r="F267" s="1">
        <v>30</v>
      </c>
      <c r="G267" s="1">
        <v>38</v>
      </c>
      <c r="H267" s="2">
        <v>4.4034980538332921E-2</v>
      </c>
      <c r="I267" s="3">
        <v>366.70759547626835</v>
      </c>
      <c r="J267" s="3">
        <v>0.25</v>
      </c>
    </row>
    <row r="268" spans="1:10" x14ac:dyDescent="0.3">
      <c r="A268" t="s">
        <v>64</v>
      </c>
      <c r="B268" s="1">
        <v>19.100000000000001</v>
      </c>
      <c r="C268" s="1">
        <v>2</v>
      </c>
      <c r="D268" s="4">
        <v>40</v>
      </c>
      <c r="E268" s="3">
        <v>2.9208758709847928</v>
      </c>
      <c r="F268" s="1">
        <v>30</v>
      </c>
      <c r="G268" s="1">
        <v>39.5</v>
      </c>
      <c r="H268" s="2">
        <v>6.7418833961836511E-2</v>
      </c>
      <c r="I268" s="3">
        <v>187.02573904138569</v>
      </c>
      <c r="J268" s="3">
        <v>0.15</v>
      </c>
    </row>
    <row r="269" spans="1:10" x14ac:dyDescent="0.3">
      <c r="B269" s="1">
        <v>19.100000000000001</v>
      </c>
      <c r="C269" s="1">
        <v>2</v>
      </c>
      <c r="D269" s="4">
        <v>40</v>
      </c>
      <c r="E269" s="3">
        <v>2.9208758709847928</v>
      </c>
      <c r="F269" s="1">
        <v>30</v>
      </c>
      <c r="G269" s="1">
        <v>39.5</v>
      </c>
      <c r="H269" s="2">
        <v>6.7418833961836511E-2</v>
      </c>
      <c r="I269" s="3">
        <v>261.07653927096982</v>
      </c>
      <c r="J269" s="3">
        <v>0.2</v>
      </c>
    </row>
    <row r="270" spans="1:10" x14ac:dyDescent="0.3">
      <c r="B270" s="1">
        <v>19.100000000000001</v>
      </c>
      <c r="C270" s="1">
        <v>2</v>
      </c>
      <c r="D270" s="4">
        <v>40</v>
      </c>
      <c r="E270" s="3">
        <v>2.9208758709847928</v>
      </c>
      <c r="F270" s="1">
        <v>30</v>
      </c>
      <c r="G270" s="1">
        <v>39.5</v>
      </c>
      <c r="H270" s="2">
        <v>6.7418833961836511E-2</v>
      </c>
      <c r="I270" s="3">
        <v>336.07670873426662</v>
      </c>
      <c r="J270" s="3">
        <v>0.3</v>
      </c>
    </row>
    <row r="271" spans="1:10" x14ac:dyDescent="0.3">
      <c r="B271" s="1">
        <v>19.100000000000001</v>
      </c>
      <c r="C271" s="1">
        <v>2</v>
      </c>
      <c r="D271" s="4">
        <v>40</v>
      </c>
      <c r="E271" s="3">
        <v>2.9208758709847928</v>
      </c>
      <c r="F271" s="1">
        <v>30</v>
      </c>
      <c r="G271" s="1">
        <v>39.5</v>
      </c>
      <c r="H271" s="2">
        <v>6.7418833961836511E-2</v>
      </c>
      <c r="I271" s="3">
        <v>392.3</v>
      </c>
      <c r="J271" s="3">
        <v>0.33</v>
      </c>
    </row>
    <row r="272" spans="1:10" x14ac:dyDescent="0.3">
      <c r="A272" t="s">
        <v>65</v>
      </c>
      <c r="B272" s="1">
        <v>19.100000000000001</v>
      </c>
      <c r="C272" s="1">
        <v>2</v>
      </c>
      <c r="D272" s="4">
        <v>40</v>
      </c>
      <c r="E272" s="3">
        <v>2.9208758709847928</v>
      </c>
      <c r="F272" s="1">
        <v>30</v>
      </c>
      <c r="G272" s="1">
        <v>39.5</v>
      </c>
      <c r="H272" s="2">
        <v>6.7418833961836511E-2</v>
      </c>
      <c r="I272" s="3">
        <v>186.07636980767307</v>
      </c>
      <c r="J272" s="3">
        <v>0.15</v>
      </c>
    </row>
    <row r="273" spans="1:10" x14ac:dyDescent="0.3">
      <c r="B273" s="1">
        <v>19.100000000000001</v>
      </c>
      <c r="C273" s="1">
        <v>2</v>
      </c>
      <c r="D273" s="4">
        <v>40</v>
      </c>
      <c r="E273" s="3">
        <v>2.9208758709847928</v>
      </c>
      <c r="F273" s="1">
        <v>30</v>
      </c>
      <c r="G273" s="1">
        <v>39.5</v>
      </c>
      <c r="H273" s="2">
        <v>6.7418833961836511E-2</v>
      </c>
      <c r="I273" s="3">
        <v>259.17780080354459</v>
      </c>
      <c r="J273" s="3">
        <v>0.25</v>
      </c>
    </row>
    <row r="274" spans="1:10" x14ac:dyDescent="0.3">
      <c r="B274" s="1">
        <v>19.100000000000001</v>
      </c>
      <c r="C274" s="1">
        <v>2</v>
      </c>
      <c r="D274" s="4">
        <v>40</v>
      </c>
      <c r="E274" s="3">
        <v>2.9208758709847928</v>
      </c>
      <c r="F274" s="1">
        <v>30</v>
      </c>
      <c r="G274" s="1">
        <v>39.5</v>
      </c>
      <c r="H274" s="2">
        <v>6.7418833961836511E-2</v>
      </c>
      <c r="I274" s="3">
        <v>333.22860103312883</v>
      </c>
      <c r="J274" s="3">
        <v>0.28000000000000003</v>
      </c>
    </row>
    <row r="275" spans="1:10" x14ac:dyDescent="0.3">
      <c r="A275" t="s">
        <v>66</v>
      </c>
      <c r="B275" s="1">
        <v>15.9</v>
      </c>
      <c r="C275" s="1">
        <v>2</v>
      </c>
      <c r="D275" s="4">
        <v>46</v>
      </c>
      <c r="E275" s="3">
        <v>3.3538794827423906</v>
      </c>
      <c r="F275" s="1">
        <v>30</v>
      </c>
      <c r="G275" s="1">
        <v>38</v>
      </c>
      <c r="H275" s="2">
        <v>4.3572731080932514E-2</v>
      </c>
      <c r="I275" s="3">
        <v>365.47269151625068</v>
      </c>
      <c r="J275" s="3">
        <v>0.2</v>
      </c>
    </row>
    <row r="276" spans="1:10" x14ac:dyDescent="0.3">
      <c r="B276" s="1">
        <v>15.9</v>
      </c>
      <c r="C276" s="1">
        <v>2</v>
      </c>
      <c r="D276" s="4">
        <v>46</v>
      </c>
      <c r="E276" s="3">
        <v>3.3538794827423906</v>
      </c>
      <c r="F276" s="1">
        <v>30</v>
      </c>
      <c r="G276" s="1">
        <v>38</v>
      </c>
      <c r="H276" s="2">
        <v>4.3572731080932514E-2</v>
      </c>
      <c r="I276" s="3">
        <v>392.3</v>
      </c>
      <c r="J276" s="3">
        <v>0.22</v>
      </c>
    </row>
    <row r="277" spans="1:10" x14ac:dyDescent="0.3">
      <c r="A277" t="s">
        <v>67</v>
      </c>
      <c r="B277" s="1">
        <v>15.9</v>
      </c>
      <c r="C277" s="1">
        <v>2</v>
      </c>
      <c r="D277" s="4">
        <v>46</v>
      </c>
      <c r="E277" s="3">
        <v>3.3538794827423906</v>
      </c>
      <c r="F277" s="1">
        <v>30</v>
      </c>
      <c r="G277" s="1">
        <v>38</v>
      </c>
      <c r="H277" s="2">
        <v>4.3572731080932514E-2</v>
      </c>
      <c r="I277" s="3">
        <v>365.47269151625068</v>
      </c>
      <c r="J277" s="3">
        <v>0.17</v>
      </c>
    </row>
    <row r="278" spans="1:10" x14ac:dyDescent="0.3">
      <c r="B278" s="1">
        <v>15.9</v>
      </c>
      <c r="C278" s="1">
        <v>2</v>
      </c>
      <c r="D278" s="4">
        <v>46</v>
      </c>
      <c r="E278" s="3">
        <v>3.3538794827423906</v>
      </c>
      <c r="F278" s="1">
        <v>30</v>
      </c>
      <c r="G278" s="1">
        <v>38</v>
      </c>
      <c r="H278" s="2">
        <v>4.3572731080932514E-2</v>
      </c>
      <c r="I278" s="3">
        <v>392.3</v>
      </c>
      <c r="J278" s="3">
        <v>0.21</v>
      </c>
    </row>
    <row r="279" spans="1:10" x14ac:dyDescent="0.3">
      <c r="A279" t="s">
        <v>68</v>
      </c>
      <c r="B279" s="1">
        <v>19.100000000000001</v>
      </c>
      <c r="C279" s="1">
        <v>2</v>
      </c>
      <c r="D279" s="4">
        <v>40</v>
      </c>
      <c r="E279" s="3">
        <v>3.3538794827423906</v>
      </c>
      <c r="F279" s="1">
        <v>30</v>
      </c>
      <c r="G279" s="1">
        <v>39.5</v>
      </c>
      <c r="H279" s="2">
        <v>6.6596536025101183E-2</v>
      </c>
      <c r="I279" s="3">
        <v>221.31013180149799</v>
      </c>
      <c r="J279" s="3">
        <v>0.17</v>
      </c>
    </row>
    <row r="280" spans="1:10" x14ac:dyDescent="0.3">
      <c r="B280" s="1">
        <v>19.100000000000001</v>
      </c>
      <c r="C280" s="1">
        <v>2</v>
      </c>
      <c r="D280" s="4">
        <v>40</v>
      </c>
      <c r="E280" s="3">
        <v>3.3538794827423906</v>
      </c>
      <c r="F280" s="1">
        <v>30</v>
      </c>
      <c r="G280" s="1">
        <v>39.5</v>
      </c>
      <c r="H280" s="2">
        <v>6.6596536025101183E-2</v>
      </c>
      <c r="I280" s="3">
        <v>259.14092356243782</v>
      </c>
      <c r="J280" s="3">
        <v>0.18</v>
      </c>
    </row>
    <row r="281" spans="1:10" x14ac:dyDescent="0.3">
      <c r="B281" s="1">
        <v>19.100000000000001</v>
      </c>
      <c r="C281" s="1">
        <v>2</v>
      </c>
      <c r="D281" s="4">
        <v>40</v>
      </c>
      <c r="E281" s="3">
        <v>3.3538794827423906</v>
      </c>
      <c r="F281" s="1">
        <v>30</v>
      </c>
      <c r="G281" s="1">
        <v>39.5</v>
      </c>
      <c r="H281" s="2">
        <v>6.6596536025101183E-2</v>
      </c>
      <c r="I281" s="3">
        <v>296.0259455293542</v>
      </c>
      <c r="J281" s="3">
        <v>0.2</v>
      </c>
    </row>
    <row r="282" spans="1:10" x14ac:dyDescent="0.3">
      <c r="B282" s="1">
        <v>19.100000000000001</v>
      </c>
      <c r="C282" s="1">
        <v>2</v>
      </c>
      <c r="D282" s="4">
        <v>40</v>
      </c>
      <c r="E282" s="3">
        <v>3.3538794827423906</v>
      </c>
      <c r="F282" s="1">
        <v>30</v>
      </c>
      <c r="G282" s="1">
        <v>39.5</v>
      </c>
      <c r="H282" s="2">
        <v>6.6596536025101183E-2</v>
      </c>
      <c r="I282" s="3">
        <v>333.85673729029395</v>
      </c>
      <c r="J282" s="3">
        <v>0.2</v>
      </c>
    </row>
    <row r="283" spans="1:10" x14ac:dyDescent="0.3">
      <c r="B283" s="1">
        <v>19.100000000000001</v>
      </c>
      <c r="C283" s="1">
        <v>2</v>
      </c>
      <c r="D283" s="4">
        <v>40</v>
      </c>
      <c r="E283" s="3">
        <v>3.3538794827423906</v>
      </c>
      <c r="F283" s="1">
        <v>30</v>
      </c>
      <c r="G283" s="1">
        <v>39.5</v>
      </c>
      <c r="H283" s="2">
        <v>6.6596536025101183E-2</v>
      </c>
      <c r="I283" s="3">
        <v>369.79598946318686</v>
      </c>
      <c r="J283" s="3">
        <v>0.25</v>
      </c>
    </row>
    <row r="284" spans="1:10" x14ac:dyDescent="0.3">
      <c r="B284" s="1">
        <v>19.100000000000001</v>
      </c>
      <c r="C284" s="1">
        <v>2</v>
      </c>
      <c r="D284" s="4">
        <v>40</v>
      </c>
      <c r="E284" s="3">
        <v>3.3538794827423906</v>
      </c>
      <c r="F284" s="1">
        <v>30</v>
      </c>
      <c r="G284" s="1">
        <v>39.5</v>
      </c>
      <c r="H284" s="2">
        <v>6.6596536025101183E-2</v>
      </c>
      <c r="I284" s="3">
        <v>392.3</v>
      </c>
      <c r="J284" s="3">
        <v>0.27</v>
      </c>
    </row>
    <row r="285" spans="1:10" x14ac:dyDescent="0.3">
      <c r="A285" t="s">
        <v>69</v>
      </c>
      <c r="B285" s="1">
        <v>19.100000000000001</v>
      </c>
      <c r="C285" s="1">
        <v>2</v>
      </c>
      <c r="D285" s="4">
        <v>40</v>
      </c>
      <c r="E285" s="3">
        <v>3.3538794827423906</v>
      </c>
      <c r="F285" s="1">
        <v>30</v>
      </c>
      <c r="G285" s="1">
        <v>39.5</v>
      </c>
      <c r="H285" s="2">
        <v>6.6596536025101183E-2</v>
      </c>
      <c r="I285" s="3">
        <v>296.0259455293542</v>
      </c>
      <c r="J285" s="3">
        <v>0.18</v>
      </c>
    </row>
    <row r="286" spans="1:10" x14ac:dyDescent="0.3">
      <c r="B286" s="1">
        <v>19.100000000000001</v>
      </c>
      <c r="C286" s="1">
        <v>2</v>
      </c>
      <c r="D286" s="4">
        <v>40</v>
      </c>
      <c r="E286" s="3">
        <v>3.3538794827423906</v>
      </c>
      <c r="F286" s="1">
        <v>30</v>
      </c>
      <c r="G286" s="1">
        <v>39.5</v>
      </c>
      <c r="H286" s="2">
        <v>6.6596536025101183E-2</v>
      </c>
      <c r="I286" s="3">
        <v>331.965197702247</v>
      </c>
      <c r="J286" s="3">
        <v>0.19</v>
      </c>
    </row>
    <row r="287" spans="1:10" x14ac:dyDescent="0.3">
      <c r="B287" s="1">
        <v>19.100000000000001</v>
      </c>
      <c r="C287" s="1">
        <v>2</v>
      </c>
      <c r="D287" s="4">
        <v>40</v>
      </c>
      <c r="E287" s="3">
        <v>3.3538794827423906</v>
      </c>
      <c r="F287" s="1">
        <v>30</v>
      </c>
      <c r="G287" s="1">
        <v>39.5</v>
      </c>
      <c r="H287" s="2">
        <v>6.6596536025101183E-2</v>
      </c>
      <c r="I287" s="3">
        <v>369.79598946318686</v>
      </c>
      <c r="J287" s="3">
        <v>0.21</v>
      </c>
    </row>
    <row r="288" spans="1:10" x14ac:dyDescent="0.3">
      <c r="B288" s="1">
        <v>19.100000000000001</v>
      </c>
      <c r="C288" s="1">
        <v>2</v>
      </c>
      <c r="D288" s="4">
        <v>40</v>
      </c>
      <c r="E288" s="3">
        <v>3.3538794827423906</v>
      </c>
      <c r="F288" s="1">
        <v>30</v>
      </c>
      <c r="G288" s="1">
        <v>39.5</v>
      </c>
      <c r="H288" s="2">
        <v>6.6596536025101183E-2</v>
      </c>
      <c r="I288" s="3">
        <v>392.3</v>
      </c>
      <c r="J288" s="3">
        <v>0.26</v>
      </c>
    </row>
    <row r="289" spans="1:10" x14ac:dyDescent="0.3">
      <c r="A289" t="s">
        <v>70</v>
      </c>
      <c r="B289" s="1">
        <v>19.100000000000001</v>
      </c>
      <c r="C289" s="1">
        <v>2</v>
      </c>
      <c r="D289" s="4">
        <v>69.8</v>
      </c>
      <c r="E289" s="3">
        <v>2.900328825179082</v>
      </c>
      <c r="F289" s="1">
        <v>31.8</v>
      </c>
      <c r="G289" s="1">
        <v>41.4</v>
      </c>
      <c r="H289" s="2">
        <v>4.0651443689720533E-2</v>
      </c>
      <c r="I289" s="3">
        <v>203.02249313738358</v>
      </c>
      <c r="J289" s="3">
        <v>0.17</v>
      </c>
    </row>
    <row r="290" spans="1:10" x14ac:dyDescent="0.3">
      <c r="B290" s="1">
        <v>19.100000000000001</v>
      </c>
      <c r="C290" s="1">
        <v>2</v>
      </c>
      <c r="D290" s="4">
        <v>69.8</v>
      </c>
      <c r="E290" s="3">
        <v>2.900328825179082</v>
      </c>
      <c r="F290" s="1">
        <v>31.8</v>
      </c>
      <c r="G290" s="1">
        <v>41.4</v>
      </c>
      <c r="H290" s="2">
        <v>4.0651443689720533E-2</v>
      </c>
      <c r="I290" s="3">
        <v>244.50020678910712</v>
      </c>
      <c r="J290" s="3">
        <v>0.23</v>
      </c>
    </row>
    <row r="291" spans="1:10" x14ac:dyDescent="0.3">
      <c r="B291" s="1">
        <v>19.100000000000001</v>
      </c>
      <c r="C291" s="1">
        <v>2</v>
      </c>
      <c r="D291" s="4">
        <v>69.8</v>
      </c>
      <c r="E291" s="3">
        <v>2.900328825179082</v>
      </c>
      <c r="F291" s="1">
        <v>31.8</v>
      </c>
      <c r="G291" s="1">
        <v>41.4</v>
      </c>
      <c r="H291" s="2">
        <v>4.0651443689720533E-2</v>
      </c>
      <c r="I291" s="3">
        <v>275.8</v>
      </c>
      <c r="J291" s="3">
        <v>0.27</v>
      </c>
    </row>
    <row r="292" spans="1:10" x14ac:dyDescent="0.3">
      <c r="A292" t="s">
        <v>71</v>
      </c>
      <c r="B292" s="1">
        <v>19.100000000000001</v>
      </c>
      <c r="C292" s="1">
        <v>2</v>
      </c>
      <c r="D292" s="4">
        <v>69.8</v>
      </c>
      <c r="E292" s="3">
        <v>2.8466918957142089</v>
      </c>
      <c r="F292" s="1">
        <v>31.8</v>
      </c>
      <c r="G292" s="1">
        <v>41.4</v>
      </c>
      <c r="H292" s="2">
        <v>4.0711184462321949E-2</v>
      </c>
      <c r="I292" s="3">
        <v>275.8</v>
      </c>
      <c r="J292" s="3">
        <v>0.16</v>
      </c>
    </row>
    <row r="293" spans="1:10" x14ac:dyDescent="0.3">
      <c r="A293" t="s">
        <v>72</v>
      </c>
      <c r="B293" s="1">
        <v>19.100000000000001</v>
      </c>
      <c r="C293" s="1">
        <v>2</v>
      </c>
      <c r="D293" s="4">
        <v>69.8</v>
      </c>
      <c r="E293" s="3">
        <v>2.711321473488328</v>
      </c>
      <c r="F293" s="1">
        <v>38.200000000000003</v>
      </c>
      <c r="G293" s="1">
        <v>47.7</v>
      </c>
      <c r="H293" s="2">
        <v>4.0691908981937738E-2</v>
      </c>
      <c r="I293" s="3">
        <v>249.74588434606099</v>
      </c>
      <c r="J293" s="3">
        <v>0.16</v>
      </c>
    </row>
    <row r="294" spans="1:10" x14ac:dyDescent="0.3">
      <c r="B294" s="1">
        <v>19.100000000000001</v>
      </c>
      <c r="C294" s="1">
        <v>2</v>
      </c>
      <c r="D294" s="4">
        <v>69.8</v>
      </c>
      <c r="E294" s="3">
        <v>2.711321473488328</v>
      </c>
      <c r="F294" s="1">
        <v>38.200000000000003</v>
      </c>
      <c r="G294" s="1">
        <v>47.7</v>
      </c>
      <c r="H294" s="2">
        <v>4.0691908981937738E-2</v>
      </c>
      <c r="I294" s="3">
        <v>275.8</v>
      </c>
      <c r="J294" s="3">
        <v>0.2</v>
      </c>
    </row>
    <row r="295" spans="1:10" x14ac:dyDescent="0.3">
      <c r="A295" t="s">
        <v>73</v>
      </c>
      <c r="B295" s="1">
        <v>22.2</v>
      </c>
      <c r="C295" s="1">
        <v>2</v>
      </c>
      <c r="D295" s="4">
        <v>63.6</v>
      </c>
      <c r="E295" s="3">
        <v>2.6879866270061714</v>
      </c>
      <c r="F295" s="1">
        <v>12.8</v>
      </c>
      <c r="G295" s="1">
        <v>23.9</v>
      </c>
      <c r="H295" s="2">
        <v>8.499983527163707E-2</v>
      </c>
      <c r="I295" s="3">
        <v>271.28943756037444</v>
      </c>
      <c r="J295" s="3">
        <v>0.17</v>
      </c>
    </row>
    <row r="296" spans="1:10" x14ac:dyDescent="0.3">
      <c r="A296" t="s">
        <v>74</v>
      </c>
      <c r="B296" s="1">
        <v>22.2</v>
      </c>
      <c r="C296" s="1">
        <v>2</v>
      </c>
      <c r="D296" s="4">
        <v>63.6</v>
      </c>
      <c r="E296" s="3">
        <v>2.3846015710371389</v>
      </c>
      <c r="F296" s="1">
        <v>38</v>
      </c>
      <c r="G296" s="1">
        <v>49.1</v>
      </c>
      <c r="H296" s="2">
        <v>5.9022388890402282E-2</v>
      </c>
      <c r="I296" s="3">
        <v>195.11352598003063</v>
      </c>
      <c r="J296" s="3">
        <v>0.15</v>
      </c>
    </row>
    <row r="297" spans="1:10" x14ac:dyDescent="0.3">
      <c r="B297" s="1">
        <v>22.2</v>
      </c>
      <c r="C297" s="1">
        <v>2</v>
      </c>
      <c r="D297" s="4">
        <v>63.6</v>
      </c>
      <c r="E297" s="3">
        <v>2.3846015710371389</v>
      </c>
      <c r="F297" s="1">
        <v>38</v>
      </c>
      <c r="G297" s="1">
        <v>49.1</v>
      </c>
      <c r="H297" s="2">
        <v>5.9022388890402282E-2</v>
      </c>
      <c r="I297" s="3">
        <v>226.947036463892</v>
      </c>
      <c r="J297" s="3">
        <v>0.19</v>
      </c>
    </row>
    <row r="298" spans="1:10" x14ac:dyDescent="0.3">
      <c r="B298" s="1">
        <v>22.2</v>
      </c>
      <c r="C298" s="1">
        <v>2</v>
      </c>
      <c r="D298" s="4">
        <v>63.6</v>
      </c>
      <c r="E298" s="3">
        <v>2.3846015710371389</v>
      </c>
      <c r="F298" s="1">
        <v>38</v>
      </c>
      <c r="G298" s="1">
        <v>49.1</v>
      </c>
      <c r="H298" s="2">
        <v>5.9022388890402282E-2</v>
      </c>
      <c r="I298" s="3">
        <v>260.91293520983021</v>
      </c>
      <c r="J298" s="3">
        <v>0.22</v>
      </c>
    </row>
    <row r="299" spans="1:10" x14ac:dyDescent="0.3">
      <c r="B299" s="1">
        <v>22.2</v>
      </c>
      <c r="C299" s="1">
        <v>2</v>
      </c>
      <c r="D299" s="4">
        <v>63.6</v>
      </c>
      <c r="E299" s="3">
        <v>2.3846015710371389</v>
      </c>
      <c r="F299" s="1">
        <v>38</v>
      </c>
      <c r="G299" s="1">
        <v>49.1</v>
      </c>
      <c r="H299" s="2">
        <v>5.9022388890402282E-2</v>
      </c>
      <c r="I299" s="3">
        <v>275.8</v>
      </c>
      <c r="J299" s="3">
        <v>0.27</v>
      </c>
    </row>
    <row r="300" spans="1:10" x14ac:dyDescent="0.3">
      <c r="A300" t="s">
        <v>75</v>
      </c>
      <c r="B300" s="1">
        <v>22.2</v>
      </c>
      <c r="C300" s="1">
        <v>2</v>
      </c>
      <c r="D300" s="4">
        <v>63.6</v>
      </c>
      <c r="E300" s="3">
        <v>2.8648423476200775</v>
      </c>
      <c r="F300" s="1">
        <v>38</v>
      </c>
      <c r="G300" s="1">
        <v>49.1</v>
      </c>
      <c r="H300" s="2">
        <v>5.8054054206432525E-2</v>
      </c>
      <c r="I300" s="3">
        <v>259.63215176616467</v>
      </c>
      <c r="J300" s="3">
        <v>0.17</v>
      </c>
    </row>
    <row r="301" spans="1:10" x14ac:dyDescent="0.3">
      <c r="B301" s="1">
        <v>22.2</v>
      </c>
      <c r="C301" s="1">
        <v>2</v>
      </c>
      <c r="D301" s="4">
        <v>63.6</v>
      </c>
      <c r="E301" s="3">
        <v>2.8648423476200775</v>
      </c>
      <c r="F301" s="1">
        <v>38</v>
      </c>
      <c r="G301" s="1">
        <v>49.1</v>
      </c>
      <c r="H301" s="2">
        <v>5.8054054206432525E-2</v>
      </c>
      <c r="I301" s="3">
        <v>275.8</v>
      </c>
      <c r="J301" s="3">
        <v>0.2</v>
      </c>
    </row>
    <row r="302" spans="1:10" x14ac:dyDescent="0.3">
      <c r="A302" t="s">
        <v>76</v>
      </c>
      <c r="B302" s="1">
        <v>22.2</v>
      </c>
      <c r="C302" s="1">
        <v>2</v>
      </c>
      <c r="D302" s="4">
        <v>63.6</v>
      </c>
      <c r="E302" s="3">
        <v>2.8336917902498859</v>
      </c>
      <c r="F302" s="1">
        <v>38</v>
      </c>
      <c r="G302" s="1">
        <v>49.1</v>
      </c>
      <c r="H302" s="2">
        <v>5.8110239594394375E-2</v>
      </c>
      <c r="I302" s="3">
        <v>194.21192690601001</v>
      </c>
      <c r="J302" s="3">
        <v>0.15</v>
      </c>
    </row>
    <row r="303" spans="1:10" x14ac:dyDescent="0.3">
      <c r="B303" s="1">
        <v>22.2</v>
      </c>
      <c r="C303" s="1">
        <v>2</v>
      </c>
      <c r="D303" s="4">
        <v>63.6</v>
      </c>
      <c r="E303" s="3">
        <v>2.8336917902498859</v>
      </c>
      <c r="F303" s="1">
        <v>38</v>
      </c>
      <c r="G303" s="1">
        <v>49.1</v>
      </c>
      <c r="H303" s="2">
        <v>5.8110239594394375E-2</v>
      </c>
      <c r="I303" s="3">
        <v>225.89833808739655</v>
      </c>
      <c r="J303" s="3">
        <v>0.18</v>
      </c>
    </row>
    <row r="304" spans="1:10" x14ac:dyDescent="0.3">
      <c r="B304" s="1">
        <v>22.2</v>
      </c>
      <c r="C304" s="1">
        <v>2</v>
      </c>
      <c r="D304" s="4">
        <v>63.6</v>
      </c>
      <c r="E304" s="3">
        <v>2.8336917902498859</v>
      </c>
      <c r="F304" s="1">
        <v>38</v>
      </c>
      <c r="G304" s="1">
        <v>49.1</v>
      </c>
      <c r="H304" s="2">
        <v>5.8110239594394375E-2</v>
      </c>
      <c r="I304" s="3">
        <v>259.70728398906732</v>
      </c>
      <c r="J304" s="3">
        <v>0.22</v>
      </c>
    </row>
    <row r="305" spans="1:10" x14ac:dyDescent="0.3">
      <c r="B305" s="1">
        <v>22.2</v>
      </c>
      <c r="C305" s="1">
        <v>2</v>
      </c>
      <c r="D305" s="4">
        <v>63.6</v>
      </c>
      <c r="E305" s="3">
        <v>2.8336917902498859</v>
      </c>
      <c r="F305" s="1">
        <v>38</v>
      </c>
      <c r="G305" s="1">
        <v>49.1</v>
      </c>
      <c r="H305" s="2">
        <v>5.8110239594394375E-2</v>
      </c>
      <c r="I305" s="3">
        <v>275.8</v>
      </c>
      <c r="J305" s="3">
        <v>0.25</v>
      </c>
    </row>
    <row r="306" spans="1:10" x14ac:dyDescent="0.3">
      <c r="A306" t="s">
        <v>77</v>
      </c>
      <c r="B306" s="1">
        <v>22.2</v>
      </c>
      <c r="C306" s="1">
        <v>2</v>
      </c>
      <c r="D306" s="4">
        <v>63.6</v>
      </c>
      <c r="E306" s="3">
        <v>2.7563734268389184</v>
      </c>
      <c r="F306" s="1">
        <v>38</v>
      </c>
      <c r="G306" s="1">
        <v>49.1</v>
      </c>
      <c r="H306" s="2">
        <v>5.8253253556272706E-2</v>
      </c>
      <c r="I306" s="3">
        <v>194.35459603250266</v>
      </c>
      <c r="J306" s="3">
        <v>0.2</v>
      </c>
    </row>
    <row r="307" spans="1:10" x14ac:dyDescent="0.3">
      <c r="B307" s="1">
        <v>22.2</v>
      </c>
      <c r="C307" s="1">
        <v>2</v>
      </c>
      <c r="D307" s="4">
        <v>63.6</v>
      </c>
      <c r="E307" s="3">
        <v>2.7563734268389184</v>
      </c>
      <c r="F307" s="1">
        <v>38</v>
      </c>
      <c r="G307" s="1">
        <v>49.1</v>
      </c>
      <c r="H307" s="2">
        <v>5.8253253556272706E-2</v>
      </c>
      <c r="I307" s="3">
        <v>226.06428422203666</v>
      </c>
      <c r="J307" s="3">
        <v>0.25</v>
      </c>
    </row>
    <row r="308" spans="1:10" x14ac:dyDescent="0.3">
      <c r="B308" s="1">
        <v>22.2</v>
      </c>
      <c r="C308" s="1">
        <v>2</v>
      </c>
      <c r="D308" s="4">
        <v>63.6</v>
      </c>
      <c r="E308" s="3">
        <v>2.7563734268389184</v>
      </c>
      <c r="F308" s="1">
        <v>38</v>
      </c>
      <c r="G308" s="1">
        <v>49.1</v>
      </c>
      <c r="H308" s="2">
        <v>5.8253253556272706E-2</v>
      </c>
      <c r="I308" s="3">
        <v>259.8980663572811</v>
      </c>
      <c r="J308" s="3">
        <v>0.3</v>
      </c>
    </row>
    <row r="309" spans="1:10" x14ac:dyDescent="0.3">
      <c r="B309" s="1">
        <v>22.2</v>
      </c>
      <c r="C309" s="1">
        <v>2</v>
      </c>
      <c r="D309" s="4">
        <v>63.6</v>
      </c>
      <c r="E309" s="3">
        <v>2.7563734268389184</v>
      </c>
      <c r="F309" s="1">
        <v>38</v>
      </c>
      <c r="G309" s="1">
        <v>49.1</v>
      </c>
      <c r="H309" s="2">
        <v>5.8253253556272706E-2</v>
      </c>
      <c r="I309" s="3">
        <v>275.8</v>
      </c>
      <c r="J309" s="3">
        <v>0.35</v>
      </c>
    </row>
    <row r="310" spans="1:10" x14ac:dyDescent="0.3">
      <c r="A310" t="s">
        <v>78</v>
      </c>
      <c r="B310" s="1">
        <v>28.7</v>
      </c>
      <c r="C310" s="1">
        <v>2</v>
      </c>
      <c r="D310" s="4">
        <v>50.6</v>
      </c>
      <c r="E310" s="3">
        <v>2.7748174021560659</v>
      </c>
      <c r="F310" s="1">
        <v>22.2</v>
      </c>
      <c r="G310" s="1">
        <v>36.6</v>
      </c>
      <c r="H310" s="2">
        <v>0.10899285032170623</v>
      </c>
      <c r="I310" s="3">
        <v>234.11581828988642</v>
      </c>
      <c r="J310" s="3">
        <v>0.17</v>
      </c>
    </row>
    <row r="311" spans="1:10" x14ac:dyDescent="0.3">
      <c r="B311" s="1">
        <v>28.7</v>
      </c>
      <c r="C311" s="1">
        <v>2</v>
      </c>
      <c r="D311" s="4">
        <v>50.6</v>
      </c>
      <c r="E311" s="3">
        <v>2.7748174021560659</v>
      </c>
      <c r="F311" s="1">
        <v>22.2</v>
      </c>
      <c r="G311" s="1">
        <v>36.6</v>
      </c>
      <c r="H311" s="2">
        <v>0.10899285032170623</v>
      </c>
      <c r="I311" s="3">
        <v>274.84728475140628</v>
      </c>
      <c r="J311" s="3">
        <v>0.2</v>
      </c>
    </row>
    <row r="312" spans="1:10" x14ac:dyDescent="0.3">
      <c r="A312" t="s">
        <v>79</v>
      </c>
      <c r="B312" s="1">
        <v>28.7</v>
      </c>
      <c r="C312" s="1">
        <v>2</v>
      </c>
      <c r="D312" s="4">
        <v>50.6</v>
      </c>
      <c r="E312" s="3">
        <v>2.8017146470593879</v>
      </c>
      <c r="F312" s="1">
        <v>38.200000000000003</v>
      </c>
      <c r="G312" s="1">
        <v>52.5</v>
      </c>
      <c r="H312" s="2">
        <v>0.10686066770303645</v>
      </c>
      <c r="I312" s="3">
        <v>179.49560032260422</v>
      </c>
      <c r="J312" s="3">
        <v>0.17</v>
      </c>
    </row>
    <row r="313" spans="1:10" x14ac:dyDescent="0.3">
      <c r="B313" s="1">
        <v>28.7</v>
      </c>
      <c r="C313" s="1">
        <v>2</v>
      </c>
      <c r="D313" s="4">
        <v>50.6</v>
      </c>
      <c r="E313" s="3">
        <v>2.8017146470593879</v>
      </c>
      <c r="F313" s="1">
        <v>38.200000000000003</v>
      </c>
      <c r="G313" s="1">
        <v>52.5</v>
      </c>
      <c r="H313" s="2">
        <v>0.10686066770303645</v>
      </c>
      <c r="I313" s="3">
        <v>212.74254265148761</v>
      </c>
      <c r="J313" s="3">
        <v>0.2</v>
      </c>
    </row>
    <row r="314" spans="1:10" x14ac:dyDescent="0.3">
      <c r="B314" s="1">
        <v>28.7</v>
      </c>
      <c r="C314" s="1">
        <v>2</v>
      </c>
      <c r="D314" s="4">
        <v>50.6</v>
      </c>
      <c r="E314" s="3">
        <v>2.8017146470593879</v>
      </c>
      <c r="F314" s="1">
        <v>38.200000000000003</v>
      </c>
      <c r="G314" s="1">
        <v>52.5</v>
      </c>
      <c r="H314" s="2">
        <v>0.10686066770303645</v>
      </c>
      <c r="I314" s="3">
        <v>245.23171991304602</v>
      </c>
      <c r="J314" s="3">
        <v>0.25</v>
      </c>
    </row>
    <row r="315" spans="1:10" x14ac:dyDescent="0.3">
      <c r="B315" s="1">
        <v>28.7</v>
      </c>
      <c r="C315" s="1">
        <v>2</v>
      </c>
      <c r="D315" s="4">
        <v>50.6</v>
      </c>
      <c r="E315" s="3">
        <v>2.8017146470593879</v>
      </c>
      <c r="F315" s="1">
        <v>38.200000000000003</v>
      </c>
      <c r="G315" s="1">
        <v>52.5</v>
      </c>
      <c r="H315" s="2">
        <v>0.10686066770303645</v>
      </c>
      <c r="I315" s="3">
        <v>275.8</v>
      </c>
      <c r="J315" s="3">
        <v>0.28999999999999998</v>
      </c>
    </row>
    <row r="316" spans="1:10" x14ac:dyDescent="0.3">
      <c r="A316" t="s">
        <v>80</v>
      </c>
      <c r="B316" s="1">
        <v>28.7</v>
      </c>
      <c r="C316" s="1">
        <v>2</v>
      </c>
      <c r="D316" s="4">
        <v>50.6</v>
      </c>
      <c r="E316" s="3">
        <v>2.7153116457984496</v>
      </c>
      <c r="F316" s="1">
        <v>38.200000000000003</v>
      </c>
      <c r="G316" s="1">
        <v>52.5</v>
      </c>
      <c r="H316" s="2">
        <v>0.1072263869101954</v>
      </c>
      <c r="I316" s="3">
        <v>212.94749158826474</v>
      </c>
      <c r="J316" s="3">
        <v>0.17</v>
      </c>
    </row>
    <row r="317" spans="1:10" x14ac:dyDescent="0.3">
      <c r="A317" t="s">
        <v>81</v>
      </c>
      <c r="B317" s="1">
        <v>28.7</v>
      </c>
      <c r="C317" s="1">
        <v>2</v>
      </c>
      <c r="D317" s="4">
        <v>50.6</v>
      </c>
      <c r="E317" s="3">
        <v>2.8017146470593879</v>
      </c>
      <c r="F317" s="1">
        <v>38.200000000000003</v>
      </c>
      <c r="G317" s="1">
        <v>52.5</v>
      </c>
      <c r="H317" s="2">
        <v>0.10686066770303645</v>
      </c>
      <c r="I317" s="3">
        <v>179.49560032260422</v>
      </c>
      <c r="J317" s="3">
        <v>0.15</v>
      </c>
    </row>
    <row r="318" spans="1:10" x14ac:dyDescent="0.3">
      <c r="B318" s="1">
        <v>28.7</v>
      </c>
      <c r="C318" s="1">
        <v>2</v>
      </c>
      <c r="D318" s="4">
        <v>50.6</v>
      </c>
      <c r="E318" s="3">
        <v>2.8017146470593879</v>
      </c>
      <c r="F318" s="1">
        <v>38.200000000000003</v>
      </c>
      <c r="G318" s="1">
        <v>52.5</v>
      </c>
      <c r="H318" s="2">
        <v>0.10686066770303645</v>
      </c>
      <c r="I318" s="3">
        <v>212.74254265148761</v>
      </c>
      <c r="J318" s="3">
        <v>0.16</v>
      </c>
    </row>
    <row r="319" spans="1:10" x14ac:dyDescent="0.3">
      <c r="B319" s="1">
        <v>28.7</v>
      </c>
      <c r="C319" s="1">
        <v>2</v>
      </c>
      <c r="D319" s="4">
        <v>50.6</v>
      </c>
      <c r="E319" s="3">
        <v>2.8017146470593879</v>
      </c>
      <c r="F319" s="1">
        <v>38.200000000000003</v>
      </c>
      <c r="G319" s="1">
        <v>52.5</v>
      </c>
      <c r="H319" s="2">
        <v>0.10686066770303645</v>
      </c>
      <c r="I319" s="3">
        <v>245.23171991304602</v>
      </c>
      <c r="J319" s="3">
        <v>0.22</v>
      </c>
    </row>
    <row r="320" spans="1:10" x14ac:dyDescent="0.3">
      <c r="B320" s="1">
        <v>28.7</v>
      </c>
      <c r="C320" s="1">
        <v>2</v>
      </c>
      <c r="D320" s="4">
        <v>50.6</v>
      </c>
      <c r="E320" s="3">
        <v>2.8017146470593879</v>
      </c>
      <c r="F320" s="1">
        <v>38.200000000000003</v>
      </c>
      <c r="G320" s="1">
        <v>52.5</v>
      </c>
      <c r="H320" s="2">
        <v>0.10686066770303645</v>
      </c>
      <c r="I320" s="3">
        <v>275.8</v>
      </c>
      <c r="J320" s="3">
        <v>0.26</v>
      </c>
    </row>
    <row r="321" spans="1:10" x14ac:dyDescent="0.3">
      <c r="A321" t="s">
        <v>82</v>
      </c>
      <c r="B321" s="1">
        <v>28.7</v>
      </c>
      <c r="C321" s="1">
        <v>2</v>
      </c>
      <c r="D321" s="4">
        <v>50.6</v>
      </c>
      <c r="E321" s="3">
        <v>2.524448068103379</v>
      </c>
      <c r="F321" s="1">
        <v>38.200000000000003</v>
      </c>
      <c r="G321" s="1">
        <v>52.5</v>
      </c>
      <c r="H321" s="2">
        <v>0.10809111803939714</v>
      </c>
      <c r="I321" s="3">
        <v>213.42811414487335</v>
      </c>
      <c r="J321" s="3">
        <v>0.17</v>
      </c>
    </row>
    <row r="322" spans="1:10" x14ac:dyDescent="0.3">
      <c r="B322" s="1">
        <v>28.7</v>
      </c>
      <c r="C322" s="1">
        <v>2</v>
      </c>
      <c r="D322" s="4">
        <v>50.6</v>
      </c>
      <c r="E322" s="3">
        <v>2.524448068103379</v>
      </c>
      <c r="F322" s="1">
        <v>38.200000000000003</v>
      </c>
      <c r="G322" s="1">
        <v>52.5</v>
      </c>
      <c r="H322" s="2">
        <v>0.10809111803939714</v>
      </c>
      <c r="I322" s="3">
        <v>246.02198910110286</v>
      </c>
      <c r="J322" s="3">
        <v>0.2</v>
      </c>
    </row>
    <row r="323" spans="1:10" x14ac:dyDescent="0.3">
      <c r="B323" s="1">
        <v>28.7</v>
      </c>
      <c r="C323" s="1">
        <v>2</v>
      </c>
      <c r="D323" s="4">
        <v>50.6</v>
      </c>
      <c r="E323" s="3">
        <v>2.524448068103379</v>
      </c>
      <c r="F323" s="1">
        <v>38.200000000000003</v>
      </c>
      <c r="G323" s="1">
        <v>52.5</v>
      </c>
      <c r="H323" s="2">
        <v>0.10809111803939714</v>
      </c>
      <c r="I323" s="3">
        <v>275.8</v>
      </c>
      <c r="J323" s="3">
        <v>0.24</v>
      </c>
    </row>
    <row r="324" spans="1:10" x14ac:dyDescent="0.3">
      <c r="A324" t="s">
        <v>83</v>
      </c>
      <c r="B324" s="1">
        <v>32.299999999999997</v>
      </c>
      <c r="C324" s="1">
        <v>1</v>
      </c>
      <c r="D324" s="4">
        <v>60</v>
      </c>
      <c r="E324" s="3">
        <v>2.5382184533279259</v>
      </c>
      <c r="F324" s="1">
        <v>38.299999999999997</v>
      </c>
      <c r="G324" s="1">
        <v>54.4</v>
      </c>
      <c r="H324" s="2">
        <v>6.2449543908879294E-2</v>
      </c>
      <c r="I324" s="3">
        <v>170.80329915468195</v>
      </c>
      <c r="J324" s="3">
        <v>0.17</v>
      </c>
    </row>
    <row r="325" spans="1:10" x14ac:dyDescent="0.3">
      <c r="B325" s="1">
        <v>32.299999999999997</v>
      </c>
      <c r="C325" s="1">
        <v>1</v>
      </c>
      <c r="D325" s="4">
        <v>60</v>
      </c>
      <c r="E325" s="3">
        <v>2.5382184533279259</v>
      </c>
      <c r="F325" s="1">
        <v>38.299999999999997</v>
      </c>
      <c r="G325" s="1">
        <v>54.4</v>
      </c>
      <c r="H325" s="2">
        <v>6.2449543908879294E-2</v>
      </c>
      <c r="I325" s="3">
        <v>210.24200084790894</v>
      </c>
      <c r="J325" s="3">
        <v>0.23</v>
      </c>
    </row>
    <row r="326" spans="1:10" x14ac:dyDescent="0.3">
      <c r="B326" s="1">
        <v>32.299999999999997</v>
      </c>
      <c r="C326" s="1">
        <v>1</v>
      </c>
      <c r="D326" s="4">
        <v>60</v>
      </c>
      <c r="E326" s="3">
        <v>2.5382184533279259</v>
      </c>
      <c r="F326" s="1">
        <v>38.299999999999997</v>
      </c>
      <c r="G326" s="1">
        <v>54.4</v>
      </c>
      <c r="H326" s="2">
        <v>6.2449543908879294E-2</v>
      </c>
      <c r="I326" s="3">
        <v>245.13572204860782</v>
      </c>
      <c r="J326" s="3">
        <v>0.27</v>
      </c>
    </row>
    <row r="327" spans="1:10" x14ac:dyDescent="0.3">
      <c r="B327" s="1">
        <v>32.299999999999997</v>
      </c>
      <c r="C327" s="1">
        <v>1</v>
      </c>
      <c r="D327" s="4">
        <v>60</v>
      </c>
      <c r="E327" s="3">
        <v>2.5382184533279259</v>
      </c>
      <c r="F327" s="1">
        <v>38.299999999999997</v>
      </c>
      <c r="G327" s="1">
        <v>54.4</v>
      </c>
      <c r="H327" s="2">
        <v>6.2449543908879294E-2</v>
      </c>
      <c r="I327" s="3">
        <v>270.05980862053565</v>
      </c>
      <c r="J327" s="3">
        <v>0.31</v>
      </c>
    </row>
    <row r="328" spans="1:10" x14ac:dyDescent="0.3">
      <c r="B328" s="1">
        <v>32.299999999999997</v>
      </c>
      <c r="C328" s="1">
        <v>1</v>
      </c>
      <c r="D328" s="4">
        <v>60</v>
      </c>
      <c r="E328" s="3">
        <v>2.5382184533279259</v>
      </c>
      <c r="F328" s="1">
        <v>38.299999999999997</v>
      </c>
      <c r="G328" s="1">
        <v>54.4</v>
      </c>
      <c r="H328" s="2">
        <v>6.2449543908879294E-2</v>
      </c>
      <c r="I328" s="3">
        <v>275.8</v>
      </c>
      <c r="J328" s="3">
        <v>0.35</v>
      </c>
    </row>
    <row r="329" spans="1:10" x14ac:dyDescent="0.3">
      <c r="A329" t="s">
        <v>84</v>
      </c>
      <c r="B329" s="1">
        <v>32.299999999999997</v>
      </c>
      <c r="C329" s="1">
        <v>1</v>
      </c>
      <c r="D329" s="4">
        <v>60</v>
      </c>
      <c r="E329" s="3">
        <v>2.8108695189494299</v>
      </c>
      <c r="F329" s="1">
        <v>38.299999999999997</v>
      </c>
      <c r="G329" s="1">
        <v>54.4</v>
      </c>
      <c r="H329" s="2">
        <v>6.1876058158272039E-2</v>
      </c>
      <c r="I329" s="3">
        <v>170.32772841920183</v>
      </c>
      <c r="J329" s="3">
        <v>0.19</v>
      </c>
    </row>
    <row r="330" spans="1:10" x14ac:dyDescent="0.3">
      <c r="B330" s="1">
        <v>32.299999999999997</v>
      </c>
      <c r="C330" s="1">
        <v>1</v>
      </c>
      <c r="D330" s="4">
        <v>60</v>
      </c>
      <c r="E330" s="3">
        <v>2.8108695189494299</v>
      </c>
      <c r="F330" s="1">
        <v>38.299999999999997</v>
      </c>
      <c r="G330" s="1">
        <v>54.4</v>
      </c>
      <c r="H330" s="2">
        <v>6.1876058158272039E-2</v>
      </c>
      <c r="I330" s="3">
        <v>209.6566202172836</v>
      </c>
      <c r="J330" s="3">
        <v>0.24</v>
      </c>
    </row>
    <row r="331" spans="1:10" x14ac:dyDescent="0.3">
      <c r="B331" s="1">
        <v>32.299999999999997</v>
      </c>
      <c r="C331" s="1">
        <v>1</v>
      </c>
      <c r="D331" s="4">
        <v>60</v>
      </c>
      <c r="E331" s="3">
        <v>2.8108695189494299</v>
      </c>
      <c r="F331" s="1">
        <v>38.299999999999997</v>
      </c>
      <c r="G331" s="1">
        <v>54.4</v>
      </c>
      <c r="H331" s="2">
        <v>6.1876058158272039E-2</v>
      </c>
      <c r="I331" s="3">
        <v>244.45318619476859</v>
      </c>
      <c r="J331" s="3">
        <v>0.28999999999999998</v>
      </c>
    </row>
    <row r="332" spans="1:10" x14ac:dyDescent="0.3">
      <c r="B332" s="1">
        <v>32.299999999999997</v>
      </c>
      <c r="C332" s="1">
        <v>1</v>
      </c>
      <c r="D332" s="4">
        <v>60</v>
      </c>
      <c r="E332" s="3">
        <v>2.8108695189494299</v>
      </c>
      <c r="F332" s="1">
        <v>38.299999999999997</v>
      </c>
      <c r="G332" s="1">
        <v>54.4</v>
      </c>
      <c r="H332" s="2">
        <v>6.1876058158272039E-2</v>
      </c>
      <c r="I332" s="3">
        <v>269.30787617868646</v>
      </c>
      <c r="J332" s="3">
        <v>0.36</v>
      </c>
    </row>
    <row r="333" spans="1:10" x14ac:dyDescent="0.3">
      <c r="B333" s="1">
        <v>32.299999999999997</v>
      </c>
      <c r="C333" s="1">
        <v>1</v>
      </c>
      <c r="D333" s="4">
        <v>60</v>
      </c>
      <c r="E333" s="3">
        <v>2.8108695189494299</v>
      </c>
      <c r="F333" s="1">
        <v>38.299999999999997</v>
      </c>
      <c r="G333" s="1">
        <v>54.4</v>
      </c>
      <c r="H333" s="2">
        <v>6.1876058158272039E-2</v>
      </c>
      <c r="I333" s="3">
        <v>275.8</v>
      </c>
      <c r="J333" s="3">
        <v>0.42</v>
      </c>
    </row>
    <row r="334" spans="1:10" x14ac:dyDescent="0.3">
      <c r="A334" t="s">
        <v>85</v>
      </c>
      <c r="B334" s="1">
        <v>28.7</v>
      </c>
      <c r="C334" s="1">
        <v>2</v>
      </c>
      <c r="D334" s="4">
        <v>50.6</v>
      </c>
      <c r="E334" s="3">
        <v>2.5765786179080412</v>
      </c>
      <c r="F334" s="1">
        <v>38</v>
      </c>
      <c r="G334" s="1">
        <v>52.3</v>
      </c>
      <c r="H334" s="2">
        <v>6.5570477718494391E-2</v>
      </c>
      <c r="I334" s="3">
        <v>183.23030547751344</v>
      </c>
      <c r="J334" s="3">
        <v>0.18</v>
      </c>
    </row>
    <row r="335" spans="1:10" x14ac:dyDescent="0.3">
      <c r="B335" s="1">
        <v>28.7</v>
      </c>
      <c r="C335" s="1">
        <v>2</v>
      </c>
      <c r="D335" s="4">
        <v>50.6</v>
      </c>
      <c r="E335" s="3">
        <v>2.5765786179080412</v>
      </c>
      <c r="F335" s="1">
        <v>38</v>
      </c>
      <c r="G335" s="1">
        <v>52.3</v>
      </c>
      <c r="H335" s="2">
        <v>6.5570477718494391E-2</v>
      </c>
      <c r="I335" s="3">
        <v>219.890332297519</v>
      </c>
      <c r="J335" s="3">
        <v>0.22</v>
      </c>
    </row>
    <row r="336" spans="1:10" x14ac:dyDescent="0.3">
      <c r="B336" s="1">
        <v>28.7</v>
      </c>
      <c r="C336" s="1">
        <v>2</v>
      </c>
      <c r="D336" s="4">
        <v>50.6</v>
      </c>
      <c r="E336" s="3">
        <v>2.5765786179080412</v>
      </c>
      <c r="F336" s="1">
        <v>38</v>
      </c>
      <c r="G336" s="1">
        <v>52.3</v>
      </c>
      <c r="H336" s="2">
        <v>6.5570477718494391E-2</v>
      </c>
      <c r="I336" s="3">
        <v>248.170924415809</v>
      </c>
      <c r="J336" s="3">
        <v>0.27</v>
      </c>
    </row>
    <row r="337" spans="1:10" x14ac:dyDescent="0.3">
      <c r="B337" s="1">
        <v>28.7</v>
      </c>
      <c r="C337" s="1">
        <v>2</v>
      </c>
      <c r="D337" s="4">
        <v>50.6</v>
      </c>
      <c r="E337" s="3">
        <v>2.5765786179080412</v>
      </c>
      <c r="F337" s="1">
        <v>38</v>
      </c>
      <c r="G337" s="1">
        <v>52.3</v>
      </c>
      <c r="H337" s="2">
        <v>6.5570477718494391E-2</v>
      </c>
      <c r="I337" s="3">
        <v>275.8</v>
      </c>
      <c r="J337" s="3">
        <v>0.32</v>
      </c>
    </row>
    <row r="338" spans="1:10" x14ac:dyDescent="0.3">
      <c r="A338" t="s">
        <v>86</v>
      </c>
      <c r="B338" s="1">
        <v>28.7</v>
      </c>
      <c r="C338" s="1">
        <v>2</v>
      </c>
      <c r="D338" s="4">
        <v>50.6</v>
      </c>
      <c r="E338" s="3">
        <v>2.5765786179080412</v>
      </c>
      <c r="F338" s="1">
        <v>38</v>
      </c>
      <c r="G338" s="1">
        <v>52.3</v>
      </c>
      <c r="H338" s="2">
        <v>6.5570477718494391E-2</v>
      </c>
      <c r="I338" s="3">
        <v>219.890332297519</v>
      </c>
      <c r="J338" s="3">
        <v>0.16</v>
      </c>
    </row>
    <row r="339" spans="1:10" x14ac:dyDescent="0.3">
      <c r="B339" s="1">
        <v>28.7</v>
      </c>
      <c r="C339" s="1">
        <v>2</v>
      </c>
      <c r="D339" s="4">
        <v>50.6</v>
      </c>
      <c r="E339" s="3">
        <v>2.5765786179080412</v>
      </c>
      <c r="F339" s="1">
        <v>38</v>
      </c>
      <c r="G339" s="1">
        <v>52.3</v>
      </c>
      <c r="H339" s="2">
        <v>6.5570477718494391E-2</v>
      </c>
      <c r="I339" s="3">
        <v>248.170924415809</v>
      </c>
      <c r="J339" s="3">
        <v>0.19</v>
      </c>
    </row>
    <row r="340" spans="1:10" x14ac:dyDescent="0.3">
      <c r="B340" s="1">
        <v>28.7</v>
      </c>
      <c r="C340" s="1">
        <v>2</v>
      </c>
      <c r="D340" s="4">
        <v>50.6</v>
      </c>
      <c r="E340" s="3">
        <v>2.5765786179080412</v>
      </c>
      <c r="F340" s="1">
        <v>38</v>
      </c>
      <c r="G340" s="1">
        <v>52.3</v>
      </c>
      <c r="H340" s="2">
        <v>6.5570477718494391E-2</v>
      </c>
      <c r="I340" s="3">
        <v>275.8</v>
      </c>
      <c r="J340" s="3">
        <v>0.22</v>
      </c>
    </row>
    <row r="341" spans="1:10" x14ac:dyDescent="0.3">
      <c r="A341" t="s">
        <v>87</v>
      </c>
      <c r="B341" s="1">
        <v>35.799999999999997</v>
      </c>
      <c r="C341" s="1">
        <v>2</v>
      </c>
      <c r="D341" s="4">
        <v>36.4</v>
      </c>
      <c r="E341" s="3">
        <v>2.5478355335404417</v>
      </c>
      <c r="F341" s="1">
        <v>38</v>
      </c>
      <c r="G341" s="1">
        <v>55.9</v>
      </c>
      <c r="H341" s="2">
        <v>0.1124434908513556</v>
      </c>
      <c r="I341" s="3">
        <v>184.08648071345613</v>
      </c>
      <c r="J341" s="3">
        <v>0.17</v>
      </c>
    </row>
    <row r="342" spans="1:10" x14ac:dyDescent="0.3">
      <c r="A342" t="s">
        <v>88</v>
      </c>
      <c r="B342" s="1">
        <v>35.799999999999997</v>
      </c>
      <c r="C342" s="1">
        <v>2</v>
      </c>
      <c r="D342" s="4">
        <v>36.4</v>
      </c>
      <c r="E342" s="3">
        <v>2.7563734268389184</v>
      </c>
      <c r="F342" s="1">
        <v>38</v>
      </c>
      <c r="G342" s="1">
        <v>55.9</v>
      </c>
      <c r="H342" s="2">
        <v>0.11141006190487932</v>
      </c>
      <c r="I342" s="3">
        <v>143.79287698695691</v>
      </c>
      <c r="J342" s="3">
        <v>0.19</v>
      </c>
    </row>
    <row r="343" spans="1:10" x14ac:dyDescent="0.3">
      <c r="B343" s="1">
        <v>35.799999999999997</v>
      </c>
      <c r="C343" s="1">
        <v>2</v>
      </c>
      <c r="D343" s="4">
        <v>36.4</v>
      </c>
      <c r="E343" s="3">
        <v>2.7563734268389184</v>
      </c>
      <c r="F343" s="1">
        <v>38</v>
      </c>
      <c r="G343" s="1">
        <v>55.9</v>
      </c>
      <c r="H343" s="2">
        <v>0.11141006190487932</v>
      </c>
      <c r="I343" s="3">
        <v>183.6429902945176</v>
      </c>
      <c r="J343" s="3">
        <v>0.25</v>
      </c>
    </row>
  </sheetData>
  <mergeCells count="1">
    <mergeCell ref="B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31D9-244F-4D1A-9264-E8B0B5009F5A}">
  <dimension ref="A1:AB355"/>
  <sheetViews>
    <sheetView topLeftCell="K1" zoomScale="120" zoomScaleNormal="120" workbookViewId="0">
      <selection activeCell="L5" sqref="L5"/>
    </sheetView>
  </sheetViews>
  <sheetFormatPr defaultRowHeight="14.4" x14ac:dyDescent="0.3"/>
  <cols>
    <col min="1" max="1" width="32.88671875" style="1" customWidth="1"/>
    <col min="2" max="2" width="24.77734375" style="4" bestFit="1" customWidth="1"/>
    <col min="3" max="3" width="29.6640625" style="5" bestFit="1" customWidth="1"/>
    <col min="4" max="4" width="29.33203125" style="4" bestFit="1" customWidth="1"/>
    <col min="5" max="5" width="36.77734375" style="3" bestFit="1" customWidth="1"/>
    <col min="6" max="6" width="16.44140625" style="4" bestFit="1" customWidth="1"/>
    <col min="7" max="7" width="44.5546875" style="4" bestFit="1" customWidth="1"/>
    <col min="8" max="8" width="20.44140625" style="4" bestFit="1" customWidth="1"/>
    <col min="9" max="9" width="19.77734375" style="4" bestFit="1" customWidth="1"/>
    <col min="10" max="10" width="29.77734375" style="5" bestFit="1" customWidth="1"/>
    <col min="11" max="11" width="31.21875" style="3" bestFit="1" customWidth="1"/>
    <col min="12" max="12" width="30.6640625" style="5" bestFit="1" customWidth="1"/>
    <col min="13" max="13" width="16.33203125" style="8" bestFit="1" customWidth="1"/>
    <col min="14" max="14" width="22.6640625" style="8" bestFit="1" customWidth="1"/>
    <col min="15" max="15" width="42.88671875" style="5" bestFit="1" customWidth="1"/>
    <col min="16" max="16" width="9.6640625" style="3" bestFit="1" customWidth="1"/>
    <col min="17" max="17" width="50.77734375" style="12" customWidth="1"/>
    <col min="21" max="22" width="8.88671875" style="1"/>
    <col min="27" max="27" width="13.88671875" customWidth="1"/>
  </cols>
  <sheetData>
    <row r="1" spans="1:28" x14ac:dyDescent="0.3">
      <c r="U1" s="14" t="s">
        <v>148</v>
      </c>
      <c r="X1" s="15" t="s">
        <v>149</v>
      </c>
    </row>
    <row r="2" spans="1:28" x14ac:dyDescent="0.3">
      <c r="U2" s="1" t="s">
        <v>136</v>
      </c>
      <c r="V2" s="1">
        <v>0.51500000000000001</v>
      </c>
      <c r="X2" s="1" t="s">
        <v>136</v>
      </c>
      <c r="Y2" s="1">
        <v>0.39100000000000001</v>
      </c>
      <c r="AA2" s="1"/>
      <c r="AB2" s="3"/>
    </row>
    <row r="3" spans="1:28" x14ac:dyDescent="0.3">
      <c r="U3" s="1" t="s">
        <v>137</v>
      </c>
      <c r="V3" s="1">
        <v>-1.6900000000000001E-3</v>
      </c>
      <c r="X3" s="1" t="s">
        <v>137</v>
      </c>
      <c r="Y3" s="1">
        <v>0.70099999999999996</v>
      </c>
      <c r="AA3" s="1"/>
      <c r="AB3" s="3"/>
    </row>
    <row r="4" spans="1:28" x14ac:dyDescent="0.3">
      <c r="U4" s="1" t="s">
        <v>138</v>
      </c>
      <c r="V4" s="1">
        <v>1</v>
      </c>
      <c r="X4" s="1" t="s">
        <v>138</v>
      </c>
      <c r="Y4" s="1">
        <v>0.628</v>
      </c>
      <c r="AA4" s="1"/>
      <c r="AB4" s="3"/>
    </row>
    <row r="5" spans="1:28" x14ac:dyDescent="0.3">
      <c r="U5" s="1" t="s">
        <v>139</v>
      </c>
      <c r="V5" s="1">
        <v>0.67200000000000004</v>
      </c>
      <c r="X5" s="1" t="s">
        <v>139</v>
      </c>
      <c r="Y5" s="1">
        <v>0.38900000000000001</v>
      </c>
      <c r="AA5" s="1"/>
      <c r="AB5" s="3"/>
    </row>
    <row r="6" spans="1:28" x14ac:dyDescent="0.3">
      <c r="U6" s="1" t="s">
        <v>140</v>
      </c>
      <c r="V6" s="1">
        <v>-0.41699999999999998</v>
      </c>
      <c r="X6" s="1" t="s">
        <v>140</v>
      </c>
      <c r="Y6" s="1">
        <v>-0.63100000000000001</v>
      </c>
      <c r="AA6" s="1"/>
      <c r="AB6" s="3"/>
    </row>
    <row r="7" spans="1:28" x14ac:dyDescent="0.3">
      <c r="U7" s="1" t="s">
        <v>141</v>
      </c>
      <c r="V7" s="1">
        <v>0.61699999999999999</v>
      </c>
      <c r="X7" s="1" t="s">
        <v>141</v>
      </c>
      <c r="Y7" s="1">
        <v>2.0110000000000001</v>
      </c>
      <c r="AA7" s="1"/>
      <c r="AB7" s="3"/>
    </row>
    <row r="8" spans="1:28" x14ac:dyDescent="0.3">
      <c r="X8" s="1"/>
      <c r="Y8" s="1"/>
      <c r="AA8" s="1"/>
      <c r="AB8" s="3"/>
    </row>
    <row r="9" spans="1:28" x14ac:dyDescent="0.3">
      <c r="A9" s="1" t="s">
        <v>0</v>
      </c>
      <c r="B9" s="16" t="s">
        <v>1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3" t="s">
        <v>2</v>
      </c>
    </row>
    <row r="10" spans="1:28" ht="16.8" x14ac:dyDescent="0.3">
      <c r="B10" s="4" t="s">
        <v>95</v>
      </c>
      <c r="C10" s="5" t="s">
        <v>3</v>
      </c>
      <c r="D10" s="4" t="s">
        <v>4</v>
      </c>
      <c r="E10" s="3" t="s">
        <v>90</v>
      </c>
      <c r="F10" s="4" t="s">
        <v>91</v>
      </c>
      <c r="G10" s="4" t="s">
        <v>92</v>
      </c>
      <c r="H10" s="1" t="s">
        <v>152</v>
      </c>
      <c r="I10" s="9" t="s">
        <v>144</v>
      </c>
      <c r="J10" s="10" t="s">
        <v>145</v>
      </c>
      <c r="K10" s="11" t="s">
        <v>146</v>
      </c>
      <c r="L10" s="10" t="s">
        <v>147</v>
      </c>
      <c r="M10" s="8" t="s">
        <v>93</v>
      </c>
      <c r="N10" s="8" t="s">
        <v>153</v>
      </c>
      <c r="O10" s="5" t="s">
        <v>89</v>
      </c>
      <c r="P10" s="3" t="s">
        <v>94</v>
      </c>
      <c r="Q10" s="13" t="s">
        <v>151</v>
      </c>
    </row>
    <row r="11" spans="1:28" x14ac:dyDescent="0.3">
      <c r="A11" s="1" t="s">
        <v>5</v>
      </c>
      <c r="B11" s="4">
        <v>20</v>
      </c>
      <c r="C11" s="5">
        <v>2</v>
      </c>
      <c r="D11" s="4">
        <v>126</v>
      </c>
      <c r="E11" s="3">
        <v>4.1203405239014401</v>
      </c>
      <c r="F11" s="4">
        <v>25</v>
      </c>
      <c r="G11" s="4">
        <v>39</v>
      </c>
      <c r="H11" s="1">
        <v>216</v>
      </c>
      <c r="I11" s="4">
        <v>201</v>
      </c>
      <c r="J11" s="5">
        <v>628</v>
      </c>
      <c r="K11" s="3">
        <v>29484</v>
      </c>
      <c r="L11" s="5">
        <v>57.361776585620262</v>
      </c>
      <c r="M11" s="8">
        <v>2.1299687966354633E-2</v>
      </c>
      <c r="N11" s="3">
        <v>20.8</v>
      </c>
      <c r="O11" s="5">
        <v>120.52774592049144</v>
      </c>
      <c r="P11" s="3">
        <v>0.16</v>
      </c>
      <c r="Q11" s="12">
        <f>O11/200000</f>
        <v>6.0263872960245718E-4</v>
      </c>
      <c r="U11" s="3">
        <f>$V$2*($V$3*$F11+$V$4*$B11^$V$5*$M11^$V$6)*$Q11^$V$7</f>
        <v>0.19768346047824845</v>
      </c>
      <c r="V11" s="3">
        <f>U11/$P11</f>
        <v>1.2355216279890529</v>
      </c>
      <c r="X11" s="3">
        <f>$Y$2*$B11^$Y$3*$Q11^$Y$4*($Y$5*$M11^$Y$6+$Y$7)</f>
        <v>0.19493440174973206</v>
      </c>
      <c r="Y11" s="3">
        <f>X11/$P11</f>
        <v>1.2183400109358253</v>
      </c>
      <c r="AA11" s="3"/>
      <c r="AB11" s="3"/>
    </row>
    <row r="12" spans="1:28" x14ac:dyDescent="0.3">
      <c r="B12" s="4">
        <v>20</v>
      </c>
      <c r="C12" s="5">
        <v>2</v>
      </c>
      <c r="D12" s="4">
        <v>126</v>
      </c>
      <c r="E12" s="3">
        <v>4.1203405239014401</v>
      </c>
      <c r="F12" s="4">
        <v>25</v>
      </c>
      <c r="G12" s="4">
        <v>39</v>
      </c>
      <c r="H12" s="1">
        <v>216</v>
      </c>
      <c r="I12" s="4">
        <v>201</v>
      </c>
      <c r="J12" s="5">
        <v>628</v>
      </c>
      <c r="K12" s="3">
        <v>29484</v>
      </c>
      <c r="L12" s="5">
        <v>57.361776585620262</v>
      </c>
      <c r="M12" s="8">
        <v>2.1299687966354633E-2</v>
      </c>
      <c r="N12" s="3">
        <v>27.3</v>
      </c>
      <c r="O12" s="5">
        <v>223.84798261989135</v>
      </c>
      <c r="P12" s="3">
        <v>0.23</v>
      </c>
      <c r="Q12" s="12">
        <f t="shared" ref="Q12:Q75" si="0">O12/200000</f>
        <v>1.1192399130994567E-3</v>
      </c>
      <c r="U12" s="3">
        <f>$V$2*($V$3*$F12+$V$4*$B12^$V$5*$M12^$V$6)*$Q12^$V$7</f>
        <v>0.28964147436836951</v>
      </c>
      <c r="V12" s="3">
        <f t="shared" ref="V12:V75" si="1">U12/$P12</f>
        <v>1.2593107581233456</v>
      </c>
      <c r="X12" s="3">
        <f>$Y$2*$B12^$Y$3*$Q12^$Y$4*($Y$5*$M12^$Y$6+$Y$7)</f>
        <v>0.28756526858646031</v>
      </c>
      <c r="Y12" s="3">
        <f t="shared" ref="Y12:Y75" si="2">X12/$P12</f>
        <v>1.2502837764628709</v>
      </c>
      <c r="AA12" s="3"/>
      <c r="AB12" s="3"/>
    </row>
    <row r="13" spans="1:28" x14ac:dyDescent="0.3">
      <c r="B13" s="4">
        <v>20</v>
      </c>
      <c r="C13" s="5">
        <v>2</v>
      </c>
      <c r="D13" s="4">
        <v>126</v>
      </c>
      <c r="E13" s="3">
        <v>4.1203405239014401</v>
      </c>
      <c r="F13" s="4">
        <v>25</v>
      </c>
      <c r="G13" s="4">
        <v>39</v>
      </c>
      <c r="H13" s="1">
        <v>216</v>
      </c>
      <c r="I13" s="4">
        <v>201</v>
      </c>
      <c r="J13" s="5">
        <v>628</v>
      </c>
      <c r="K13" s="3">
        <v>29484</v>
      </c>
      <c r="L13" s="5">
        <v>57.361776585620262</v>
      </c>
      <c r="M13" s="8">
        <v>2.1299687966354633E-2</v>
      </c>
      <c r="N13" s="3">
        <v>28.2</v>
      </c>
      <c r="O13" s="5">
        <v>242.0521982199154</v>
      </c>
      <c r="P13" s="3">
        <v>0.24</v>
      </c>
      <c r="Q13" s="12">
        <f t="shared" si="0"/>
        <v>1.2102609910995771E-3</v>
      </c>
      <c r="U13" s="3">
        <f>$V$2*($V$3*$F13+$V$4*$B13^$V$5*$M13^$V$6)*$Q13^$V$7</f>
        <v>0.30395655014392914</v>
      </c>
      <c r="V13" s="3">
        <f t="shared" si="1"/>
        <v>1.2664856255997048</v>
      </c>
      <c r="X13" s="3">
        <f>$Y$2*$B13^$Y$3*$Q13^$Y$4*($Y$5*$M13^$Y$6+$Y$7)</f>
        <v>0.30203738626763893</v>
      </c>
      <c r="Y13" s="3">
        <f t="shared" si="2"/>
        <v>1.2584891094484956</v>
      </c>
      <c r="AA13" s="3"/>
      <c r="AB13" s="3"/>
    </row>
    <row r="14" spans="1:28" x14ac:dyDescent="0.3">
      <c r="B14" s="4">
        <v>20</v>
      </c>
      <c r="C14" s="5">
        <v>2</v>
      </c>
      <c r="D14" s="4">
        <v>126</v>
      </c>
      <c r="E14" s="3">
        <v>4.1203405239014401</v>
      </c>
      <c r="F14" s="4">
        <v>25</v>
      </c>
      <c r="G14" s="4">
        <v>39</v>
      </c>
      <c r="H14" s="1">
        <v>216</v>
      </c>
      <c r="I14" s="4">
        <v>201</v>
      </c>
      <c r="J14" s="5">
        <v>628</v>
      </c>
      <c r="K14" s="3">
        <v>29484</v>
      </c>
      <c r="L14" s="5">
        <v>57.361776585620262</v>
      </c>
      <c r="M14" s="8">
        <v>2.1299687966354633E-2</v>
      </c>
      <c r="N14" s="3">
        <v>32.6</v>
      </c>
      <c r="O14" s="5">
        <v>325.14719045768442</v>
      </c>
      <c r="P14" s="3">
        <v>0.27</v>
      </c>
      <c r="Q14" s="12">
        <f t="shared" si="0"/>
        <v>1.6257359522884221E-3</v>
      </c>
      <c r="U14" s="3">
        <f>$V$2*($V$3*$F14+$V$4*$B14^$V$5*$M14^$V$6)*$Q14^$V$7</f>
        <v>0.36466408950423429</v>
      </c>
      <c r="V14" s="3">
        <f t="shared" si="1"/>
        <v>1.3506077389045714</v>
      </c>
      <c r="X14" s="3">
        <f>$Y$2*$B14^$Y$3*$Q14^$Y$4*($Y$5*$M14^$Y$6+$Y$7)</f>
        <v>0.36353989331169489</v>
      </c>
      <c r="Y14" s="3">
        <f t="shared" si="2"/>
        <v>1.3464440493025736</v>
      </c>
      <c r="AA14" s="3"/>
      <c r="AB14" s="3"/>
    </row>
    <row r="15" spans="1:28" x14ac:dyDescent="0.3">
      <c r="B15" s="4">
        <v>20</v>
      </c>
      <c r="C15" s="5">
        <v>2</v>
      </c>
      <c r="D15" s="4">
        <v>126</v>
      </c>
      <c r="E15" s="3">
        <v>4.1203405239014401</v>
      </c>
      <c r="F15" s="4">
        <v>25</v>
      </c>
      <c r="G15" s="4">
        <v>39</v>
      </c>
      <c r="H15" s="1">
        <v>216</v>
      </c>
      <c r="I15" s="4">
        <v>201</v>
      </c>
      <c r="J15" s="5">
        <v>628</v>
      </c>
      <c r="K15" s="3">
        <v>29484</v>
      </c>
      <c r="L15" s="5">
        <v>57.361776585620262</v>
      </c>
      <c r="M15" s="8">
        <v>2.1299687966354633E-2</v>
      </c>
      <c r="N15" s="3">
        <v>41.2</v>
      </c>
      <c r="O15" s="5">
        <v>447.78445698177279</v>
      </c>
      <c r="P15" s="3">
        <v>0.35</v>
      </c>
      <c r="Q15" s="12">
        <f t="shared" si="0"/>
        <v>2.2389222849088638E-3</v>
      </c>
      <c r="U15" s="3">
        <f>$V$2*($V$3*$F15+$V$4*$B15^$V$5*$M15^$V$6)*$Q15^$V$7</f>
        <v>0.44427227996804319</v>
      </c>
      <c r="V15" s="3">
        <f t="shared" si="1"/>
        <v>1.2693493713372663</v>
      </c>
      <c r="X15" s="3">
        <f>$Y$2*$B15^$Y$3*$Q15^$Y$4*($Y$5*$M15^$Y$6+$Y$7)</f>
        <v>0.4444645963247677</v>
      </c>
      <c r="Y15" s="3">
        <f t="shared" si="2"/>
        <v>1.2698988466421934</v>
      </c>
      <c r="AA15" s="3"/>
      <c r="AB15" s="3"/>
    </row>
    <row r="16" spans="1:28" x14ac:dyDescent="0.3">
      <c r="B16" s="4">
        <v>20</v>
      </c>
      <c r="C16" s="5">
        <v>2</v>
      </c>
      <c r="D16" s="4">
        <v>126</v>
      </c>
      <c r="E16" s="3">
        <v>4.1203405239014401</v>
      </c>
      <c r="F16" s="4">
        <v>25</v>
      </c>
      <c r="G16" s="4">
        <v>39</v>
      </c>
      <c r="H16" s="1">
        <v>216</v>
      </c>
      <c r="I16" s="4">
        <v>201</v>
      </c>
      <c r="J16" s="5">
        <v>628</v>
      </c>
      <c r="K16" s="3">
        <v>29484</v>
      </c>
      <c r="L16" s="5">
        <v>57.361776585620262</v>
      </c>
      <c r="M16" s="8">
        <v>2.1299687966354633E-2</v>
      </c>
      <c r="N16" s="3">
        <v>44.9</v>
      </c>
      <c r="O16" s="5">
        <v>500</v>
      </c>
      <c r="P16" s="3">
        <v>0.4</v>
      </c>
      <c r="Q16" s="12">
        <f t="shared" si="0"/>
        <v>2.5000000000000001E-3</v>
      </c>
      <c r="U16" s="3">
        <f>$V$2*($V$3*$F16+$V$4*$B16^$V$5*$M16^$V$6)*$Q16^$V$7</f>
        <v>0.47555869563103903</v>
      </c>
      <c r="V16" s="3">
        <f t="shared" si="1"/>
        <v>1.1888967390775975</v>
      </c>
      <c r="X16" s="3">
        <f>$Y$2*$B16^$Y$3*$Q16^$Y$4*($Y$5*$M16^$Y$6+$Y$7)</f>
        <v>0.47634213028661532</v>
      </c>
      <c r="Y16" s="3">
        <f t="shared" si="2"/>
        <v>1.1908553257165382</v>
      </c>
      <c r="AA16" s="3"/>
      <c r="AB16" s="3"/>
    </row>
    <row r="17" spans="1:28" x14ac:dyDescent="0.3">
      <c r="A17" s="1" t="s">
        <v>6</v>
      </c>
      <c r="B17" s="4">
        <v>10</v>
      </c>
      <c r="C17" s="5">
        <v>8</v>
      </c>
      <c r="D17" s="4">
        <v>87.7</v>
      </c>
      <c r="E17" s="3">
        <v>4.1311267633290143</v>
      </c>
      <c r="F17" s="4">
        <v>25</v>
      </c>
      <c r="G17" s="4">
        <v>53</v>
      </c>
      <c r="H17" s="1">
        <v>308</v>
      </c>
      <c r="I17" s="4">
        <v>604</v>
      </c>
      <c r="J17" s="5">
        <v>628</v>
      </c>
      <c r="K17" s="3">
        <v>43428</v>
      </c>
      <c r="L17" s="5">
        <v>99.696400381800601</v>
      </c>
      <c r="M17" s="8">
        <v>1.4460716588376162E-2</v>
      </c>
      <c r="N17" s="3">
        <v>105</v>
      </c>
      <c r="O17" s="5">
        <v>224.98496210052934</v>
      </c>
      <c r="P17" s="3">
        <v>0.16</v>
      </c>
      <c r="Q17" s="12">
        <f t="shared" si="0"/>
        <v>1.1249248105026468E-3</v>
      </c>
      <c r="U17" s="3">
        <f>$V$2*($V$3*$F17+$V$4*$B17^$V$5*$M17^$V$6)*$Q17^$V$7</f>
        <v>0.21423149710052675</v>
      </c>
      <c r="V17" s="3">
        <f t="shared" si="1"/>
        <v>1.3389468568782921</v>
      </c>
      <c r="X17" s="3">
        <f>$Y$2*$B17^$Y$3*$Q17^$Y$4*($Y$5*$M17^$Y$6+$Y$7)</f>
        <v>0.21120240086096073</v>
      </c>
      <c r="Y17" s="3">
        <f t="shared" si="2"/>
        <v>1.3200150053810045</v>
      </c>
      <c r="AA17" s="3"/>
      <c r="AB17" s="3"/>
    </row>
    <row r="18" spans="1:28" x14ac:dyDescent="0.3">
      <c r="B18" s="4">
        <v>10</v>
      </c>
      <c r="C18" s="5">
        <v>8</v>
      </c>
      <c r="D18" s="4">
        <v>87.7</v>
      </c>
      <c r="E18" s="3">
        <v>4.1311267633290143</v>
      </c>
      <c r="F18" s="4">
        <v>25</v>
      </c>
      <c r="G18" s="4">
        <v>53</v>
      </c>
      <c r="H18" s="1">
        <v>308</v>
      </c>
      <c r="I18" s="4">
        <v>604</v>
      </c>
      <c r="J18" s="5">
        <v>628</v>
      </c>
      <c r="K18" s="3">
        <v>43428</v>
      </c>
      <c r="L18" s="5">
        <v>99.696400381800601</v>
      </c>
      <c r="M18" s="8">
        <v>1.4460716588376162E-2</v>
      </c>
      <c r="N18" s="3">
        <v>119.6</v>
      </c>
      <c r="O18" s="5">
        <v>301.6538385298519</v>
      </c>
      <c r="P18" s="3">
        <v>0.18</v>
      </c>
      <c r="Q18" s="12">
        <f t="shared" si="0"/>
        <v>1.5082691926492594E-3</v>
      </c>
      <c r="U18" s="3">
        <f>$V$2*($V$3*$F18+$V$4*$B18^$V$5*$M18^$V$6)*$Q18^$V$7</f>
        <v>0.25672111065737491</v>
      </c>
      <c r="V18" s="3">
        <f t="shared" si="1"/>
        <v>1.4262283925409718</v>
      </c>
      <c r="X18" s="3">
        <f>$Y$2*$B18^$Y$3*$Q18^$Y$4*($Y$5*$M18^$Y$6+$Y$7)</f>
        <v>0.25390895613117903</v>
      </c>
      <c r="Y18" s="3">
        <f t="shared" si="2"/>
        <v>1.4106053118398836</v>
      </c>
      <c r="AA18" s="3"/>
      <c r="AB18" s="3"/>
    </row>
    <row r="19" spans="1:28" x14ac:dyDescent="0.3">
      <c r="B19" s="4">
        <v>10</v>
      </c>
      <c r="C19" s="5">
        <v>8</v>
      </c>
      <c r="D19" s="4">
        <v>87.7</v>
      </c>
      <c r="E19" s="3">
        <v>4.1311267633290143</v>
      </c>
      <c r="F19" s="4">
        <v>25</v>
      </c>
      <c r="G19" s="4">
        <v>53</v>
      </c>
      <c r="H19" s="1">
        <v>308</v>
      </c>
      <c r="I19" s="4">
        <v>604</v>
      </c>
      <c r="J19" s="5">
        <v>628</v>
      </c>
      <c r="K19" s="3">
        <v>43428</v>
      </c>
      <c r="L19" s="5">
        <v>99.696400381800601</v>
      </c>
      <c r="M19" s="8">
        <v>1.4460716588376162E-2</v>
      </c>
      <c r="N19" s="3">
        <v>174.3</v>
      </c>
      <c r="O19" s="5">
        <v>497.36822294176966</v>
      </c>
      <c r="P19" s="3">
        <v>0.26</v>
      </c>
      <c r="Q19" s="12">
        <f t="shared" si="0"/>
        <v>2.4868411147088484E-3</v>
      </c>
      <c r="U19" s="3">
        <f>$V$2*($V$3*$F19+$V$4*$B19^$V$5*$M19^$V$6)*$Q19^$V$7</f>
        <v>0.34950626590263312</v>
      </c>
      <c r="V19" s="3">
        <f t="shared" si="1"/>
        <v>1.3442548688562812</v>
      </c>
      <c r="X19" s="3">
        <f>$Y$2*$B19^$Y$3*$Q19^$Y$4*($Y$5*$M19^$Y$6+$Y$7)</f>
        <v>0.34758439003832614</v>
      </c>
      <c r="Y19" s="3">
        <f t="shared" si="2"/>
        <v>1.3368630386089466</v>
      </c>
      <c r="AA19" s="3"/>
      <c r="AB19" s="3"/>
    </row>
    <row r="20" spans="1:28" x14ac:dyDescent="0.3">
      <c r="A20" s="1" t="s">
        <v>7</v>
      </c>
      <c r="B20" s="4">
        <v>10</v>
      </c>
      <c r="C20" s="5">
        <v>4</v>
      </c>
      <c r="D20" s="4">
        <v>32.466666666666669</v>
      </c>
      <c r="E20" s="3">
        <v>3.262</v>
      </c>
      <c r="F20" s="4">
        <v>25</v>
      </c>
      <c r="G20" s="4">
        <v>36</v>
      </c>
      <c r="H20" s="1">
        <v>200</v>
      </c>
      <c r="I20" s="4">
        <v>600</v>
      </c>
      <c r="J20" s="5">
        <v>314</v>
      </c>
      <c r="K20" s="3">
        <v>17200</v>
      </c>
      <c r="L20" s="5">
        <v>95.721926864521535</v>
      </c>
      <c r="M20" s="8">
        <v>1.8255813953488371E-2</v>
      </c>
      <c r="N20" s="3">
        <v>47.625</v>
      </c>
      <c r="O20" s="5">
        <v>178.11588447552145</v>
      </c>
      <c r="P20" s="3">
        <v>0.16</v>
      </c>
      <c r="Q20" s="12">
        <f t="shared" si="0"/>
        <v>8.9057942237760724E-4</v>
      </c>
      <c r="U20" s="3">
        <f>$V$2*($V$3*$F20+$V$4*$B20^$V$5*$M20^$V$6)*$Q20^$V$7</f>
        <v>0.16827313198239763</v>
      </c>
      <c r="V20" s="3">
        <f t="shared" si="1"/>
        <v>1.051707074889985</v>
      </c>
      <c r="X20" s="3">
        <f>$Y$2*$B20^$Y$3*$Q20^$Y$4*($Y$5*$M20^$Y$6+$Y$7)</f>
        <v>0.16400318827505994</v>
      </c>
      <c r="Y20" s="3">
        <f t="shared" si="2"/>
        <v>1.0250199267191247</v>
      </c>
      <c r="AA20" s="3"/>
      <c r="AB20" s="3"/>
    </row>
    <row r="21" spans="1:28" x14ac:dyDescent="0.3">
      <c r="B21" s="4">
        <v>10</v>
      </c>
      <c r="C21" s="5">
        <v>4</v>
      </c>
      <c r="D21" s="4">
        <v>32.466666666666669</v>
      </c>
      <c r="E21" s="3">
        <v>3.262</v>
      </c>
      <c r="F21" s="4">
        <v>25</v>
      </c>
      <c r="G21" s="4">
        <v>36</v>
      </c>
      <c r="H21" s="1">
        <v>200</v>
      </c>
      <c r="I21" s="4">
        <v>600</v>
      </c>
      <c r="J21" s="5">
        <v>314</v>
      </c>
      <c r="K21" s="3">
        <v>17200</v>
      </c>
      <c r="L21" s="5">
        <v>95.721926864521535</v>
      </c>
      <c r="M21" s="8">
        <v>1.8255813953488371E-2</v>
      </c>
      <c r="N21" s="3">
        <v>54.300000000000004</v>
      </c>
      <c r="O21" s="5">
        <v>242.19703933436762</v>
      </c>
      <c r="P21" s="3">
        <v>0.2</v>
      </c>
      <c r="Q21" s="12">
        <f t="shared" si="0"/>
        <v>1.210985196671838E-3</v>
      </c>
      <c r="U21" s="3">
        <f>$V$2*($V$3*$F21+$V$4*$B21^$V$5*$M21^$V$6)*$Q21^$V$7</f>
        <v>0.20340583633703821</v>
      </c>
      <c r="V21" s="3">
        <f t="shared" si="1"/>
        <v>1.0170291816851911</v>
      </c>
      <c r="X21" s="3">
        <f>$Y$2*$B21^$Y$3*$Q21^$Y$4*($Y$5*$M21^$Y$6+$Y$7)</f>
        <v>0.19891569467816975</v>
      </c>
      <c r="Y21" s="3">
        <f t="shared" si="2"/>
        <v>0.99457847339084871</v>
      </c>
      <c r="AA21" s="3"/>
      <c r="AB21" s="3"/>
    </row>
    <row r="22" spans="1:28" x14ac:dyDescent="0.3">
      <c r="B22" s="4">
        <v>10</v>
      </c>
      <c r="C22" s="5">
        <v>4</v>
      </c>
      <c r="D22" s="4">
        <v>32.466666666666669</v>
      </c>
      <c r="E22" s="3">
        <v>3.262</v>
      </c>
      <c r="F22" s="4">
        <v>25</v>
      </c>
      <c r="G22" s="4">
        <v>36</v>
      </c>
      <c r="H22" s="1">
        <v>200</v>
      </c>
      <c r="I22" s="4">
        <v>600</v>
      </c>
      <c r="J22" s="5">
        <v>314</v>
      </c>
      <c r="K22" s="3">
        <v>17200</v>
      </c>
      <c r="L22" s="5">
        <v>95.721926864521535</v>
      </c>
      <c r="M22" s="8">
        <v>1.8255813953488371E-2</v>
      </c>
      <c r="N22" s="3">
        <v>61.425000000000004</v>
      </c>
      <c r="O22" s="5">
        <v>308.13373014523648</v>
      </c>
      <c r="P22" s="3">
        <v>0.2</v>
      </c>
      <c r="Q22" s="12">
        <f t="shared" si="0"/>
        <v>1.5406686507261824E-3</v>
      </c>
      <c r="U22" s="3">
        <f>$V$2*($V$3*$F22+$V$4*$B22^$V$5*$M22^$V$6)*$Q22^$V$7</f>
        <v>0.23598443229794938</v>
      </c>
      <c r="V22" s="3">
        <f t="shared" si="1"/>
        <v>1.1799221614897468</v>
      </c>
      <c r="X22" s="3">
        <f>$Y$2*$B22^$Y$3*$Q22^$Y$4*($Y$5*$M22^$Y$6+$Y$7)</f>
        <v>0.23138716720419869</v>
      </c>
      <c r="Y22" s="3">
        <f t="shared" si="2"/>
        <v>1.1569358360209934</v>
      </c>
      <c r="AA22" s="3"/>
      <c r="AB22" s="3"/>
    </row>
    <row r="23" spans="1:28" x14ac:dyDescent="0.3">
      <c r="B23" s="4">
        <v>10</v>
      </c>
      <c r="C23" s="5">
        <v>4</v>
      </c>
      <c r="D23" s="4">
        <v>32.466666666666669</v>
      </c>
      <c r="E23" s="3">
        <v>3.262</v>
      </c>
      <c r="F23" s="4">
        <v>25</v>
      </c>
      <c r="G23" s="4">
        <v>36</v>
      </c>
      <c r="H23" s="1">
        <v>200</v>
      </c>
      <c r="I23" s="4">
        <v>600</v>
      </c>
      <c r="J23" s="5">
        <v>314</v>
      </c>
      <c r="K23" s="3">
        <v>17200</v>
      </c>
      <c r="L23" s="5">
        <v>95.721926864521535</v>
      </c>
      <c r="M23" s="8">
        <v>1.8255813953488371E-2</v>
      </c>
      <c r="N23" s="3">
        <v>68.625</v>
      </c>
      <c r="O23" s="5">
        <v>368.31936401396047</v>
      </c>
      <c r="P23" s="3">
        <v>0.24</v>
      </c>
      <c r="Q23" s="12">
        <f t="shared" si="0"/>
        <v>1.8415968200698022E-3</v>
      </c>
      <c r="U23" s="3">
        <f>$V$2*($V$3*$F23+$V$4*$B23^$V$5*$M23^$V$6)*$Q23^$V$7</f>
        <v>0.26344611018659114</v>
      </c>
      <c r="V23" s="3">
        <f t="shared" si="1"/>
        <v>1.0976921257774632</v>
      </c>
      <c r="X23" s="3">
        <f>$Y$2*$B23^$Y$3*$Q23^$Y$4*($Y$5*$M23^$Y$6+$Y$7)</f>
        <v>0.25882131791410773</v>
      </c>
      <c r="Y23" s="3">
        <f t="shared" si="2"/>
        <v>1.0784221579754489</v>
      </c>
      <c r="AA23" s="3"/>
      <c r="AB23" s="3"/>
    </row>
    <row r="24" spans="1:28" x14ac:dyDescent="0.3">
      <c r="B24" s="4">
        <v>10</v>
      </c>
      <c r="C24" s="5">
        <v>4</v>
      </c>
      <c r="D24" s="4">
        <v>32.466666666666669</v>
      </c>
      <c r="E24" s="3">
        <v>3.262</v>
      </c>
      <c r="F24" s="4">
        <v>25</v>
      </c>
      <c r="G24" s="4">
        <v>36</v>
      </c>
      <c r="H24" s="1">
        <v>200</v>
      </c>
      <c r="I24" s="4">
        <v>600</v>
      </c>
      <c r="J24" s="5">
        <v>314</v>
      </c>
      <c r="K24" s="3">
        <v>17200</v>
      </c>
      <c r="L24" s="5">
        <v>95.721926864521535</v>
      </c>
      <c r="M24" s="8">
        <v>1.8255813953488371E-2</v>
      </c>
      <c r="N24" s="3">
        <v>73.275000000000006</v>
      </c>
      <c r="O24" s="5">
        <v>401.0102468551903</v>
      </c>
      <c r="P24" s="3">
        <v>0.3</v>
      </c>
      <c r="Q24" s="12">
        <f t="shared" si="0"/>
        <v>2.0050512342759514E-3</v>
      </c>
      <c r="U24" s="3">
        <f>$V$2*($V$3*$F24+$V$4*$B24^$V$5*$M24^$V$6)*$Q24^$V$7</f>
        <v>0.27763752676941189</v>
      </c>
      <c r="V24" s="3">
        <f t="shared" si="1"/>
        <v>0.92545842256470634</v>
      </c>
      <c r="X24" s="3">
        <f>$Y$2*$B24^$Y$3*$Q24^$Y$4*($Y$5*$M24^$Y$6+$Y$7)</f>
        <v>0.27301886750187987</v>
      </c>
      <c r="Y24" s="3">
        <f t="shared" si="2"/>
        <v>0.91006289167293297</v>
      </c>
      <c r="AA24" s="3"/>
      <c r="AB24" s="3"/>
    </row>
    <row r="25" spans="1:28" x14ac:dyDescent="0.3">
      <c r="B25" s="4">
        <v>10</v>
      </c>
      <c r="C25" s="5">
        <v>4</v>
      </c>
      <c r="D25" s="4">
        <v>32.466666666666669</v>
      </c>
      <c r="E25" s="3">
        <v>3.262</v>
      </c>
      <c r="F25" s="4">
        <v>25</v>
      </c>
      <c r="G25" s="4">
        <v>36</v>
      </c>
      <c r="H25" s="1">
        <v>200</v>
      </c>
      <c r="I25" s="4">
        <v>600</v>
      </c>
      <c r="J25" s="5">
        <v>314</v>
      </c>
      <c r="K25" s="3">
        <v>17200</v>
      </c>
      <c r="L25" s="5">
        <v>95.721926864521535</v>
      </c>
      <c r="M25" s="8">
        <v>1.8255813953488371E-2</v>
      </c>
      <c r="N25" s="3">
        <v>83.25</v>
      </c>
      <c r="O25" s="5">
        <v>498.05772985669182</v>
      </c>
      <c r="P25" s="3">
        <v>0.32</v>
      </c>
      <c r="Q25" s="12">
        <f t="shared" si="0"/>
        <v>2.4902886492834593E-3</v>
      </c>
      <c r="U25" s="3">
        <f>$V$2*($V$3*$F25+$V$4*$B25^$V$5*$M25^$V$6)*$Q25^$V$7</f>
        <v>0.31736045302954391</v>
      </c>
      <c r="V25" s="3">
        <f t="shared" si="1"/>
        <v>0.99175141571732472</v>
      </c>
      <c r="X25" s="3">
        <f>$Y$2*$B25^$Y$3*$Q25^$Y$4*($Y$5*$M25^$Y$6+$Y$7)</f>
        <v>0.31282587473453272</v>
      </c>
      <c r="Y25" s="3">
        <f t="shared" si="2"/>
        <v>0.97758085854541477</v>
      </c>
      <c r="AA25" s="3"/>
      <c r="AB25" s="3"/>
    </row>
    <row r="26" spans="1:28" x14ac:dyDescent="0.3">
      <c r="B26" s="4">
        <v>10</v>
      </c>
      <c r="C26" s="5">
        <v>4</v>
      </c>
      <c r="D26" s="4">
        <v>32.466666666666669</v>
      </c>
      <c r="E26" s="3">
        <v>3.262</v>
      </c>
      <c r="F26" s="4">
        <v>25</v>
      </c>
      <c r="G26" s="4">
        <v>36</v>
      </c>
      <c r="H26" s="1">
        <v>200</v>
      </c>
      <c r="I26" s="4">
        <v>600</v>
      </c>
      <c r="J26" s="5">
        <v>314</v>
      </c>
      <c r="K26" s="3">
        <v>17200</v>
      </c>
      <c r="L26" s="5">
        <v>95.721926864521535</v>
      </c>
      <c r="M26" s="8">
        <v>1.8255813953488371E-2</v>
      </c>
      <c r="N26" s="3">
        <v>84</v>
      </c>
      <c r="O26" s="5">
        <v>502.76188353839768</v>
      </c>
      <c r="P26" s="3">
        <v>0.38</v>
      </c>
      <c r="Q26" s="12">
        <f t="shared" si="0"/>
        <v>2.5138094176919883E-3</v>
      </c>
      <c r="U26" s="3">
        <f>$V$2*($V$3*$F26+$V$4*$B26^$V$5*$M26^$V$6)*$Q26^$V$7</f>
        <v>0.31920656045189844</v>
      </c>
      <c r="V26" s="3">
        <f t="shared" si="1"/>
        <v>0.84001726434710111</v>
      </c>
      <c r="X26" s="3">
        <f>$Y$2*$B26^$Y$3*$Q26^$Y$4*($Y$5*$M26^$Y$6+$Y$7)</f>
        <v>0.31467814256809323</v>
      </c>
      <c r="Y26" s="3">
        <f t="shared" si="2"/>
        <v>0.82810037517919266</v>
      </c>
      <c r="AA26" s="3"/>
      <c r="AB26" s="3"/>
    </row>
    <row r="27" spans="1:28" x14ac:dyDescent="0.3">
      <c r="B27" s="4">
        <v>10</v>
      </c>
      <c r="C27" s="5">
        <v>4</v>
      </c>
      <c r="D27" s="4">
        <v>32.466666666666669</v>
      </c>
      <c r="E27" s="3">
        <v>3.262</v>
      </c>
      <c r="F27" s="4">
        <v>25</v>
      </c>
      <c r="G27" s="4">
        <v>36</v>
      </c>
      <c r="H27" s="1">
        <v>200</v>
      </c>
      <c r="I27" s="4">
        <v>600</v>
      </c>
      <c r="J27" s="5">
        <v>314</v>
      </c>
      <c r="K27" s="3">
        <v>17200</v>
      </c>
      <c r="L27" s="5">
        <v>95.721926864521535</v>
      </c>
      <c r="M27" s="8">
        <v>1.8255813953488371E-2</v>
      </c>
      <c r="N27" s="3">
        <v>90</v>
      </c>
      <c r="O27" s="5">
        <v>538.67344664828317</v>
      </c>
      <c r="P27" s="3">
        <v>0.42</v>
      </c>
      <c r="Q27" s="12">
        <f t="shared" si="0"/>
        <v>2.6933672332414157E-3</v>
      </c>
      <c r="U27" s="3">
        <f>$V$2*($V$3*$F27+$V$4*$B27^$V$5*$M27^$V$6)*$Q27^$V$7</f>
        <v>0.33308810010395307</v>
      </c>
      <c r="V27" s="3">
        <f t="shared" si="1"/>
        <v>0.79306690500941213</v>
      </c>
      <c r="X27" s="3">
        <f>$Y$2*$B27^$Y$3*$Q27^$Y$4*($Y$5*$M27^$Y$6+$Y$7)</f>
        <v>0.328612048185011</v>
      </c>
      <c r="Y27" s="3">
        <f t="shared" si="2"/>
        <v>0.78240963853574053</v>
      </c>
      <c r="AA27" s="3"/>
      <c r="AB27" s="3"/>
    </row>
    <row r="28" spans="1:28" x14ac:dyDescent="0.3">
      <c r="B28" s="4">
        <v>10</v>
      </c>
      <c r="C28" s="5">
        <v>4</v>
      </c>
      <c r="D28" s="4">
        <v>32.466666666666669</v>
      </c>
      <c r="E28" s="3">
        <v>3.262</v>
      </c>
      <c r="F28" s="4">
        <v>25</v>
      </c>
      <c r="G28" s="4">
        <v>36</v>
      </c>
      <c r="H28" s="1">
        <v>200</v>
      </c>
      <c r="I28" s="4">
        <v>600</v>
      </c>
      <c r="J28" s="5">
        <v>314</v>
      </c>
      <c r="K28" s="3">
        <v>17200</v>
      </c>
      <c r="L28" s="5">
        <v>95.721926864521535</v>
      </c>
      <c r="M28" s="8">
        <v>1.8255813953488371E-2</v>
      </c>
      <c r="N28" s="3">
        <v>108</v>
      </c>
      <c r="O28" s="5">
        <v>628</v>
      </c>
      <c r="P28" s="3">
        <v>0.44</v>
      </c>
      <c r="Q28" s="12">
        <f t="shared" si="0"/>
        <v>3.14E-3</v>
      </c>
      <c r="U28" s="3">
        <f>$V$2*($V$3*$F28+$V$4*$B28^$V$5*$M28^$V$6)*$Q28^$V$7</f>
        <v>0.36616121636493937</v>
      </c>
      <c r="V28" s="3">
        <f t="shared" si="1"/>
        <v>0.83218458264758943</v>
      </c>
      <c r="X28" s="3">
        <f>$Y$2*$B28^$Y$3*$Q28^$Y$4*($Y$5*$M28^$Y$6+$Y$7)</f>
        <v>0.36185092060825647</v>
      </c>
      <c r="Y28" s="3">
        <f t="shared" si="2"/>
        <v>0.82238845592785559</v>
      </c>
      <c r="AA28" s="3"/>
      <c r="AB28" s="3"/>
    </row>
    <row r="29" spans="1:28" x14ac:dyDescent="0.3">
      <c r="B29" s="4">
        <v>10</v>
      </c>
      <c r="C29" s="5">
        <v>4</v>
      </c>
      <c r="D29" s="4">
        <v>32.466666666666669</v>
      </c>
      <c r="E29" s="3">
        <v>3.262</v>
      </c>
      <c r="F29" s="4">
        <v>25</v>
      </c>
      <c r="G29" s="4">
        <v>36</v>
      </c>
      <c r="H29" s="1">
        <v>200</v>
      </c>
      <c r="I29" s="4">
        <v>600</v>
      </c>
      <c r="J29" s="5">
        <v>314</v>
      </c>
      <c r="K29" s="3">
        <v>17200</v>
      </c>
      <c r="L29" s="5">
        <v>95.721926864521535</v>
      </c>
      <c r="M29" s="8">
        <v>1.8255813953488371E-2</v>
      </c>
      <c r="N29" s="3">
        <v>120</v>
      </c>
      <c r="O29" s="5">
        <v>628</v>
      </c>
      <c r="P29" s="3">
        <v>0.5</v>
      </c>
      <c r="Q29" s="12">
        <f t="shared" si="0"/>
        <v>3.14E-3</v>
      </c>
      <c r="U29" s="3">
        <f>$V$2*($V$3*$F29+$V$4*$B29^$V$5*$M29^$V$6)*$Q29^$V$7</f>
        <v>0.36616121636493937</v>
      </c>
      <c r="V29" s="3">
        <f t="shared" si="1"/>
        <v>0.73232243272987874</v>
      </c>
      <c r="X29" s="3">
        <f>$Y$2*$B29^$Y$3*$Q29^$Y$4*($Y$5*$M29^$Y$6+$Y$7)</f>
        <v>0.36185092060825647</v>
      </c>
      <c r="Y29" s="3">
        <f t="shared" si="2"/>
        <v>0.72370184121651293</v>
      </c>
      <c r="AA29" s="3"/>
      <c r="AB29" s="3"/>
    </row>
    <row r="30" spans="1:28" x14ac:dyDescent="0.3">
      <c r="A30" s="1" t="s">
        <v>8</v>
      </c>
      <c r="B30" s="4">
        <v>10</v>
      </c>
      <c r="C30" s="5">
        <v>4</v>
      </c>
      <c r="D30" s="4">
        <v>32.466666666666669</v>
      </c>
      <c r="E30" s="3">
        <v>3.5139999999999993</v>
      </c>
      <c r="F30" s="4">
        <v>25</v>
      </c>
      <c r="G30" s="4">
        <v>36</v>
      </c>
      <c r="H30" s="1">
        <v>200</v>
      </c>
      <c r="I30" s="4">
        <v>600</v>
      </c>
      <c r="J30" s="5">
        <v>314</v>
      </c>
      <c r="K30" s="3">
        <v>17200</v>
      </c>
      <c r="L30" s="5">
        <v>87.120678710097735</v>
      </c>
      <c r="M30" s="8">
        <v>1.8255813953488371E-2</v>
      </c>
      <c r="N30" s="3">
        <v>54</v>
      </c>
      <c r="O30" s="5">
        <v>249.68578408509896</v>
      </c>
      <c r="P30" s="3">
        <v>0.24</v>
      </c>
      <c r="Q30" s="12">
        <f t="shared" si="0"/>
        <v>1.2484289204254947E-3</v>
      </c>
      <c r="U30" s="3">
        <f>$V$2*($V$3*$F30+$V$4*$B30^$V$5*$M30^$V$6)*$Q30^$V$7</f>
        <v>0.20726369040432724</v>
      </c>
      <c r="V30" s="3">
        <f t="shared" si="1"/>
        <v>0.86359871001803024</v>
      </c>
      <c r="X30" s="3">
        <f>$Y$2*$B30^$Y$3*$Q30^$Y$4*($Y$5*$M30^$Y$6+$Y$7)</f>
        <v>0.20275629295844136</v>
      </c>
      <c r="Y30" s="3">
        <f t="shared" si="2"/>
        <v>0.84481788732683905</v>
      </c>
      <c r="AA30" s="3"/>
      <c r="AB30" s="3"/>
    </row>
    <row r="31" spans="1:28" x14ac:dyDescent="0.3">
      <c r="B31" s="4">
        <v>10</v>
      </c>
      <c r="C31" s="5">
        <v>4</v>
      </c>
      <c r="D31" s="4">
        <v>32.466666666666669</v>
      </c>
      <c r="E31" s="3">
        <v>3.5139999999999993</v>
      </c>
      <c r="F31" s="4">
        <v>25</v>
      </c>
      <c r="G31" s="4">
        <v>36</v>
      </c>
      <c r="H31" s="1">
        <v>200</v>
      </c>
      <c r="I31" s="4">
        <v>600</v>
      </c>
      <c r="J31" s="5">
        <v>314</v>
      </c>
      <c r="K31" s="3">
        <v>17200</v>
      </c>
      <c r="L31" s="5">
        <v>87.120678710097735</v>
      </c>
      <c r="M31" s="8">
        <v>1.8255813953488371E-2</v>
      </c>
      <c r="N31" s="3">
        <v>60</v>
      </c>
      <c r="O31" s="5">
        <v>336.5737959867003</v>
      </c>
      <c r="P31" s="3">
        <v>0.3</v>
      </c>
      <c r="Q31" s="12">
        <f t="shared" si="0"/>
        <v>1.6828689799335014E-3</v>
      </c>
      <c r="U31" s="3">
        <f>$V$2*($V$3*$F31+$V$4*$B31^$V$5*$M31^$V$6)*$Q31^$V$7</f>
        <v>0.24919526592601607</v>
      </c>
      <c r="V31" s="3">
        <f t="shared" si="1"/>
        <v>0.83065088642005358</v>
      </c>
      <c r="X31" s="3">
        <f>$Y$2*$B31^$Y$3*$Q31^$Y$4*($Y$5*$M31^$Y$6+$Y$7)</f>
        <v>0.24457803675694847</v>
      </c>
      <c r="Y31" s="3">
        <f t="shared" si="2"/>
        <v>0.8152601225231616</v>
      </c>
      <c r="AA31" s="3"/>
      <c r="AB31" s="3"/>
    </row>
    <row r="32" spans="1:28" x14ac:dyDescent="0.3">
      <c r="B32" s="4">
        <v>10</v>
      </c>
      <c r="C32" s="5">
        <v>4</v>
      </c>
      <c r="D32" s="4">
        <v>32.466666666666669</v>
      </c>
      <c r="E32" s="3">
        <v>3.5139999999999993</v>
      </c>
      <c r="F32" s="4">
        <v>25</v>
      </c>
      <c r="G32" s="4">
        <v>36</v>
      </c>
      <c r="H32" s="1">
        <v>200</v>
      </c>
      <c r="I32" s="4">
        <v>600</v>
      </c>
      <c r="J32" s="5">
        <v>314</v>
      </c>
      <c r="K32" s="3">
        <v>17200</v>
      </c>
      <c r="L32" s="5">
        <v>87.120678710097735</v>
      </c>
      <c r="M32" s="8">
        <v>1.8255813953488371E-2</v>
      </c>
      <c r="N32" s="3">
        <v>62.25</v>
      </c>
      <c r="O32" s="5">
        <v>361.87936337741314</v>
      </c>
      <c r="P32" s="3">
        <v>0.3</v>
      </c>
      <c r="Q32" s="12">
        <f t="shared" si="0"/>
        <v>1.8093968168870658E-3</v>
      </c>
      <c r="U32" s="3">
        <f>$V$2*($V$3*$F32+$V$4*$B32^$V$5*$M32^$V$6)*$Q32^$V$7</f>
        <v>0.26059442318233855</v>
      </c>
      <c r="V32" s="3">
        <f t="shared" si="1"/>
        <v>0.86864807727446192</v>
      </c>
      <c r="X32" s="3">
        <f>$Y$2*$B32^$Y$3*$Q32^$Y$4*($Y$5*$M32^$Y$6+$Y$7)</f>
        <v>0.25597002041614209</v>
      </c>
      <c r="Y32" s="3">
        <f t="shared" si="2"/>
        <v>0.85323340138714032</v>
      </c>
      <c r="AA32" s="3"/>
      <c r="AB32" s="3"/>
    </row>
    <row r="33" spans="1:28" x14ac:dyDescent="0.3">
      <c r="B33" s="4">
        <v>10</v>
      </c>
      <c r="C33" s="5">
        <v>4</v>
      </c>
      <c r="D33" s="4">
        <v>32.466666666666669</v>
      </c>
      <c r="E33" s="3">
        <v>3.5139999999999993</v>
      </c>
      <c r="F33" s="4">
        <v>25</v>
      </c>
      <c r="G33" s="4">
        <v>36</v>
      </c>
      <c r="H33" s="1">
        <v>200</v>
      </c>
      <c r="I33" s="4">
        <v>600</v>
      </c>
      <c r="J33" s="5">
        <v>314</v>
      </c>
      <c r="K33" s="3">
        <v>17200</v>
      </c>
      <c r="L33" s="5">
        <v>87.120678710097735</v>
      </c>
      <c r="M33" s="8">
        <v>1.8255813953488371E-2</v>
      </c>
      <c r="N33" s="3">
        <v>66</v>
      </c>
      <c r="O33" s="5">
        <v>392.91007120761441</v>
      </c>
      <c r="P33" s="3">
        <v>0.3</v>
      </c>
      <c r="Q33" s="12">
        <f t="shared" si="0"/>
        <v>1.9645503560380721E-3</v>
      </c>
      <c r="U33" s="3">
        <f>$V$2*($V$3*$F33+$V$4*$B33^$V$5*$M33^$V$6)*$Q33^$V$7</f>
        <v>0.27416380713925198</v>
      </c>
      <c r="V33" s="3">
        <f t="shared" si="1"/>
        <v>0.91387935713084001</v>
      </c>
      <c r="X33" s="3">
        <f>$Y$2*$B33^$Y$3*$Q33^$Y$4*($Y$5*$M33^$Y$6+$Y$7)</f>
        <v>0.26954242463102263</v>
      </c>
      <c r="Y33" s="3">
        <f t="shared" si="2"/>
        <v>0.89847474877007549</v>
      </c>
      <c r="AA33" s="3"/>
      <c r="AB33" s="3"/>
    </row>
    <row r="34" spans="1:28" x14ac:dyDescent="0.3">
      <c r="B34" s="4">
        <v>10</v>
      </c>
      <c r="C34" s="5">
        <v>4</v>
      </c>
      <c r="D34" s="4">
        <v>32.466666666666669</v>
      </c>
      <c r="E34" s="3">
        <v>3.5139999999999993</v>
      </c>
      <c r="F34" s="4">
        <v>25</v>
      </c>
      <c r="G34" s="4">
        <v>36</v>
      </c>
      <c r="H34" s="1">
        <v>200</v>
      </c>
      <c r="I34" s="4">
        <v>600</v>
      </c>
      <c r="J34" s="5">
        <v>314</v>
      </c>
      <c r="K34" s="3">
        <v>17200</v>
      </c>
      <c r="L34" s="5">
        <v>87.120678710097735</v>
      </c>
      <c r="M34" s="8">
        <v>1.8255813953488371E-2</v>
      </c>
      <c r="N34" s="3">
        <v>71.25</v>
      </c>
      <c r="O34" s="5">
        <v>424.16428141731097</v>
      </c>
      <c r="P34" s="3">
        <v>0.38</v>
      </c>
      <c r="Q34" s="12">
        <f t="shared" si="0"/>
        <v>2.1208214070865547E-3</v>
      </c>
      <c r="U34" s="3">
        <f>$V$2*($V$3*$F34+$V$4*$B34^$V$5*$M34^$V$6)*$Q34^$V$7</f>
        <v>0.28742184839481721</v>
      </c>
      <c r="V34" s="3">
        <f t="shared" si="1"/>
        <v>0.75637328524951897</v>
      </c>
      <c r="X34" s="3">
        <f>$Y$2*$B34^$Y$3*$Q34^$Y$4*($Y$5*$M34^$Y$6+$Y$7)</f>
        <v>0.28281499789010495</v>
      </c>
      <c r="Y34" s="3">
        <f t="shared" si="2"/>
        <v>0.74424999444764461</v>
      </c>
      <c r="AA34" s="3"/>
      <c r="AB34" s="3"/>
    </row>
    <row r="35" spans="1:28" x14ac:dyDescent="0.3">
      <c r="B35" s="4">
        <v>10</v>
      </c>
      <c r="C35" s="5">
        <v>4</v>
      </c>
      <c r="D35" s="4">
        <v>32.466666666666669</v>
      </c>
      <c r="E35" s="3">
        <v>3.5139999999999993</v>
      </c>
      <c r="F35" s="4">
        <v>25</v>
      </c>
      <c r="G35" s="4">
        <v>36</v>
      </c>
      <c r="H35" s="1">
        <v>200</v>
      </c>
      <c r="I35" s="4">
        <v>600</v>
      </c>
      <c r="J35" s="5">
        <v>314</v>
      </c>
      <c r="K35" s="3">
        <v>17200</v>
      </c>
      <c r="L35" s="5">
        <v>87.120678710097735</v>
      </c>
      <c r="M35" s="8">
        <v>1.8255813953488371E-2</v>
      </c>
      <c r="N35" s="3">
        <v>82.5</v>
      </c>
      <c r="O35" s="5">
        <v>491.13758900951802</v>
      </c>
      <c r="P35" s="3">
        <v>0.44</v>
      </c>
      <c r="Q35" s="12">
        <f t="shared" si="0"/>
        <v>2.4556879450475903E-3</v>
      </c>
      <c r="U35" s="3">
        <f>$V$2*($V$3*$F35+$V$4*$B35^$V$5*$M35^$V$6)*$Q35^$V$7</f>
        <v>0.31463251388065483</v>
      </c>
      <c r="V35" s="3">
        <f t="shared" si="1"/>
        <v>0.71507389518330644</v>
      </c>
      <c r="X35" s="3">
        <f>$Y$2*$B35^$Y$3*$Q35^$Y$4*($Y$5*$M35^$Y$6+$Y$7)</f>
        <v>0.31008918447738071</v>
      </c>
      <c r="Y35" s="3">
        <f t="shared" si="2"/>
        <v>0.70474814653950157</v>
      </c>
      <c r="AA35" s="3"/>
      <c r="AB35" s="3"/>
    </row>
    <row r="36" spans="1:28" x14ac:dyDescent="0.3">
      <c r="A36" s="1" t="s">
        <v>9</v>
      </c>
      <c r="B36" s="4">
        <v>16</v>
      </c>
      <c r="C36" s="5">
        <v>4</v>
      </c>
      <c r="D36" s="4">
        <v>37</v>
      </c>
      <c r="E36" s="3">
        <v>4.2587999999999999</v>
      </c>
      <c r="F36" s="4">
        <v>20</v>
      </c>
      <c r="G36" s="4">
        <v>54</v>
      </c>
      <c r="H36" s="1">
        <v>125</v>
      </c>
      <c r="I36" s="4">
        <v>250</v>
      </c>
      <c r="J36" s="5">
        <v>800</v>
      </c>
      <c r="K36" s="3">
        <v>16000</v>
      </c>
      <c r="L36" s="5">
        <v>87.082518617972042</v>
      </c>
      <c r="M36" s="8">
        <v>0.05</v>
      </c>
      <c r="N36" s="3">
        <v>18.2</v>
      </c>
      <c r="O36" s="5">
        <v>71.24508731307769</v>
      </c>
      <c r="P36" s="3">
        <v>0.18</v>
      </c>
      <c r="Q36" s="12">
        <f t="shared" si="0"/>
        <v>3.5622543656538844E-4</v>
      </c>
      <c r="U36" s="3">
        <f>$V$2*($V$3*$F36+$V$4*$B36^$V$5*$M36^$V$6)*$Q36^$V$7</f>
        <v>8.6152129998686683E-2</v>
      </c>
      <c r="V36" s="3">
        <f t="shared" si="1"/>
        <v>0.47862294443714826</v>
      </c>
      <c r="X36" s="3">
        <f>$Y$2*$B36^$Y$3*$Q36^$Y$4*($Y$5*$M36^$Y$6+$Y$7)</f>
        <v>8.5556072926867205E-2</v>
      </c>
      <c r="Y36" s="3">
        <f t="shared" si="2"/>
        <v>0.47531151626037338</v>
      </c>
      <c r="AA36" s="3"/>
      <c r="AB36" s="3"/>
    </row>
    <row r="37" spans="1:28" x14ac:dyDescent="0.3">
      <c r="B37" s="4">
        <v>16</v>
      </c>
      <c r="C37" s="5">
        <v>4</v>
      </c>
      <c r="D37" s="4">
        <v>37</v>
      </c>
      <c r="E37" s="3">
        <v>4.2587999999999999</v>
      </c>
      <c r="F37" s="4">
        <v>20</v>
      </c>
      <c r="G37" s="4">
        <v>54</v>
      </c>
      <c r="H37" s="1">
        <v>125</v>
      </c>
      <c r="I37" s="4">
        <v>250</v>
      </c>
      <c r="J37" s="5">
        <v>800</v>
      </c>
      <c r="K37" s="3">
        <v>16000</v>
      </c>
      <c r="L37" s="5">
        <v>87.082518617972042</v>
      </c>
      <c r="M37" s="8">
        <v>0.05</v>
      </c>
      <c r="N37" s="3">
        <v>26.2</v>
      </c>
      <c r="O37" s="5">
        <v>137.56103381364986</v>
      </c>
      <c r="P37" s="3">
        <v>0.2</v>
      </c>
      <c r="Q37" s="12">
        <f t="shared" si="0"/>
        <v>6.878051690682493E-4</v>
      </c>
      <c r="U37" s="3">
        <f>$V$2*($V$3*$F37+$V$4*$B37^$V$5*$M37^$V$6)*$Q37^$V$7</f>
        <v>0.129290886332216</v>
      </c>
      <c r="V37" s="3">
        <f t="shared" si="1"/>
        <v>0.64645443166107996</v>
      </c>
      <c r="X37" s="3">
        <f>$Y$2*$B37^$Y$3*$Q37^$Y$4*($Y$5*$M37^$Y$6+$Y$7)</f>
        <v>0.12932898852585481</v>
      </c>
      <c r="Y37" s="3">
        <f t="shared" si="2"/>
        <v>0.64664494262927397</v>
      </c>
      <c r="AA37" s="3"/>
      <c r="AB37" s="3"/>
    </row>
    <row r="38" spans="1:28" x14ac:dyDescent="0.3">
      <c r="B38" s="4">
        <v>16</v>
      </c>
      <c r="C38" s="5">
        <v>4</v>
      </c>
      <c r="D38" s="4">
        <v>37</v>
      </c>
      <c r="E38" s="3">
        <v>4.2587999999999999</v>
      </c>
      <c r="F38" s="4">
        <v>20</v>
      </c>
      <c r="G38" s="4">
        <v>54</v>
      </c>
      <c r="H38" s="1">
        <v>125</v>
      </c>
      <c r="I38" s="4">
        <v>250</v>
      </c>
      <c r="J38" s="5">
        <v>800</v>
      </c>
      <c r="K38" s="3">
        <v>16000</v>
      </c>
      <c r="L38" s="5">
        <v>87.082518617972042</v>
      </c>
      <c r="M38" s="8">
        <v>0.05</v>
      </c>
      <c r="N38" s="3">
        <v>31.7</v>
      </c>
      <c r="O38" s="5">
        <v>184.84745752793356</v>
      </c>
      <c r="P38" s="3">
        <v>0.26</v>
      </c>
      <c r="Q38" s="12">
        <f t="shared" si="0"/>
        <v>9.2423728763966779E-4</v>
      </c>
      <c r="U38" s="3">
        <f>$V$2*($V$3*$F38+$V$4*$B38^$V$5*$M38^$V$6)*$Q38^$V$7</f>
        <v>0.15514584525151842</v>
      </c>
      <c r="V38" s="3">
        <f t="shared" si="1"/>
        <v>0.59671478942891698</v>
      </c>
      <c r="X38" s="3">
        <f>$Y$2*$B38^$Y$3*$Q38^$Y$4*($Y$5*$M38^$Y$6+$Y$7)</f>
        <v>0.15569677489602121</v>
      </c>
      <c r="Y38" s="3">
        <f t="shared" si="2"/>
        <v>0.59883374960008151</v>
      </c>
      <c r="AA38" s="3"/>
      <c r="AB38" s="3"/>
    </row>
    <row r="39" spans="1:28" x14ac:dyDescent="0.3">
      <c r="B39" s="4">
        <v>16</v>
      </c>
      <c r="C39" s="5">
        <v>4</v>
      </c>
      <c r="D39" s="4">
        <v>37</v>
      </c>
      <c r="E39" s="3">
        <v>4.2587999999999999</v>
      </c>
      <c r="F39" s="4">
        <v>20</v>
      </c>
      <c r="G39" s="4">
        <v>54</v>
      </c>
      <c r="H39" s="1">
        <v>125</v>
      </c>
      <c r="I39" s="4">
        <v>250</v>
      </c>
      <c r="J39" s="5">
        <v>800</v>
      </c>
      <c r="K39" s="3">
        <v>16000</v>
      </c>
      <c r="L39" s="5">
        <v>87.082518617972042</v>
      </c>
      <c r="M39" s="8">
        <v>0.05</v>
      </c>
      <c r="N39" s="3">
        <v>40.799999999999997</v>
      </c>
      <c r="O39" s="5">
        <v>273.63458288504472</v>
      </c>
      <c r="P39" s="3">
        <v>0.44</v>
      </c>
      <c r="Q39" s="12">
        <f t="shared" si="0"/>
        <v>1.3681729144252237E-3</v>
      </c>
      <c r="U39" s="3">
        <f>$V$2*($V$3*$F39+$V$4*$B39^$V$5*$M39^$V$6)*$Q39^$V$7</f>
        <v>0.19762902541862842</v>
      </c>
      <c r="V39" s="3">
        <f t="shared" si="1"/>
        <v>0.44915687595142822</v>
      </c>
      <c r="X39" s="3">
        <f>$Y$2*$B39^$Y$3*$Q39^$Y$4*($Y$5*$M39^$Y$6+$Y$7)</f>
        <v>0.19918843910219505</v>
      </c>
      <c r="Y39" s="3">
        <f t="shared" si="2"/>
        <v>0.45270099795953422</v>
      </c>
      <c r="AA39" s="3"/>
      <c r="AB39" s="3"/>
    </row>
    <row r="40" spans="1:28" x14ac:dyDescent="0.3">
      <c r="B40" s="4">
        <v>16</v>
      </c>
      <c r="C40" s="5">
        <v>4</v>
      </c>
      <c r="D40" s="4">
        <v>37</v>
      </c>
      <c r="E40" s="3">
        <v>4.2587999999999999</v>
      </c>
      <c r="F40" s="4">
        <v>20</v>
      </c>
      <c r="G40" s="4">
        <v>54</v>
      </c>
      <c r="H40" s="1">
        <v>125</v>
      </c>
      <c r="I40" s="4">
        <v>250</v>
      </c>
      <c r="J40" s="5">
        <v>800</v>
      </c>
      <c r="K40" s="3">
        <v>16000</v>
      </c>
      <c r="L40" s="5">
        <v>87.082518617972042</v>
      </c>
      <c r="M40" s="8">
        <v>0.05</v>
      </c>
      <c r="N40" s="3">
        <v>54.1</v>
      </c>
      <c r="O40" s="5">
        <v>402.11974330309567</v>
      </c>
      <c r="P40" s="3">
        <v>0.6</v>
      </c>
      <c r="Q40" s="12">
        <f t="shared" si="0"/>
        <v>2.0105987165154782E-3</v>
      </c>
      <c r="U40" s="3">
        <f>$V$2*($V$3*$F40+$V$4*$B40^$V$5*$M40^$V$6)*$Q40^$V$7</f>
        <v>0.25061295162758584</v>
      </c>
      <c r="V40" s="3">
        <f t="shared" si="1"/>
        <v>0.41768825271264309</v>
      </c>
      <c r="X40" s="3">
        <f>$Y$2*$B40^$Y$3*$Q40^$Y$4*($Y$5*$M40^$Y$6+$Y$7)</f>
        <v>0.25366230785718491</v>
      </c>
      <c r="Y40" s="3">
        <f t="shared" si="2"/>
        <v>0.42277051309530822</v>
      </c>
      <c r="AA40" s="3"/>
      <c r="AB40" s="3"/>
    </row>
    <row r="41" spans="1:28" x14ac:dyDescent="0.3">
      <c r="A41" s="1" t="s">
        <v>10</v>
      </c>
      <c r="B41" s="4">
        <v>12</v>
      </c>
      <c r="C41" s="5">
        <v>4</v>
      </c>
      <c r="D41" s="4">
        <v>79.3</v>
      </c>
      <c r="E41" s="3">
        <v>2.6933292113182881</v>
      </c>
      <c r="F41" s="4">
        <v>20</v>
      </c>
      <c r="G41" s="4">
        <v>38</v>
      </c>
      <c r="H41" s="1">
        <v>350</v>
      </c>
      <c r="I41" s="4">
        <v>450</v>
      </c>
      <c r="J41" s="5">
        <v>452</v>
      </c>
      <c r="K41" s="3">
        <v>34300</v>
      </c>
      <c r="L41" s="5">
        <v>76.169428201642418</v>
      </c>
      <c r="M41" s="8">
        <v>1.3177842565597668E-2</v>
      </c>
      <c r="N41" s="3">
        <v>52.5</v>
      </c>
      <c r="O41" s="5">
        <v>218.68198073933297</v>
      </c>
      <c r="P41" s="3">
        <v>0.36</v>
      </c>
      <c r="Q41" s="12">
        <f t="shared" si="0"/>
        <v>1.0934099036966649E-3</v>
      </c>
      <c r="U41" s="3">
        <f>$V$2*($V$3*$F41+$V$4*$B41^$V$5*$M41^$V$6)*$Q41^$V$7</f>
        <v>0.24746648686752301</v>
      </c>
      <c r="V41" s="3">
        <f t="shared" si="1"/>
        <v>0.68740690796534176</v>
      </c>
      <c r="X41" s="3">
        <f>$Y$2*$B41^$Y$3*$Q41^$Y$4*($Y$5*$M41^$Y$6+$Y$7)</f>
        <v>0.24624096694955855</v>
      </c>
      <c r="Y41" s="3">
        <f t="shared" si="2"/>
        <v>0.684002685970996</v>
      </c>
      <c r="AA41" s="3"/>
      <c r="AB41" s="3"/>
    </row>
    <row r="42" spans="1:28" x14ac:dyDescent="0.3">
      <c r="B42" s="4">
        <v>12</v>
      </c>
      <c r="C42" s="5">
        <v>4</v>
      </c>
      <c r="D42" s="4">
        <v>79.3</v>
      </c>
      <c r="E42" s="3">
        <v>2.6933292113182881</v>
      </c>
      <c r="F42" s="4">
        <v>20</v>
      </c>
      <c r="G42" s="4">
        <v>38</v>
      </c>
      <c r="H42" s="1">
        <v>350</v>
      </c>
      <c r="I42" s="4">
        <v>450</v>
      </c>
      <c r="J42" s="5">
        <v>452</v>
      </c>
      <c r="K42" s="3">
        <v>34300</v>
      </c>
      <c r="L42" s="5">
        <v>76.169428201642418</v>
      </c>
      <c r="M42" s="8">
        <v>1.3177842565597668E-2</v>
      </c>
      <c r="N42" s="3">
        <v>67.5</v>
      </c>
      <c r="O42" s="5">
        <v>344.70483239558712</v>
      </c>
      <c r="P42" s="3">
        <v>0.43</v>
      </c>
      <c r="Q42" s="12">
        <f t="shared" si="0"/>
        <v>1.7235241619779356E-3</v>
      </c>
      <c r="U42" s="3">
        <f>$V$2*($V$3*$F42+$V$4*$B42^$V$5*$M42^$V$6)*$Q42^$V$7</f>
        <v>0.32768518055949614</v>
      </c>
      <c r="V42" s="3">
        <f t="shared" si="1"/>
        <v>0.76205855944068868</v>
      </c>
      <c r="X42" s="3">
        <f>$Y$2*$B42^$Y$3*$Q42^$Y$4*($Y$5*$M42^$Y$6+$Y$7)</f>
        <v>0.32769868155421689</v>
      </c>
      <c r="Y42" s="3">
        <f t="shared" si="2"/>
        <v>0.76208995710283001</v>
      </c>
      <c r="AA42" s="3"/>
      <c r="AB42" s="3"/>
    </row>
    <row r="43" spans="1:28" x14ac:dyDescent="0.3">
      <c r="B43" s="4">
        <v>12</v>
      </c>
      <c r="C43" s="5">
        <v>4</v>
      </c>
      <c r="D43" s="4">
        <v>79.3</v>
      </c>
      <c r="E43" s="3">
        <v>2.6933292113182881</v>
      </c>
      <c r="F43" s="4">
        <v>20</v>
      </c>
      <c r="G43" s="4">
        <v>38</v>
      </c>
      <c r="H43" s="1">
        <v>350</v>
      </c>
      <c r="I43" s="4">
        <v>450</v>
      </c>
      <c r="J43" s="5">
        <v>452</v>
      </c>
      <c r="K43" s="3">
        <v>34300</v>
      </c>
      <c r="L43" s="5">
        <v>76.169428201642418</v>
      </c>
      <c r="M43" s="8">
        <v>1.3177842565597668E-2</v>
      </c>
      <c r="N43" s="3">
        <v>90</v>
      </c>
      <c r="O43" s="5">
        <v>500</v>
      </c>
      <c r="P43" s="3">
        <v>0.56000000000000005</v>
      </c>
      <c r="Q43" s="12">
        <f t="shared" si="0"/>
        <v>2.5000000000000001E-3</v>
      </c>
      <c r="U43" s="3">
        <f>$V$2*($V$3*$F43+$V$4*$B43^$V$5*$M43^$V$6)*$Q43^$V$7</f>
        <v>0.41220785679663829</v>
      </c>
      <c r="V43" s="3">
        <f t="shared" si="1"/>
        <v>0.73608545856542551</v>
      </c>
      <c r="X43" s="3">
        <f>$Y$2*$B43^$Y$3*$Q43^$Y$4*($Y$5*$M43^$Y$6+$Y$7)</f>
        <v>0.41391475418065798</v>
      </c>
      <c r="Y43" s="3">
        <f t="shared" si="2"/>
        <v>0.73913348960831771</v>
      </c>
      <c r="AA43" s="3"/>
      <c r="AB43" s="3"/>
    </row>
    <row r="44" spans="1:28" x14ac:dyDescent="0.3">
      <c r="B44" s="4">
        <v>12</v>
      </c>
      <c r="C44" s="5">
        <v>4</v>
      </c>
      <c r="D44" s="4">
        <v>79.3</v>
      </c>
      <c r="E44" s="3">
        <v>2.6933292113182881</v>
      </c>
      <c r="F44" s="4">
        <v>20</v>
      </c>
      <c r="G44" s="4">
        <v>38</v>
      </c>
      <c r="H44" s="1">
        <v>350</v>
      </c>
      <c r="I44" s="4">
        <v>450</v>
      </c>
      <c r="J44" s="5">
        <v>452</v>
      </c>
      <c r="K44" s="3">
        <v>34300</v>
      </c>
      <c r="L44" s="5">
        <v>76.169428201642418</v>
      </c>
      <c r="M44" s="8">
        <v>1.3177842565597668E-2</v>
      </c>
      <c r="N44" s="3">
        <v>112.5</v>
      </c>
      <c r="O44" s="5">
        <v>500</v>
      </c>
      <c r="P44" s="3">
        <v>0.71</v>
      </c>
      <c r="Q44" s="12">
        <f t="shared" si="0"/>
        <v>2.5000000000000001E-3</v>
      </c>
      <c r="U44" s="3">
        <f>$V$2*($V$3*$F44+$V$4*$B44^$V$5*$M44^$V$6)*$Q44^$V$7</f>
        <v>0.41220785679663829</v>
      </c>
      <c r="V44" s="3">
        <f t="shared" si="1"/>
        <v>0.58057444619244836</v>
      </c>
      <c r="X44" s="3">
        <f>$Y$2*$B44^$Y$3*$Q44^$Y$4*($Y$5*$M44^$Y$6+$Y$7)</f>
        <v>0.41391475418065798</v>
      </c>
      <c r="Y44" s="3">
        <f t="shared" si="2"/>
        <v>0.58297852701501129</v>
      </c>
      <c r="AA44" s="3"/>
      <c r="AB44" s="3"/>
    </row>
    <row r="45" spans="1:28" x14ac:dyDescent="0.3">
      <c r="B45" s="4">
        <v>12</v>
      </c>
      <c r="C45" s="5">
        <v>4</v>
      </c>
      <c r="D45" s="4">
        <v>79.3</v>
      </c>
      <c r="E45" s="3">
        <v>2.6933292113182881</v>
      </c>
      <c r="F45" s="4">
        <v>20</v>
      </c>
      <c r="G45" s="4">
        <v>38</v>
      </c>
      <c r="H45" s="1">
        <v>350</v>
      </c>
      <c r="I45" s="4">
        <v>450</v>
      </c>
      <c r="J45" s="5">
        <v>452</v>
      </c>
      <c r="K45" s="3">
        <v>34300</v>
      </c>
      <c r="L45" s="5">
        <v>76.169428201642418</v>
      </c>
      <c r="M45" s="8">
        <v>1.3177842565597668E-2</v>
      </c>
      <c r="N45" s="3">
        <v>120</v>
      </c>
      <c r="O45" s="5">
        <v>500</v>
      </c>
      <c r="P45" s="3">
        <v>0.79</v>
      </c>
      <c r="Q45" s="12">
        <f t="shared" si="0"/>
        <v>2.5000000000000001E-3</v>
      </c>
      <c r="U45" s="3">
        <f>$V$2*($V$3*$F45+$V$4*$B45^$V$5*$M45^$V$6)*$Q45^$V$7</f>
        <v>0.41220785679663829</v>
      </c>
      <c r="V45" s="3">
        <f t="shared" si="1"/>
        <v>0.52178209721093449</v>
      </c>
      <c r="X45" s="3">
        <f>$Y$2*$B45^$Y$3*$Q45^$Y$4*($Y$5*$M45^$Y$6+$Y$7)</f>
        <v>0.41391475418065798</v>
      </c>
      <c r="Y45" s="3">
        <f t="shared" si="2"/>
        <v>0.52394272681095944</v>
      </c>
      <c r="AA45" s="3"/>
      <c r="AB45" s="3"/>
    </row>
    <row r="46" spans="1:28" x14ac:dyDescent="0.3">
      <c r="A46" s="1" t="s">
        <v>11</v>
      </c>
      <c r="B46" s="4">
        <v>25</v>
      </c>
      <c r="C46" s="5">
        <v>4</v>
      </c>
      <c r="D46" s="4">
        <v>62</v>
      </c>
      <c r="E46" s="3">
        <v>2.6933292113182881</v>
      </c>
      <c r="F46" s="4">
        <v>20</v>
      </c>
      <c r="G46" s="4">
        <v>44.5</v>
      </c>
      <c r="H46" s="1">
        <v>350</v>
      </c>
      <c r="I46" s="4">
        <v>450</v>
      </c>
      <c r="J46" s="5">
        <v>1964</v>
      </c>
      <c r="K46" s="3">
        <v>54512.5</v>
      </c>
      <c r="L46" s="5">
        <v>140.9271689293702</v>
      </c>
      <c r="M46" s="8">
        <v>3.6028433845448293E-2</v>
      </c>
      <c r="N46" s="3">
        <v>75</v>
      </c>
      <c r="O46" s="5">
        <v>50.850362331918205</v>
      </c>
      <c r="P46" s="3">
        <v>0.2</v>
      </c>
      <c r="Q46" s="12">
        <f t="shared" si="0"/>
        <v>2.5425181165959103E-4</v>
      </c>
      <c r="U46" s="3">
        <f>$V$2*($V$3*$F46+$V$4*$B46^$V$5*$M46^$V$6)*$Q46^$V$7</f>
        <v>0.10832468027892288</v>
      </c>
      <c r="V46" s="3">
        <f t="shared" si="1"/>
        <v>0.5416234013946144</v>
      </c>
      <c r="X46" s="3">
        <f>$Y$2*$B46^$Y$3*$Q46^$Y$4*($Y$5*$M46^$Y$6+$Y$7)</f>
        <v>0.10686518355559303</v>
      </c>
      <c r="Y46" s="3">
        <f t="shared" si="2"/>
        <v>0.53432591777796512</v>
      </c>
      <c r="AA46" s="3"/>
      <c r="AB46" s="3"/>
    </row>
    <row r="47" spans="1:28" x14ac:dyDescent="0.3">
      <c r="B47" s="4">
        <v>25</v>
      </c>
      <c r="C47" s="5">
        <v>4</v>
      </c>
      <c r="D47" s="4">
        <v>62</v>
      </c>
      <c r="E47" s="3">
        <v>2.6933292113182881</v>
      </c>
      <c r="F47" s="4">
        <v>20</v>
      </c>
      <c r="G47" s="4">
        <v>44.5</v>
      </c>
      <c r="H47" s="1">
        <v>350</v>
      </c>
      <c r="I47" s="4">
        <v>450</v>
      </c>
      <c r="J47" s="5">
        <v>1964</v>
      </c>
      <c r="K47" s="3">
        <v>54512.5</v>
      </c>
      <c r="L47" s="5">
        <v>140.9271689293702</v>
      </c>
      <c r="M47" s="8">
        <v>3.6028433845448293E-2</v>
      </c>
      <c r="N47" s="3">
        <v>135</v>
      </c>
      <c r="O47" s="5">
        <v>136.39227558550306</v>
      </c>
      <c r="P47" s="3">
        <v>0.25</v>
      </c>
      <c r="Q47" s="12">
        <f t="shared" si="0"/>
        <v>6.8196137792751526E-4</v>
      </c>
      <c r="U47" s="3">
        <f>$V$2*($V$3*$F47+$V$4*$B47^$V$5*$M47^$V$6)*$Q47^$V$7</f>
        <v>0.19911742955835604</v>
      </c>
      <c r="V47" s="3">
        <f t="shared" si="1"/>
        <v>0.79646971823342416</v>
      </c>
      <c r="X47" s="3">
        <f>$Y$2*$B47^$Y$3*$Q47^$Y$4*($Y$5*$M47^$Y$6+$Y$7)</f>
        <v>0.19857819114765696</v>
      </c>
      <c r="Y47" s="3">
        <f t="shared" si="2"/>
        <v>0.79431276459062783</v>
      </c>
      <c r="AA47" s="3"/>
      <c r="AB47" s="3"/>
    </row>
    <row r="48" spans="1:28" x14ac:dyDescent="0.3">
      <c r="B48" s="4">
        <v>25</v>
      </c>
      <c r="C48" s="5">
        <v>4</v>
      </c>
      <c r="D48" s="4">
        <v>62</v>
      </c>
      <c r="E48" s="3">
        <v>2.6933292113182881</v>
      </c>
      <c r="F48" s="4">
        <v>20</v>
      </c>
      <c r="G48" s="4">
        <v>44.5</v>
      </c>
      <c r="H48" s="1">
        <v>350</v>
      </c>
      <c r="I48" s="4">
        <v>450</v>
      </c>
      <c r="J48" s="5">
        <v>1964</v>
      </c>
      <c r="K48" s="3">
        <v>54512.5</v>
      </c>
      <c r="L48" s="5">
        <v>140.9271689293702</v>
      </c>
      <c r="M48" s="8">
        <v>3.6028433845448293E-2</v>
      </c>
      <c r="N48" s="3">
        <v>195</v>
      </c>
      <c r="O48" s="5">
        <v>238.24239280430174</v>
      </c>
      <c r="P48" s="3">
        <v>0.36</v>
      </c>
      <c r="Q48" s="12">
        <f t="shared" si="0"/>
        <v>1.1912119640215086E-3</v>
      </c>
      <c r="U48" s="3">
        <f>$V$2*($V$3*$F48+$V$4*$B48^$V$5*$M48^$V$6)*$Q48^$V$7</f>
        <v>0.28090840576626891</v>
      </c>
      <c r="V48" s="3">
        <f t="shared" si="1"/>
        <v>0.78030112712852473</v>
      </c>
      <c r="X48" s="3">
        <f>$Y$2*$B48^$Y$3*$Q48^$Y$4*($Y$5*$M48^$Y$6+$Y$7)</f>
        <v>0.28187173589718439</v>
      </c>
      <c r="Y48" s="3">
        <f t="shared" si="2"/>
        <v>0.78297704415884561</v>
      </c>
      <c r="AA48" s="3"/>
      <c r="AB48" s="3"/>
    </row>
    <row r="49" spans="1:28" x14ac:dyDescent="0.3">
      <c r="B49" s="4">
        <v>25</v>
      </c>
      <c r="C49" s="5">
        <v>4</v>
      </c>
      <c r="D49" s="4">
        <v>62</v>
      </c>
      <c r="E49" s="3">
        <v>2.6933292113182881</v>
      </c>
      <c r="F49" s="4">
        <v>20</v>
      </c>
      <c r="G49" s="4">
        <v>44.5</v>
      </c>
      <c r="H49" s="1">
        <v>350</v>
      </c>
      <c r="I49" s="4">
        <v>450</v>
      </c>
      <c r="J49" s="5">
        <v>1964</v>
      </c>
      <c r="K49" s="3">
        <v>54512.5</v>
      </c>
      <c r="L49" s="5">
        <v>140.9271689293702</v>
      </c>
      <c r="M49" s="8">
        <v>3.6028433845448293E-2</v>
      </c>
      <c r="N49" s="3">
        <v>255</v>
      </c>
      <c r="O49" s="5">
        <v>340.09251002310043</v>
      </c>
      <c r="P49" s="3">
        <v>0.47</v>
      </c>
      <c r="Q49" s="12">
        <f t="shared" si="0"/>
        <v>1.7004625501155022E-3</v>
      </c>
      <c r="U49" s="3">
        <f>$V$2*($V$3*$F49+$V$4*$B49^$V$5*$M49^$V$6)*$Q49^$V$7</f>
        <v>0.34989632133287085</v>
      </c>
      <c r="V49" s="3">
        <f t="shared" si="1"/>
        <v>0.74446025815504446</v>
      </c>
      <c r="X49" s="3">
        <f>$Y$2*$B49^$Y$3*$Q49^$Y$4*($Y$5*$M49^$Y$6+$Y$7)</f>
        <v>0.35247354775628137</v>
      </c>
      <c r="Y49" s="3">
        <f t="shared" si="2"/>
        <v>0.74994371863038589</v>
      </c>
      <c r="AA49" s="3"/>
      <c r="AB49" s="3"/>
    </row>
    <row r="50" spans="1:28" x14ac:dyDescent="0.3">
      <c r="B50" s="4">
        <v>25</v>
      </c>
      <c r="C50" s="5">
        <v>4</v>
      </c>
      <c r="D50" s="4">
        <v>62</v>
      </c>
      <c r="E50" s="3">
        <v>2.6933292113182881</v>
      </c>
      <c r="F50" s="4">
        <v>20</v>
      </c>
      <c r="G50" s="4">
        <v>44.5</v>
      </c>
      <c r="H50" s="1">
        <v>350</v>
      </c>
      <c r="I50" s="4">
        <v>450</v>
      </c>
      <c r="J50" s="5">
        <v>1964</v>
      </c>
      <c r="K50" s="3">
        <v>54512.5</v>
      </c>
      <c r="L50" s="5">
        <v>140.9271689293702</v>
      </c>
      <c r="M50" s="8">
        <v>3.6028433845448293E-2</v>
      </c>
      <c r="N50" s="3">
        <v>300</v>
      </c>
      <c r="O50" s="5">
        <v>416.4800979371995</v>
      </c>
      <c r="P50" s="3">
        <v>0.56999999999999995</v>
      </c>
      <c r="Q50" s="12">
        <f t="shared" si="0"/>
        <v>2.0824004896859974E-3</v>
      </c>
      <c r="U50" s="3">
        <f>$V$2*($V$3*$F50+$V$4*$B50^$V$5*$M50^$V$6)*$Q50^$V$7</f>
        <v>0.39649127962857428</v>
      </c>
      <c r="V50" s="3">
        <f t="shared" si="1"/>
        <v>0.69559873619048129</v>
      </c>
      <c r="X50" s="3">
        <f>$Y$2*$B50^$Y$3*$Q50^$Y$4*($Y$5*$M50^$Y$6+$Y$7)</f>
        <v>0.40030292392989675</v>
      </c>
      <c r="Y50" s="3">
        <f t="shared" si="2"/>
        <v>0.70228583145595924</v>
      </c>
      <c r="AA50" s="3"/>
      <c r="AB50" s="3"/>
    </row>
    <row r="51" spans="1:28" x14ac:dyDescent="0.3">
      <c r="B51" s="4">
        <v>25</v>
      </c>
      <c r="C51" s="5">
        <v>4</v>
      </c>
      <c r="D51" s="4">
        <v>62</v>
      </c>
      <c r="E51" s="3">
        <v>2.6933292113182881</v>
      </c>
      <c r="F51" s="4">
        <v>20</v>
      </c>
      <c r="G51" s="4">
        <v>44.5</v>
      </c>
      <c r="H51" s="1">
        <v>350</v>
      </c>
      <c r="I51" s="4">
        <v>450</v>
      </c>
      <c r="J51" s="5">
        <v>1964</v>
      </c>
      <c r="K51" s="3">
        <v>54512.5</v>
      </c>
      <c r="L51" s="5">
        <v>140.9271689293702</v>
      </c>
      <c r="M51" s="8">
        <v>3.6028433845448293E-2</v>
      </c>
      <c r="N51" s="3">
        <v>360</v>
      </c>
      <c r="O51" s="5">
        <v>500</v>
      </c>
      <c r="P51" s="3">
        <v>0.78</v>
      </c>
      <c r="Q51" s="12">
        <f t="shared" si="0"/>
        <v>2.5000000000000001E-3</v>
      </c>
      <c r="U51" s="3">
        <f>$V$2*($V$3*$F51+$V$4*$B51^$V$5*$M51^$V$6)*$Q51^$V$7</f>
        <v>0.4438216448096528</v>
      </c>
      <c r="V51" s="3">
        <f t="shared" si="1"/>
        <v>0.56900210873032409</v>
      </c>
      <c r="X51" s="3">
        <f>$Y$2*$B51^$Y$3*$Q51^$Y$4*($Y$5*$M51^$Y$6+$Y$7)</f>
        <v>0.44899006805270952</v>
      </c>
      <c r="Y51" s="3">
        <f t="shared" si="2"/>
        <v>0.57562829237526858</v>
      </c>
      <c r="AA51" s="3"/>
      <c r="AB51" s="3"/>
    </row>
    <row r="52" spans="1:28" x14ac:dyDescent="0.3">
      <c r="A52" s="1" t="s">
        <v>12</v>
      </c>
      <c r="B52" s="4">
        <v>12</v>
      </c>
      <c r="C52" s="5">
        <v>4</v>
      </c>
      <c r="D52" s="4">
        <v>79.3</v>
      </c>
      <c r="E52" s="3">
        <v>2.6933292113182881</v>
      </c>
      <c r="F52" s="4">
        <v>20</v>
      </c>
      <c r="G52" s="4">
        <v>34</v>
      </c>
      <c r="H52" s="1">
        <v>350</v>
      </c>
      <c r="I52" s="4">
        <v>450</v>
      </c>
      <c r="J52" s="5">
        <v>452</v>
      </c>
      <c r="K52" s="3">
        <v>32900</v>
      </c>
      <c r="L52" s="5">
        <v>76.575869689672942</v>
      </c>
      <c r="M52" s="8">
        <v>1.3738601823708207E-2</v>
      </c>
      <c r="N52" s="3">
        <v>37.5</v>
      </c>
      <c r="O52" s="5">
        <v>94.152135862731086</v>
      </c>
      <c r="P52" s="3">
        <v>0.21</v>
      </c>
      <c r="Q52" s="12">
        <f t="shared" si="0"/>
        <v>4.7076067931365543E-4</v>
      </c>
      <c r="U52" s="3">
        <f>$V$2*($V$3*$F52+$V$4*$B52^$V$5*$M52^$V$6)*$Q52^$V$7</f>
        <v>0.14459392894446282</v>
      </c>
      <c r="V52" s="3">
        <f t="shared" si="1"/>
        <v>0.68854251878315631</v>
      </c>
      <c r="X52" s="3">
        <f>$Y$2*$B52^$Y$3*$Q52^$Y$4*($Y$5*$M52^$Y$6+$Y$7)</f>
        <v>0.14223527221134519</v>
      </c>
      <c r="Y52" s="3">
        <f t="shared" si="2"/>
        <v>0.67731082005402476</v>
      </c>
      <c r="AA52" s="3"/>
      <c r="AB52" s="3"/>
    </row>
    <row r="53" spans="1:28" x14ac:dyDescent="0.3">
      <c r="B53" s="4">
        <v>12</v>
      </c>
      <c r="C53" s="5">
        <v>4</v>
      </c>
      <c r="D53" s="4">
        <v>79.3</v>
      </c>
      <c r="E53" s="3">
        <v>2.6933292113182881</v>
      </c>
      <c r="F53" s="4">
        <v>20</v>
      </c>
      <c r="G53" s="4">
        <v>34</v>
      </c>
      <c r="H53" s="1">
        <v>350</v>
      </c>
      <c r="I53" s="4">
        <v>450</v>
      </c>
      <c r="J53" s="5">
        <v>452</v>
      </c>
      <c r="K53" s="3">
        <v>32900</v>
      </c>
      <c r="L53" s="5">
        <v>76.575869689672942</v>
      </c>
      <c r="M53" s="8">
        <v>1.3738601823708207E-2</v>
      </c>
      <c r="N53" s="3">
        <v>45</v>
      </c>
      <c r="O53" s="5">
        <v>155.79372902207814</v>
      </c>
      <c r="P53" s="3">
        <v>0.31</v>
      </c>
      <c r="Q53" s="12">
        <f t="shared" si="0"/>
        <v>7.7896864511039067E-4</v>
      </c>
      <c r="U53" s="3">
        <f>$V$2*($V$3*$F53+$V$4*$B53^$V$5*$M53^$V$6)*$Q53^$V$7</f>
        <v>0.19728777404733772</v>
      </c>
      <c r="V53" s="3">
        <f t="shared" si="1"/>
        <v>0.63641217434625075</v>
      </c>
      <c r="X53" s="3">
        <f>$Y$2*$B53^$Y$3*$Q53^$Y$4*($Y$5*$M53^$Y$6+$Y$7)</f>
        <v>0.19514765645076043</v>
      </c>
      <c r="Y53" s="3">
        <f t="shared" si="2"/>
        <v>0.6295085691960014</v>
      </c>
      <c r="AA53" s="3"/>
      <c r="AB53" s="3"/>
    </row>
    <row r="54" spans="1:28" x14ac:dyDescent="0.3">
      <c r="B54" s="4">
        <v>12</v>
      </c>
      <c r="C54" s="5">
        <v>4</v>
      </c>
      <c r="D54" s="4">
        <v>79.3</v>
      </c>
      <c r="E54" s="3">
        <v>2.6933292113182881</v>
      </c>
      <c r="F54" s="4">
        <v>20</v>
      </c>
      <c r="G54" s="4">
        <v>34</v>
      </c>
      <c r="H54" s="1">
        <v>350</v>
      </c>
      <c r="I54" s="4">
        <v>450</v>
      </c>
      <c r="J54" s="5">
        <v>452</v>
      </c>
      <c r="K54" s="3">
        <v>32900</v>
      </c>
      <c r="L54" s="5">
        <v>76.575869689672942</v>
      </c>
      <c r="M54" s="8">
        <v>1.3738601823708207E-2</v>
      </c>
      <c r="N54" s="3">
        <v>52.5</v>
      </c>
      <c r="O54" s="5">
        <v>217.43532218142514</v>
      </c>
      <c r="P54" s="3">
        <v>0.38</v>
      </c>
      <c r="Q54" s="12">
        <f t="shared" si="0"/>
        <v>1.0871766109071257E-3</v>
      </c>
      <c r="U54" s="3">
        <f>$V$2*($V$3*$F54+$V$4*$B54^$V$5*$M54^$V$6)*$Q54^$V$7</f>
        <v>0.2423424583508875</v>
      </c>
      <c r="V54" s="3">
        <f t="shared" si="1"/>
        <v>0.63774331144970398</v>
      </c>
      <c r="X54" s="3">
        <f>$Y$2*$B54^$Y$3*$Q54^$Y$4*($Y$5*$M54^$Y$6+$Y$7)</f>
        <v>0.24059425774653773</v>
      </c>
      <c r="Y54" s="3">
        <f t="shared" si="2"/>
        <v>0.63314278354352027</v>
      </c>
      <c r="AA54" s="3"/>
      <c r="AB54" s="3"/>
    </row>
    <row r="55" spans="1:28" x14ac:dyDescent="0.3">
      <c r="B55" s="4">
        <v>12</v>
      </c>
      <c r="C55" s="5">
        <v>4</v>
      </c>
      <c r="D55" s="4">
        <v>79.3</v>
      </c>
      <c r="E55" s="3">
        <v>2.6933292113182881</v>
      </c>
      <c r="F55" s="4">
        <v>20</v>
      </c>
      <c r="G55" s="4">
        <v>34</v>
      </c>
      <c r="H55" s="1">
        <v>350</v>
      </c>
      <c r="I55" s="4">
        <v>450</v>
      </c>
      <c r="J55" s="5">
        <v>452</v>
      </c>
      <c r="K55" s="3">
        <v>32900</v>
      </c>
      <c r="L55" s="5">
        <v>76.575869689672942</v>
      </c>
      <c r="M55" s="8">
        <v>1.3738601823708207E-2</v>
      </c>
      <c r="N55" s="3">
        <v>67.5</v>
      </c>
      <c r="O55" s="5">
        <v>340.71850850011936</v>
      </c>
      <c r="P55" s="3">
        <v>0.52</v>
      </c>
      <c r="Q55" s="12">
        <f t="shared" si="0"/>
        <v>1.7035925425005968E-3</v>
      </c>
      <c r="U55" s="3">
        <f>$V$2*($V$3*$F55+$V$4*$B55^$V$5*$M55^$V$6)*$Q55^$V$7</f>
        <v>0.31973118894321201</v>
      </c>
      <c r="V55" s="3">
        <f t="shared" si="1"/>
        <v>0.61486767104463846</v>
      </c>
      <c r="X55" s="3">
        <f>$Y$2*$B55^$Y$3*$Q55^$Y$4*($Y$5*$M55^$Y$6+$Y$7)</f>
        <v>0.31899690783406282</v>
      </c>
      <c r="Y55" s="3">
        <f t="shared" si="2"/>
        <v>0.61345559198858235</v>
      </c>
      <c r="AA55" s="3"/>
      <c r="AB55" s="3"/>
    </row>
    <row r="56" spans="1:28" x14ac:dyDescent="0.3">
      <c r="B56" s="4">
        <v>12</v>
      </c>
      <c r="C56" s="5">
        <v>4</v>
      </c>
      <c r="D56" s="4">
        <v>79.3</v>
      </c>
      <c r="E56" s="3">
        <v>2.6933292113182881</v>
      </c>
      <c r="F56" s="4">
        <v>20</v>
      </c>
      <c r="G56" s="4">
        <v>34</v>
      </c>
      <c r="H56" s="1">
        <v>350</v>
      </c>
      <c r="I56" s="4">
        <v>450</v>
      </c>
      <c r="J56" s="5">
        <v>452</v>
      </c>
      <c r="K56" s="3">
        <v>32900</v>
      </c>
      <c r="L56" s="5">
        <v>76.575869689672942</v>
      </c>
      <c r="M56" s="8">
        <v>1.3738601823708207E-2</v>
      </c>
      <c r="N56" s="3">
        <v>90</v>
      </c>
      <c r="O56" s="5">
        <v>500</v>
      </c>
      <c r="P56" s="3">
        <v>0.74</v>
      </c>
      <c r="Q56" s="12">
        <f t="shared" si="0"/>
        <v>2.5000000000000001E-3</v>
      </c>
      <c r="U56" s="3">
        <f>$V$2*($V$3*$F56+$V$4*$B56^$V$5*$M56^$V$6)*$Q56^$V$7</f>
        <v>0.40509915044458422</v>
      </c>
      <c r="V56" s="3">
        <f t="shared" si="1"/>
        <v>0.54743128438457322</v>
      </c>
      <c r="X56" s="3">
        <f>$Y$2*$B56^$Y$3*$Q56^$Y$4*($Y$5*$M56^$Y$6+$Y$7)</f>
        <v>0.4058776340561745</v>
      </c>
      <c r="Y56" s="3">
        <f t="shared" si="2"/>
        <v>0.5484832892651007</v>
      </c>
      <c r="AA56" s="3"/>
      <c r="AB56" s="3"/>
    </row>
    <row r="57" spans="1:28" x14ac:dyDescent="0.3">
      <c r="A57" s="1" t="s">
        <v>13</v>
      </c>
      <c r="B57" s="4">
        <v>12</v>
      </c>
      <c r="C57" s="5">
        <v>4</v>
      </c>
      <c r="D57" s="4">
        <v>79.3</v>
      </c>
      <c r="E57" s="3">
        <v>2.6933292113182881</v>
      </c>
      <c r="F57" s="4">
        <v>20</v>
      </c>
      <c r="G57" s="4">
        <v>34</v>
      </c>
      <c r="H57" s="1">
        <v>350</v>
      </c>
      <c r="I57" s="4">
        <v>450</v>
      </c>
      <c r="J57" s="5">
        <v>452</v>
      </c>
      <c r="K57" s="3">
        <v>32900</v>
      </c>
      <c r="L57" s="5">
        <v>76.575869689672942</v>
      </c>
      <c r="M57" s="8">
        <v>1.3738601823708207E-2</v>
      </c>
      <c r="N57" s="3">
        <v>37.5</v>
      </c>
      <c r="O57" s="5">
        <v>94.152135862731086</v>
      </c>
      <c r="P57" s="3">
        <v>0.17</v>
      </c>
      <c r="Q57" s="12">
        <f t="shared" si="0"/>
        <v>4.7076067931365543E-4</v>
      </c>
      <c r="U57" s="3">
        <f>$V$2*($V$3*$F57+$V$4*$B57^$V$5*$M57^$V$6)*$Q57^$V$7</f>
        <v>0.14459392894446282</v>
      </c>
      <c r="V57" s="3">
        <f t="shared" si="1"/>
        <v>0.85055252320272245</v>
      </c>
      <c r="X57" s="3">
        <f>$Y$2*$B57^$Y$3*$Q57^$Y$4*($Y$5*$M57^$Y$6+$Y$7)</f>
        <v>0.14223527221134519</v>
      </c>
      <c r="Y57" s="3">
        <f t="shared" si="2"/>
        <v>0.83667807183144227</v>
      </c>
      <c r="AA57" s="3"/>
      <c r="AB57" s="3"/>
    </row>
    <row r="58" spans="1:28" x14ac:dyDescent="0.3">
      <c r="B58" s="4">
        <v>12</v>
      </c>
      <c r="C58" s="5">
        <v>4</v>
      </c>
      <c r="D58" s="4">
        <v>79.3</v>
      </c>
      <c r="E58" s="3">
        <v>2.6933292113182881</v>
      </c>
      <c r="F58" s="4">
        <v>20</v>
      </c>
      <c r="G58" s="4">
        <v>34</v>
      </c>
      <c r="H58" s="1">
        <v>350</v>
      </c>
      <c r="I58" s="4">
        <v>450</v>
      </c>
      <c r="J58" s="5">
        <v>452</v>
      </c>
      <c r="K58" s="3">
        <v>32900</v>
      </c>
      <c r="L58" s="5">
        <v>76.575869689672942</v>
      </c>
      <c r="M58" s="8">
        <v>1.3738601823708207E-2</v>
      </c>
      <c r="N58" s="3">
        <v>52.5</v>
      </c>
      <c r="O58" s="5">
        <v>217.43532218142514</v>
      </c>
      <c r="P58" s="3">
        <v>0.36</v>
      </c>
      <c r="Q58" s="12">
        <f t="shared" si="0"/>
        <v>1.0871766109071257E-3</v>
      </c>
      <c r="U58" s="3">
        <f>$V$2*($V$3*$F58+$V$4*$B58^$V$5*$M58^$V$6)*$Q58^$V$7</f>
        <v>0.2423424583508875</v>
      </c>
      <c r="V58" s="3">
        <f t="shared" si="1"/>
        <v>0.67317349541913196</v>
      </c>
      <c r="X58" s="3">
        <f>$Y$2*$B58^$Y$3*$Q58^$Y$4*($Y$5*$M58^$Y$6+$Y$7)</f>
        <v>0.24059425774653773</v>
      </c>
      <c r="Y58" s="3">
        <f t="shared" si="2"/>
        <v>0.66831738262927154</v>
      </c>
      <c r="AA58" s="3"/>
      <c r="AB58" s="3"/>
    </row>
    <row r="59" spans="1:28" x14ac:dyDescent="0.3">
      <c r="B59" s="4">
        <v>12</v>
      </c>
      <c r="C59" s="5">
        <v>4</v>
      </c>
      <c r="D59" s="4">
        <v>79.3</v>
      </c>
      <c r="E59" s="3">
        <v>2.6933292113182881</v>
      </c>
      <c r="F59" s="4">
        <v>20</v>
      </c>
      <c r="G59" s="4">
        <v>34</v>
      </c>
      <c r="H59" s="1">
        <v>350</v>
      </c>
      <c r="I59" s="4">
        <v>450</v>
      </c>
      <c r="J59" s="5">
        <v>452</v>
      </c>
      <c r="K59" s="3">
        <v>32900</v>
      </c>
      <c r="L59" s="5">
        <v>76.575869689672942</v>
      </c>
      <c r="M59" s="8">
        <v>1.3738601823708207E-2</v>
      </c>
      <c r="N59" s="3">
        <v>67.5</v>
      </c>
      <c r="O59" s="5">
        <v>340.71850850011936</v>
      </c>
      <c r="P59" s="3">
        <v>0.56000000000000005</v>
      </c>
      <c r="Q59" s="12">
        <f t="shared" si="0"/>
        <v>1.7035925425005968E-3</v>
      </c>
      <c r="U59" s="3">
        <f>$V$2*($V$3*$F59+$V$4*$B59^$V$5*$M59^$V$6)*$Q59^$V$7</f>
        <v>0.31973118894321201</v>
      </c>
      <c r="V59" s="3">
        <f t="shared" si="1"/>
        <v>0.57094855168430714</v>
      </c>
      <c r="X59" s="3">
        <f>$Y$2*$B59^$Y$3*$Q59^$Y$4*($Y$5*$M59^$Y$6+$Y$7)</f>
        <v>0.31899690783406282</v>
      </c>
      <c r="Y59" s="3">
        <f t="shared" si="2"/>
        <v>0.56963733541796924</v>
      </c>
      <c r="AA59" s="3"/>
      <c r="AB59" s="3"/>
    </row>
    <row r="60" spans="1:28" x14ac:dyDescent="0.3">
      <c r="B60" s="4">
        <v>12</v>
      </c>
      <c r="C60" s="5">
        <v>4</v>
      </c>
      <c r="D60" s="4">
        <v>79.3</v>
      </c>
      <c r="E60" s="3">
        <v>2.6933292113182881</v>
      </c>
      <c r="F60" s="4">
        <v>20</v>
      </c>
      <c r="G60" s="4">
        <v>34</v>
      </c>
      <c r="H60" s="1">
        <v>350</v>
      </c>
      <c r="I60" s="4">
        <v>450</v>
      </c>
      <c r="J60" s="5">
        <v>452</v>
      </c>
      <c r="K60" s="3">
        <v>32900</v>
      </c>
      <c r="L60" s="5">
        <v>76.575869689672942</v>
      </c>
      <c r="M60" s="8">
        <v>1.3738601823708207E-2</v>
      </c>
      <c r="N60" s="3">
        <v>90</v>
      </c>
      <c r="O60" s="5">
        <v>500</v>
      </c>
      <c r="P60" s="3">
        <v>0.78</v>
      </c>
      <c r="Q60" s="12">
        <f t="shared" si="0"/>
        <v>2.5000000000000001E-3</v>
      </c>
      <c r="U60" s="3">
        <f>$V$2*($V$3*$F60+$V$4*$B60^$V$5*$M60^$V$6)*$Q60^$V$7</f>
        <v>0.40509915044458422</v>
      </c>
      <c r="V60" s="3">
        <f t="shared" si="1"/>
        <v>0.51935788518536441</v>
      </c>
      <c r="X60" s="3">
        <f>$Y$2*$B60^$Y$3*$Q60^$Y$4*($Y$5*$M60^$Y$6+$Y$7)</f>
        <v>0.4058776340561745</v>
      </c>
      <c r="Y60" s="3">
        <f t="shared" si="2"/>
        <v>0.52035594109765959</v>
      </c>
      <c r="AA60" s="3"/>
      <c r="AB60" s="3"/>
    </row>
    <row r="61" spans="1:28" x14ac:dyDescent="0.3">
      <c r="A61" s="1" t="s">
        <v>14</v>
      </c>
      <c r="B61" s="4">
        <v>12</v>
      </c>
      <c r="C61" s="5">
        <v>4</v>
      </c>
      <c r="D61" s="4">
        <v>46</v>
      </c>
      <c r="E61" s="3">
        <v>2.6933292113182881</v>
      </c>
      <c r="F61" s="4">
        <v>70</v>
      </c>
      <c r="G61" s="4">
        <v>88</v>
      </c>
      <c r="H61" s="1">
        <v>350</v>
      </c>
      <c r="I61" s="4">
        <v>450</v>
      </c>
      <c r="J61" s="5">
        <v>452</v>
      </c>
      <c r="K61" s="3">
        <v>42000</v>
      </c>
      <c r="L61" s="5">
        <v>70.913891854445922</v>
      </c>
      <c r="M61" s="8">
        <v>1.0761904761904762E-2</v>
      </c>
      <c r="N61" s="3">
        <v>37.5</v>
      </c>
      <c r="O61" s="5">
        <v>115.38349719943332</v>
      </c>
      <c r="P61" s="3">
        <v>0.31</v>
      </c>
      <c r="Q61" s="12">
        <f t="shared" si="0"/>
        <v>5.7691748599716659E-4</v>
      </c>
      <c r="U61" s="3">
        <f>$V$2*($V$3*$F61+$V$4*$B61^$V$5*$M61^$V$6)*$Q61^$V$7</f>
        <v>0.18107656453246981</v>
      </c>
      <c r="V61" s="3">
        <f t="shared" si="1"/>
        <v>0.58411795010474132</v>
      </c>
      <c r="X61" s="3">
        <f>$Y$2*$B61^$Y$3*$Q61^$Y$4*($Y$5*$M61^$Y$6+$Y$7)</f>
        <v>0.1816191597291725</v>
      </c>
      <c r="Y61" s="3">
        <f t="shared" si="2"/>
        <v>0.58586825719087909</v>
      </c>
      <c r="AA61" s="3"/>
      <c r="AB61" s="3"/>
    </row>
    <row r="62" spans="1:28" x14ac:dyDescent="0.3">
      <c r="B62" s="4">
        <v>12</v>
      </c>
      <c r="C62" s="5">
        <v>4</v>
      </c>
      <c r="D62" s="4">
        <v>46</v>
      </c>
      <c r="E62" s="3">
        <v>2.6933292113182881</v>
      </c>
      <c r="F62" s="4">
        <v>70</v>
      </c>
      <c r="G62" s="4">
        <v>88</v>
      </c>
      <c r="H62" s="1">
        <v>350</v>
      </c>
      <c r="I62" s="4">
        <v>450</v>
      </c>
      <c r="J62" s="5">
        <v>452</v>
      </c>
      <c r="K62" s="3">
        <v>42000</v>
      </c>
      <c r="L62" s="5">
        <v>70.913891854445922</v>
      </c>
      <c r="M62" s="8">
        <v>1.0761904761904762E-2</v>
      </c>
      <c r="N62" s="3">
        <v>45</v>
      </c>
      <c r="O62" s="5">
        <v>192.11618378673876</v>
      </c>
      <c r="P62" s="3">
        <v>0.44</v>
      </c>
      <c r="Q62" s="12">
        <f t="shared" si="0"/>
        <v>9.6058091893369384E-4</v>
      </c>
      <c r="U62" s="3">
        <f>$V$2*($V$3*$F62+$V$4*$B62^$V$5*$M62^$V$6)*$Q62^$V$7</f>
        <v>0.24801533958264407</v>
      </c>
      <c r="V62" s="3">
        <f t="shared" si="1"/>
        <v>0.56367122632419109</v>
      </c>
      <c r="X62" s="3">
        <f>$Y$2*$B62^$Y$3*$Q62^$Y$4*($Y$5*$M62^$Y$6+$Y$7)</f>
        <v>0.25015753053376039</v>
      </c>
      <c r="Y62" s="3">
        <f t="shared" si="2"/>
        <v>0.56853984212218267</v>
      </c>
      <c r="AA62" s="3"/>
      <c r="AB62" s="3"/>
    </row>
    <row r="63" spans="1:28" x14ac:dyDescent="0.3">
      <c r="A63" s="1" t="s">
        <v>15</v>
      </c>
      <c r="B63" s="4">
        <v>12</v>
      </c>
      <c r="C63" s="5">
        <v>4</v>
      </c>
      <c r="D63" s="4">
        <v>46</v>
      </c>
      <c r="E63" s="3">
        <v>2.6933292113182881</v>
      </c>
      <c r="F63" s="4">
        <v>70</v>
      </c>
      <c r="G63" s="4">
        <v>84</v>
      </c>
      <c r="H63" s="1">
        <v>350</v>
      </c>
      <c r="I63" s="4">
        <v>450</v>
      </c>
      <c r="J63" s="5">
        <v>452</v>
      </c>
      <c r="K63" s="3">
        <v>42000</v>
      </c>
      <c r="L63" s="5">
        <v>71.347043658761123</v>
      </c>
      <c r="M63" s="8">
        <v>1.0761904761904762E-2</v>
      </c>
      <c r="N63" s="3">
        <v>30</v>
      </c>
      <c r="O63" s="5">
        <v>35.192756624476772</v>
      </c>
      <c r="P63" s="3">
        <v>0.14000000000000001</v>
      </c>
      <c r="Q63" s="12">
        <f t="shared" si="0"/>
        <v>1.7596378312238387E-4</v>
      </c>
      <c r="U63" s="3">
        <f>$V$2*($V$3*$F63+$V$4*$B63^$V$5*$M63^$V$6)*$Q63^$V$7</f>
        <v>8.7032460598936975E-2</v>
      </c>
      <c r="V63" s="3">
        <f t="shared" si="1"/>
        <v>0.62166043284954975</v>
      </c>
      <c r="X63" s="3">
        <f>$Y$2*$B63^$Y$3*$Q63^$Y$4*($Y$5*$M63^$Y$6+$Y$7)</f>
        <v>8.6160474775248574E-2</v>
      </c>
      <c r="Y63" s="3">
        <f t="shared" si="2"/>
        <v>0.61543196268034694</v>
      </c>
      <c r="AA63" s="3"/>
      <c r="AB63" s="3"/>
    </row>
    <row r="64" spans="1:28" x14ac:dyDescent="0.3">
      <c r="B64" s="4">
        <v>12</v>
      </c>
      <c r="C64" s="5">
        <v>4</v>
      </c>
      <c r="D64" s="4">
        <v>46</v>
      </c>
      <c r="E64" s="3">
        <v>2.6933292113182881</v>
      </c>
      <c r="F64" s="4">
        <v>70</v>
      </c>
      <c r="G64" s="4">
        <v>84</v>
      </c>
      <c r="H64" s="1">
        <v>350</v>
      </c>
      <c r="I64" s="4">
        <v>450</v>
      </c>
      <c r="J64" s="5">
        <v>452</v>
      </c>
      <c r="K64" s="3">
        <v>42000</v>
      </c>
      <c r="L64" s="5">
        <v>71.347043658761123</v>
      </c>
      <c r="M64" s="8">
        <v>1.0761904761904762E-2</v>
      </c>
      <c r="N64" s="3">
        <v>37.5</v>
      </c>
      <c r="O64" s="5">
        <v>111.06092971486939</v>
      </c>
      <c r="P64" s="3">
        <v>0.31</v>
      </c>
      <c r="Q64" s="12">
        <f t="shared" si="0"/>
        <v>5.5530464857434696E-4</v>
      </c>
      <c r="U64" s="3">
        <f>$V$2*($V$3*$F64+$V$4*$B64^$V$5*$M64^$V$6)*$Q64^$V$7</f>
        <v>0.17686052489948342</v>
      </c>
      <c r="V64" s="3">
        <f t="shared" si="1"/>
        <v>0.57051782225639813</v>
      </c>
      <c r="X64" s="3">
        <f>$Y$2*$B64^$Y$3*$Q64^$Y$4*($Y$5*$M64^$Y$6+$Y$7)</f>
        <v>0.17731599731022216</v>
      </c>
      <c r="Y64" s="3">
        <f t="shared" si="2"/>
        <v>0.57198708809749088</v>
      </c>
      <c r="AA64" s="3"/>
      <c r="AB64" s="3"/>
    </row>
    <row r="65" spans="1:28" x14ac:dyDescent="0.3">
      <c r="B65" s="4">
        <v>12</v>
      </c>
      <c r="C65" s="5">
        <v>4</v>
      </c>
      <c r="D65" s="4">
        <v>46</v>
      </c>
      <c r="E65" s="3">
        <v>2.6933292113182881</v>
      </c>
      <c r="F65" s="4">
        <v>70</v>
      </c>
      <c r="G65" s="4">
        <v>84</v>
      </c>
      <c r="H65" s="1">
        <v>350</v>
      </c>
      <c r="I65" s="4">
        <v>450</v>
      </c>
      <c r="J65" s="5">
        <v>452</v>
      </c>
      <c r="K65" s="3">
        <v>42000</v>
      </c>
      <c r="L65" s="5">
        <v>71.347043658761123</v>
      </c>
      <c r="M65" s="8">
        <v>1.0761904761904762E-2</v>
      </c>
      <c r="N65" s="3">
        <v>45</v>
      </c>
      <c r="O65" s="5">
        <v>186.92910280526198</v>
      </c>
      <c r="P65" s="3">
        <v>0.4</v>
      </c>
      <c r="Q65" s="12">
        <f t="shared" si="0"/>
        <v>9.3464551402630991E-4</v>
      </c>
      <c r="U65" s="3">
        <f>$V$2*($V$3*$F65+$V$4*$B65^$V$5*$M65^$V$6)*$Q65^$V$7</f>
        <v>0.24386206394937932</v>
      </c>
      <c r="V65" s="3">
        <f t="shared" si="1"/>
        <v>0.6096551598734482</v>
      </c>
      <c r="X65" s="3">
        <f>$Y$2*$B65^$Y$3*$Q65^$Y$4*($Y$5*$M65^$Y$6+$Y$7)</f>
        <v>0.24589433669669788</v>
      </c>
      <c r="Y65" s="3">
        <f t="shared" si="2"/>
        <v>0.61473584174174467</v>
      </c>
      <c r="AA65" s="3"/>
      <c r="AB65" s="3"/>
    </row>
    <row r="66" spans="1:28" x14ac:dyDescent="0.3">
      <c r="A66" s="1" t="s">
        <v>16</v>
      </c>
      <c r="B66" s="4">
        <v>12</v>
      </c>
      <c r="C66" s="5">
        <v>4</v>
      </c>
      <c r="D66" s="4">
        <v>46</v>
      </c>
      <c r="E66" s="3">
        <v>2.6933292113182881</v>
      </c>
      <c r="F66" s="4">
        <v>70</v>
      </c>
      <c r="G66" s="4">
        <v>84</v>
      </c>
      <c r="H66" s="1">
        <v>350</v>
      </c>
      <c r="I66" s="4">
        <v>450</v>
      </c>
      <c r="J66" s="5">
        <v>452</v>
      </c>
      <c r="K66" s="3">
        <v>42000</v>
      </c>
      <c r="L66" s="5">
        <v>71.347043658761123</v>
      </c>
      <c r="M66" s="8">
        <v>1.0761904761904762E-2</v>
      </c>
      <c r="N66" s="3">
        <v>30</v>
      </c>
      <c r="O66" s="5">
        <v>35.192756624476772</v>
      </c>
      <c r="P66" s="3">
        <v>0.25</v>
      </c>
      <c r="Q66" s="12">
        <f t="shared" si="0"/>
        <v>1.7596378312238387E-4</v>
      </c>
      <c r="U66" s="3">
        <f>$V$2*($V$3*$F66+$V$4*$B66^$V$5*$M66^$V$6)*$Q66^$V$7</f>
        <v>8.7032460598936975E-2</v>
      </c>
      <c r="V66" s="3">
        <f t="shared" si="1"/>
        <v>0.3481298423957479</v>
      </c>
      <c r="X66" s="3">
        <f>$Y$2*$B66^$Y$3*$Q66^$Y$4*($Y$5*$M66^$Y$6+$Y$7)</f>
        <v>8.6160474775248574E-2</v>
      </c>
      <c r="Y66" s="3">
        <f t="shared" si="2"/>
        <v>0.3446418991009943</v>
      </c>
      <c r="AA66" s="3"/>
      <c r="AB66" s="3"/>
    </row>
    <row r="67" spans="1:28" x14ac:dyDescent="0.3">
      <c r="B67" s="4">
        <v>12</v>
      </c>
      <c r="C67" s="5">
        <v>4</v>
      </c>
      <c r="D67" s="4">
        <v>46</v>
      </c>
      <c r="E67" s="3">
        <v>2.6933292113182881</v>
      </c>
      <c r="F67" s="4">
        <v>70</v>
      </c>
      <c r="G67" s="4">
        <v>84</v>
      </c>
      <c r="H67" s="1">
        <v>350</v>
      </c>
      <c r="I67" s="4">
        <v>450</v>
      </c>
      <c r="J67" s="5">
        <v>452</v>
      </c>
      <c r="K67" s="3">
        <v>42000</v>
      </c>
      <c r="L67" s="5">
        <v>71.347043658761123</v>
      </c>
      <c r="M67" s="8">
        <v>1.0761904761904762E-2</v>
      </c>
      <c r="N67" s="3">
        <v>37.5</v>
      </c>
      <c r="O67" s="5">
        <v>111.06092971486939</v>
      </c>
      <c r="P67" s="3">
        <v>0.44</v>
      </c>
      <c r="Q67" s="12">
        <f t="shared" si="0"/>
        <v>5.5530464857434696E-4</v>
      </c>
      <c r="U67" s="3">
        <f>$V$2*($V$3*$F67+$V$4*$B67^$V$5*$M67^$V$6)*$Q67^$V$7</f>
        <v>0.17686052489948342</v>
      </c>
      <c r="V67" s="3">
        <f t="shared" si="1"/>
        <v>0.40195573840791687</v>
      </c>
      <c r="X67" s="3">
        <f>$Y$2*$B67^$Y$3*$Q67^$Y$4*($Y$5*$M67^$Y$6+$Y$7)</f>
        <v>0.17731599731022216</v>
      </c>
      <c r="Y67" s="3">
        <f t="shared" si="2"/>
        <v>0.40299090297777762</v>
      </c>
      <c r="AA67" s="3"/>
      <c r="AB67" s="3"/>
    </row>
    <row r="68" spans="1:28" x14ac:dyDescent="0.3">
      <c r="B68" s="4">
        <v>12</v>
      </c>
      <c r="C68" s="5">
        <v>4</v>
      </c>
      <c r="D68" s="4">
        <v>46</v>
      </c>
      <c r="E68" s="3">
        <v>2.6933292113182881</v>
      </c>
      <c r="F68" s="4">
        <v>70</v>
      </c>
      <c r="G68" s="4">
        <v>84</v>
      </c>
      <c r="H68" s="1">
        <v>350</v>
      </c>
      <c r="I68" s="4">
        <v>450</v>
      </c>
      <c r="J68" s="5">
        <v>452</v>
      </c>
      <c r="K68" s="3">
        <v>42000</v>
      </c>
      <c r="L68" s="5">
        <v>71.347043658761123</v>
      </c>
      <c r="M68" s="8">
        <v>1.0761904761904762E-2</v>
      </c>
      <c r="N68" s="3">
        <v>45</v>
      </c>
      <c r="O68" s="5">
        <v>186.92910280526198</v>
      </c>
      <c r="P68" s="3">
        <v>0.56000000000000005</v>
      </c>
      <c r="Q68" s="12">
        <f t="shared" si="0"/>
        <v>9.3464551402630991E-4</v>
      </c>
      <c r="U68" s="3">
        <f>$V$2*($V$3*$F68+$V$4*$B68^$V$5*$M68^$V$6)*$Q68^$V$7</f>
        <v>0.24386206394937932</v>
      </c>
      <c r="V68" s="3">
        <f t="shared" si="1"/>
        <v>0.43546797133817733</v>
      </c>
      <c r="X68" s="3">
        <f>$Y$2*$B68^$Y$3*$Q68^$Y$4*($Y$5*$M68^$Y$6+$Y$7)</f>
        <v>0.24589433669669788</v>
      </c>
      <c r="Y68" s="3">
        <f t="shared" si="2"/>
        <v>0.43909702981553189</v>
      </c>
      <c r="AA68" s="3"/>
      <c r="AB68" s="3"/>
    </row>
    <row r="69" spans="1:28" x14ac:dyDescent="0.3">
      <c r="A69" s="1" t="s">
        <v>17</v>
      </c>
      <c r="B69" s="4">
        <v>25</v>
      </c>
      <c r="C69" s="5">
        <v>4</v>
      </c>
      <c r="D69" s="4">
        <v>62</v>
      </c>
      <c r="E69" s="3">
        <v>2.6933292113182881</v>
      </c>
      <c r="F69" s="4">
        <v>20</v>
      </c>
      <c r="G69" s="4">
        <v>40.5</v>
      </c>
      <c r="H69" s="1">
        <v>350</v>
      </c>
      <c r="I69" s="4">
        <v>450</v>
      </c>
      <c r="J69" s="5">
        <v>1964</v>
      </c>
      <c r="K69" s="3">
        <v>49612.5</v>
      </c>
      <c r="L69" s="5">
        <v>141.76646013770139</v>
      </c>
      <c r="M69" s="8">
        <v>3.9586797682035775E-2</v>
      </c>
      <c r="N69" s="3">
        <v>150</v>
      </c>
      <c r="O69" s="5">
        <v>162.97717278922829</v>
      </c>
      <c r="P69" s="3">
        <v>0.23</v>
      </c>
      <c r="Q69" s="12">
        <f t="shared" si="0"/>
        <v>8.1488586394614141E-4</v>
      </c>
      <c r="U69" s="3">
        <f>$V$2*($V$3*$F69+$V$4*$B69^$V$5*$M69^$V$6)*$Q69^$V$7</f>
        <v>0.21367411032441672</v>
      </c>
      <c r="V69" s="3">
        <f t="shared" si="1"/>
        <v>0.92901787097572486</v>
      </c>
      <c r="X69" s="3">
        <f>$Y$2*$B69^$Y$3*$Q69^$Y$4*($Y$5*$M69^$Y$6+$Y$7)</f>
        <v>0.21423707325165578</v>
      </c>
      <c r="Y69" s="3">
        <f t="shared" si="2"/>
        <v>0.93146553587676417</v>
      </c>
      <c r="AA69" s="3"/>
      <c r="AB69" s="3"/>
    </row>
    <row r="70" spans="1:28" x14ac:dyDescent="0.3">
      <c r="B70" s="4">
        <v>25</v>
      </c>
      <c r="C70" s="5">
        <v>4</v>
      </c>
      <c r="D70" s="4">
        <v>62</v>
      </c>
      <c r="E70" s="3">
        <v>2.6933292113182881</v>
      </c>
      <c r="F70" s="4">
        <v>20</v>
      </c>
      <c r="G70" s="4">
        <v>40.5</v>
      </c>
      <c r="H70" s="1">
        <v>350</v>
      </c>
      <c r="I70" s="4">
        <v>450</v>
      </c>
      <c r="J70" s="5">
        <v>1964</v>
      </c>
      <c r="K70" s="3">
        <v>49612.5</v>
      </c>
      <c r="L70" s="5">
        <v>141.76646013770139</v>
      </c>
      <c r="M70" s="8">
        <v>3.9586797682035775E-2</v>
      </c>
      <c r="N70" s="3">
        <v>225</v>
      </c>
      <c r="O70" s="5">
        <v>287.49119849251957</v>
      </c>
      <c r="P70" s="3">
        <v>0.35</v>
      </c>
      <c r="Q70" s="12">
        <f t="shared" si="0"/>
        <v>1.4374559924625978E-3</v>
      </c>
      <c r="U70" s="3">
        <f>$V$2*($V$3*$F70+$V$4*$B70^$V$5*$M70^$V$6)*$Q70^$V$7</f>
        <v>0.30327808608916634</v>
      </c>
      <c r="V70" s="3">
        <f t="shared" si="1"/>
        <v>0.8665088173976182</v>
      </c>
      <c r="X70" s="3">
        <f>$Y$2*$B70^$Y$3*$Q70^$Y$4*($Y$5*$M70^$Y$6+$Y$7)</f>
        <v>0.30598154173052489</v>
      </c>
      <c r="Y70" s="3">
        <f t="shared" si="2"/>
        <v>0.87423297637292829</v>
      </c>
      <c r="AA70" s="3"/>
      <c r="AB70" s="3"/>
    </row>
    <row r="71" spans="1:28" x14ac:dyDescent="0.3">
      <c r="B71" s="4">
        <v>25</v>
      </c>
      <c r="C71" s="5">
        <v>4</v>
      </c>
      <c r="D71" s="4">
        <v>62</v>
      </c>
      <c r="E71" s="3">
        <v>2.6933292113182881</v>
      </c>
      <c r="F71" s="4">
        <v>20</v>
      </c>
      <c r="G71" s="4">
        <v>40.5</v>
      </c>
      <c r="H71" s="1">
        <v>350</v>
      </c>
      <c r="I71" s="4">
        <v>450</v>
      </c>
      <c r="J71" s="5">
        <v>1964</v>
      </c>
      <c r="K71" s="3">
        <v>49612.5</v>
      </c>
      <c r="L71" s="5">
        <v>141.76646013770139</v>
      </c>
      <c r="M71" s="8">
        <v>3.9586797682035775E-2</v>
      </c>
      <c r="N71" s="3">
        <v>300</v>
      </c>
      <c r="O71" s="5">
        <v>412.00522419581085</v>
      </c>
      <c r="P71" s="3">
        <v>0.49</v>
      </c>
      <c r="Q71" s="12">
        <f t="shared" si="0"/>
        <v>2.0600261209790544E-3</v>
      </c>
      <c r="U71" s="3">
        <f>$V$2*($V$3*$F71+$V$4*$B71^$V$5*$M71^$V$6)*$Q71^$V$7</f>
        <v>0.37867327987464783</v>
      </c>
      <c r="V71" s="3">
        <f t="shared" si="1"/>
        <v>0.77280261198907718</v>
      </c>
      <c r="X71" s="3">
        <f>$Y$2*$B71^$Y$3*$Q71^$Y$4*($Y$5*$M71^$Y$6+$Y$7)</f>
        <v>0.38356407065181264</v>
      </c>
      <c r="Y71" s="3">
        <f t="shared" si="2"/>
        <v>0.78278381765676053</v>
      </c>
      <c r="AA71" s="3"/>
      <c r="AB71" s="3"/>
    </row>
    <row r="72" spans="1:28" x14ac:dyDescent="0.3">
      <c r="B72" s="4">
        <v>25</v>
      </c>
      <c r="C72" s="5">
        <v>4</v>
      </c>
      <c r="D72" s="4">
        <v>62</v>
      </c>
      <c r="E72" s="3">
        <v>2.6933292113182881</v>
      </c>
      <c r="F72" s="4">
        <v>20</v>
      </c>
      <c r="G72" s="4">
        <v>40.5</v>
      </c>
      <c r="H72" s="1">
        <v>350</v>
      </c>
      <c r="I72" s="4">
        <v>450</v>
      </c>
      <c r="J72" s="5">
        <v>1964</v>
      </c>
      <c r="K72" s="3">
        <v>49612.5</v>
      </c>
      <c r="L72" s="5">
        <v>141.76646013770139</v>
      </c>
      <c r="M72" s="8">
        <v>3.9586797682035775E-2</v>
      </c>
      <c r="N72" s="3">
        <v>375</v>
      </c>
      <c r="O72" s="5">
        <v>500</v>
      </c>
      <c r="P72" s="3">
        <v>0.67</v>
      </c>
      <c r="Q72" s="12">
        <f t="shared" si="0"/>
        <v>2.5000000000000001E-3</v>
      </c>
      <c r="U72" s="3">
        <f>$V$2*($V$3*$F72+$V$4*$B72^$V$5*$M72^$V$6)*$Q72^$V$7</f>
        <v>0.42671132960634667</v>
      </c>
      <c r="V72" s="3">
        <f t="shared" si="1"/>
        <v>0.63688258150200994</v>
      </c>
      <c r="X72" s="3">
        <f>$Y$2*$B72^$Y$3*$Q72^$Y$4*($Y$5*$M72^$Y$6+$Y$7)</f>
        <v>0.43314386927416509</v>
      </c>
      <c r="Y72" s="3">
        <f t="shared" si="2"/>
        <v>0.64648338697636576</v>
      </c>
      <c r="AA72" s="3"/>
      <c r="AB72" s="3"/>
    </row>
    <row r="73" spans="1:28" x14ac:dyDescent="0.3">
      <c r="A73" s="1" t="s">
        <v>18</v>
      </c>
      <c r="B73" s="4">
        <v>25</v>
      </c>
      <c r="C73" s="5">
        <v>4</v>
      </c>
      <c r="D73" s="4">
        <v>62</v>
      </c>
      <c r="E73" s="3">
        <v>2.6933292113182881</v>
      </c>
      <c r="F73" s="4">
        <v>20</v>
      </c>
      <c r="G73" s="4">
        <v>40.5</v>
      </c>
      <c r="H73" s="1">
        <v>350</v>
      </c>
      <c r="I73" s="4">
        <v>450</v>
      </c>
      <c r="J73" s="5">
        <v>1964</v>
      </c>
      <c r="K73" s="3">
        <v>49612.5</v>
      </c>
      <c r="L73" s="5">
        <v>141.76646013770139</v>
      </c>
      <c r="M73" s="8">
        <v>3.9586797682035775E-2</v>
      </c>
      <c r="N73" s="3">
        <v>150</v>
      </c>
      <c r="O73" s="5">
        <v>162.97717278922829</v>
      </c>
      <c r="P73" s="3">
        <v>0.27</v>
      </c>
      <c r="Q73" s="12">
        <f t="shared" si="0"/>
        <v>8.1488586394614141E-4</v>
      </c>
      <c r="U73" s="3">
        <f>$V$2*($V$3*$F73+$V$4*$B73^$V$5*$M73^$V$6)*$Q73^$V$7</f>
        <v>0.21367411032441672</v>
      </c>
      <c r="V73" s="3">
        <f t="shared" si="1"/>
        <v>0.79138559379413598</v>
      </c>
      <c r="X73" s="3">
        <f>$Y$2*$B73^$Y$3*$Q73^$Y$4*($Y$5*$M73^$Y$6+$Y$7)</f>
        <v>0.21423707325165578</v>
      </c>
      <c r="Y73" s="3">
        <f t="shared" si="2"/>
        <v>0.79347064167279913</v>
      </c>
      <c r="AA73" s="3"/>
      <c r="AB73" s="3"/>
    </row>
    <row r="74" spans="1:28" x14ac:dyDescent="0.3">
      <c r="B74" s="4">
        <v>25</v>
      </c>
      <c r="C74" s="5">
        <v>4</v>
      </c>
      <c r="D74" s="4">
        <v>62</v>
      </c>
      <c r="E74" s="3">
        <v>2.6933292113182881</v>
      </c>
      <c r="F74" s="4">
        <v>20</v>
      </c>
      <c r="G74" s="4">
        <v>40.5</v>
      </c>
      <c r="H74" s="1">
        <v>350</v>
      </c>
      <c r="I74" s="4">
        <v>450</v>
      </c>
      <c r="J74" s="5">
        <v>1964</v>
      </c>
      <c r="K74" s="3">
        <v>49612.5</v>
      </c>
      <c r="L74" s="5">
        <v>141.76646013770139</v>
      </c>
      <c r="M74" s="8">
        <v>3.9586797682035775E-2</v>
      </c>
      <c r="N74" s="3">
        <v>225</v>
      </c>
      <c r="O74" s="5">
        <v>287.49119849251957</v>
      </c>
      <c r="P74" s="3">
        <v>0.4</v>
      </c>
      <c r="Q74" s="12">
        <f t="shared" si="0"/>
        <v>1.4374559924625978E-3</v>
      </c>
      <c r="U74" s="3">
        <f>$V$2*($V$3*$F74+$V$4*$B74^$V$5*$M74^$V$6)*$Q74^$V$7</f>
        <v>0.30327808608916634</v>
      </c>
      <c r="V74" s="3">
        <f t="shared" si="1"/>
        <v>0.75819521522291577</v>
      </c>
      <c r="X74" s="3">
        <f>$Y$2*$B74^$Y$3*$Q74^$Y$4*($Y$5*$M74^$Y$6+$Y$7)</f>
        <v>0.30598154173052489</v>
      </c>
      <c r="Y74" s="3">
        <f t="shared" si="2"/>
        <v>0.76495385432631213</v>
      </c>
      <c r="AA74" s="3"/>
      <c r="AB74" s="3"/>
    </row>
    <row r="75" spans="1:28" x14ac:dyDescent="0.3">
      <c r="B75" s="4">
        <v>25</v>
      </c>
      <c r="C75" s="5">
        <v>4</v>
      </c>
      <c r="D75" s="4">
        <v>62</v>
      </c>
      <c r="E75" s="3">
        <v>2.6933292113182881</v>
      </c>
      <c r="F75" s="4">
        <v>20</v>
      </c>
      <c r="G75" s="4">
        <v>40.5</v>
      </c>
      <c r="H75" s="1">
        <v>350</v>
      </c>
      <c r="I75" s="4">
        <v>450</v>
      </c>
      <c r="J75" s="5">
        <v>1964</v>
      </c>
      <c r="K75" s="3">
        <v>49612.5</v>
      </c>
      <c r="L75" s="5">
        <v>141.76646013770139</v>
      </c>
      <c r="M75" s="8">
        <v>3.9586797682035775E-2</v>
      </c>
      <c r="N75" s="3">
        <v>300</v>
      </c>
      <c r="O75" s="5">
        <v>412.00522419581085</v>
      </c>
      <c r="P75" s="3">
        <v>0.53</v>
      </c>
      <c r="Q75" s="12">
        <f t="shared" si="0"/>
        <v>2.0600261209790544E-3</v>
      </c>
      <c r="U75" s="3">
        <f>$V$2*($V$3*$F75+$V$4*$B75^$V$5*$M75^$V$6)*$Q75^$V$7</f>
        <v>0.37867327987464783</v>
      </c>
      <c r="V75" s="3">
        <f t="shared" si="1"/>
        <v>0.71447788655593925</v>
      </c>
      <c r="X75" s="3">
        <f>$Y$2*$B75^$Y$3*$Q75^$Y$4*($Y$5*$M75^$Y$6+$Y$7)</f>
        <v>0.38356407065181264</v>
      </c>
      <c r="Y75" s="3">
        <f t="shared" si="2"/>
        <v>0.7237057936826653</v>
      </c>
      <c r="AA75" s="3"/>
      <c r="AB75" s="3"/>
    </row>
    <row r="76" spans="1:28" x14ac:dyDescent="0.3">
      <c r="B76" s="4">
        <v>25</v>
      </c>
      <c r="C76" s="5">
        <v>4</v>
      </c>
      <c r="D76" s="4">
        <v>62</v>
      </c>
      <c r="E76" s="3">
        <v>2.6933292113182881</v>
      </c>
      <c r="F76" s="4">
        <v>20</v>
      </c>
      <c r="G76" s="4">
        <v>40.5</v>
      </c>
      <c r="H76" s="1">
        <v>350</v>
      </c>
      <c r="I76" s="4">
        <v>450</v>
      </c>
      <c r="J76" s="5">
        <v>1964</v>
      </c>
      <c r="K76" s="3">
        <v>49612.5</v>
      </c>
      <c r="L76" s="5">
        <v>141.76646013770139</v>
      </c>
      <c r="M76" s="8">
        <v>3.9586797682035775E-2</v>
      </c>
      <c r="N76" s="3">
        <v>375</v>
      </c>
      <c r="O76" s="5">
        <v>500</v>
      </c>
      <c r="P76" s="3">
        <v>0.72</v>
      </c>
      <c r="Q76" s="12">
        <f t="shared" ref="Q76:Q139" si="3">O76/200000</f>
        <v>2.5000000000000001E-3</v>
      </c>
      <c r="U76" s="3">
        <f>$V$2*($V$3*$F76+$V$4*$B76^$V$5*$M76^$V$6)*$Q76^$V$7</f>
        <v>0.42671132960634667</v>
      </c>
      <c r="V76" s="3">
        <f t="shared" ref="V76:V139" si="4">U76/$P76</f>
        <v>0.59265462445325934</v>
      </c>
      <c r="X76" s="3">
        <f>$Y$2*$B76^$Y$3*$Q76^$Y$4*($Y$5*$M76^$Y$6+$Y$7)</f>
        <v>0.43314386927416509</v>
      </c>
      <c r="Y76" s="3">
        <f t="shared" ref="Y76:Y139" si="5">X76/$P76</f>
        <v>0.60158870732522929</v>
      </c>
      <c r="AA76" s="3"/>
      <c r="AB76" s="3"/>
    </row>
    <row r="77" spans="1:28" x14ac:dyDescent="0.3">
      <c r="A77" s="1" t="s">
        <v>19</v>
      </c>
      <c r="B77" s="4">
        <v>25</v>
      </c>
      <c r="C77" s="5">
        <v>4</v>
      </c>
      <c r="D77" s="4">
        <v>28.7</v>
      </c>
      <c r="E77" s="3">
        <v>2.6933292113182881</v>
      </c>
      <c r="F77" s="4">
        <v>70</v>
      </c>
      <c r="G77" s="4">
        <v>94.5</v>
      </c>
      <c r="H77" s="1">
        <v>350</v>
      </c>
      <c r="I77" s="4">
        <v>450</v>
      </c>
      <c r="J77" s="5">
        <v>1964</v>
      </c>
      <c r="K77" s="3">
        <v>76825</v>
      </c>
      <c r="L77" s="5">
        <v>130.08181306692575</v>
      </c>
      <c r="M77" s="8">
        <v>2.5564594858444516E-2</v>
      </c>
      <c r="N77" s="3">
        <v>75</v>
      </c>
      <c r="O77" s="5">
        <v>48.319539729677246</v>
      </c>
      <c r="P77" s="3">
        <v>0.3</v>
      </c>
      <c r="Q77" s="12">
        <f t="shared" si="3"/>
        <v>2.4159769864838624E-4</v>
      </c>
      <c r="U77" s="3">
        <f>$V$2*($V$3*$F77+$V$4*$B77^$V$5*$M77^$V$6)*$Q77^$V$7</f>
        <v>0.12087137706521978</v>
      </c>
      <c r="V77" s="3">
        <f t="shared" si="4"/>
        <v>0.40290459021739927</v>
      </c>
      <c r="X77" s="3">
        <f>$Y$2*$B77^$Y$3*$Q77^$Y$4*($Y$5*$M77^$Y$6+$Y$7)</f>
        <v>0.11879479636131014</v>
      </c>
      <c r="Y77" s="3">
        <f t="shared" si="5"/>
        <v>0.39598265453770048</v>
      </c>
      <c r="AA77" s="3"/>
      <c r="AB77" s="3"/>
    </row>
    <row r="78" spans="1:28" x14ac:dyDescent="0.3">
      <c r="B78" s="4">
        <v>25</v>
      </c>
      <c r="C78" s="5">
        <v>4</v>
      </c>
      <c r="D78" s="4">
        <v>28.7</v>
      </c>
      <c r="E78" s="3">
        <v>2.6933292113182881</v>
      </c>
      <c r="F78" s="4">
        <v>70</v>
      </c>
      <c r="G78" s="4">
        <v>94.5</v>
      </c>
      <c r="H78" s="1">
        <v>350</v>
      </c>
      <c r="I78" s="4">
        <v>450</v>
      </c>
      <c r="J78" s="5">
        <v>1964</v>
      </c>
      <c r="K78" s="3">
        <v>76825</v>
      </c>
      <c r="L78" s="5">
        <v>130.08181306692575</v>
      </c>
      <c r="M78" s="8">
        <v>2.5564594858444516E-2</v>
      </c>
      <c r="N78" s="3">
        <v>150</v>
      </c>
      <c r="O78" s="5">
        <v>184.85444613865786</v>
      </c>
      <c r="P78" s="3">
        <v>0.56999999999999995</v>
      </c>
      <c r="Q78" s="12">
        <f t="shared" si="3"/>
        <v>9.242722306932893E-4</v>
      </c>
      <c r="U78" s="3">
        <f>$V$2*($V$3*$F78+$V$4*$B78^$V$5*$M78^$V$6)*$Q78^$V$7</f>
        <v>0.27660100776063695</v>
      </c>
      <c r="V78" s="3">
        <f t="shared" si="4"/>
        <v>0.48526492589585435</v>
      </c>
      <c r="X78" s="3">
        <f>$Y$2*$B78^$Y$3*$Q78^$Y$4*($Y$5*$M78^$Y$6+$Y$7)</f>
        <v>0.27589096848928923</v>
      </c>
      <c r="Y78" s="3">
        <f t="shared" si="5"/>
        <v>0.48401924296366539</v>
      </c>
      <c r="AA78" s="3"/>
      <c r="AB78" s="3"/>
    </row>
    <row r="79" spans="1:28" x14ac:dyDescent="0.3">
      <c r="A79" s="1" t="s">
        <v>20</v>
      </c>
      <c r="B79" s="4">
        <v>25</v>
      </c>
      <c r="C79" s="5">
        <v>4</v>
      </c>
      <c r="D79" s="4">
        <v>28.7</v>
      </c>
      <c r="E79" s="3">
        <v>2.6933292113182881</v>
      </c>
      <c r="F79" s="4">
        <v>70</v>
      </c>
      <c r="G79" s="4">
        <v>90.5</v>
      </c>
      <c r="H79" s="1">
        <v>350</v>
      </c>
      <c r="I79" s="4">
        <v>450</v>
      </c>
      <c r="J79" s="5">
        <v>1964</v>
      </c>
      <c r="K79" s="3">
        <v>75425</v>
      </c>
      <c r="L79" s="5">
        <v>130.97513055188566</v>
      </c>
      <c r="M79" s="8">
        <v>2.60391117003646E-2</v>
      </c>
      <c r="N79" s="3">
        <v>75</v>
      </c>
      <c r="O79" s="5">
        <v>48.037420676818257</v>
      </c>
      <c r="P79" s="3">
        <v>0.26</v>
      </c>
      <c r="Q79" s="12">
        <f t="shared" si="3"/>
        <v>2.401871033840913E-4</v>
      </c>
      <c r="U79" s="3">
        <f>$V$2*($V$3*$F79+$V$4*$B79^$V$5*$M79^$V$6)*$Q79^$V$7</f>
        <v>0.11951262964829629</v>
      </c>
      <c r="V79" s="3">
        <f t="shared" si="4"/>
        <v>0.45966396018575495</v>
      </c>
      <c r="X79" s="3">
        <f>$Y$2*$B79^$Y$3*$Q79^$Y$4*($Y$5*$M79^$Y$6+$Y$7)</f>
        <v>0.11745515179791614</v>
      </c>
      <c r="Y79" s="3">
        <f t="shared" si="5"/>
        <v>0.45175058383813899</v>
      </c>
      <c r="AA79" s="3"/>
      <c r="AB79" s="3"/>
    </row>
    <row r="80" spans="1:28" x14ac:dyDescent="0.3">
      <c r="B80" s="4">
        <v>25</v>
      </c>
      <c r="C80" s="5">
        <v>4</v>
      </c>
      <c r="D80" s="4">
        <v>28.7</v>
      </c>
      <c r="E80" s="3">
        <v>2.6933292113182881</v>
      </c>
      <c r="F80" s="4">
        <v>70</v>
      </c>
      <c r="G80" s="4">
        <v>90.5</v>
      </c>
      <c r="H80" s="1">
        <v>350</v>
      </c>
      <c r="I80" s="4">
        <v>450</v>
      </c>
      <c r="J80" s="5">
        <v>1964</v>
      </c>
      <c r="K80" s="3">
        <v>75425</v>
      </c>
      <c r="L80" s="5">
        <v>130.97513055188566</v>
      </c>
      <c r="M80" s="8">
        <v>2.60391117003646E-2</v>
      </c>
      <c r="N80" s="3">
        <v>150</v>
      </c>
      <c r="O80" s="5">
        <v>182.18415273931618</v>
      </c>
      <c r="P80" s="3">
        <v>0.6</v>
      </c>
      <c r="Q80" s="12">
        <f t="shared" si="3"/>
        <v>9.1092076369658087E-4</v>
      </c>
      <c r="U80" s="3">
        <f>$V$2*($V$3*$F80+$V$4*$B80^$V$5*$M80^$V$6)*$Q80^$V$7</f>
        <v>0.27202835674335124</v>
      </c>
      <c r="V80" s="3">
        <f t="shared" si="4"/>
        <v>0.4533805945722521</v>
      </c>
      <c r="X80" s="3">
        <f>$Y$2*$B80^$Y$3*$Q80^$Y$4*($Y$5*$M80^$Y$6+$Y$7)</f>
        <v>0.27129431070799553</v>
      </c>
      <c r="Y80" s="3">
        <f t="shared" si="5"/>
        <v>0.45215718451332593</v>
      </c>
      <c r="AA80" s="3"/>
      <c r="AB80" s="3"/>
    </row>
    <row r="81" spans="1:28" x14ac:dyDescent="0.3">
      <c r="A81" s="1" t="s">
        <v>21</v>
      </c>
      <c r="B81" s="4">
        <v>25</v>
      </c>
      <c r="C81" s="5">
        <v>4</v>
      </c>
      <c r="D81" s="4">
        <v>28.7</v>
      </c>
      <c r="E81" s="3">
        <v>2.6933292113182881</v>
      </c>
      <c r="F81" s="4">
        <v>70</v>
      </c>
      <c r="G81" s="4">
        <v>90.5</v>
      </c>
      <c r="H81" s="1">
        <v>350</v>
      </c>
      <c r="I81" s="4">
        <v>450</v>
      </c>
      <c r="J81" s="5">
        <v>1964</v>
      </c>
      <c r="K81" s="3">
        <v>75425</v>
      </c>
      <c r="L81" s="5">
        <v>130.97513055188566</v>
      </c>
      <c r="M81" s="8">
        <v>2.60391117003646E-2</v>
      </c>
      <c r="N81" s="3">
        <v>75</v>
      </c>
      <c r="O81" s="5">
        <v>48.037420676818257</v>
      </c>
      <c r="P81" s="3">
        <v>0.27</v>
      </c>
      <c r="Q81" s="12">
        <f t="shared" si="3"/>
        <v>2.401871033840913E-4</v>
      </c>
      <c r="U81" s="3">
        <f>$V$2*($V$3*$F81+$V$4*$B81^$V$5*$M81^$V$6)*$Q81^$V$7</f>
        <v>0.11951262964829629</v>
      </c>
      <c r="V81" s="3">
        <f t="shared" si="4"/>
        <v>0.44263936906776402</v>
      </c>
      <c r="X81" s="3">
        <f>$Y$2*$B81^$Y$3*$Q81^$Y$4*($Y$5*$M81^$Y$6+$Y$7)</f>
        <v>0.11745515179791614</v>
      </c>
      <c r="Y81" s="3">
        <f t="shared" si="5"/>
        <v>0.4350190807330227</v>
      </c>
      <c r="AA81" s="3"/>
      <c r="AB81" s="3"/>
    </row>
    <row r="82" spans="1:28" x14ac:dyDescent="0.3">
      <c r="B82" s="4">
        <v>25</v>
      </c>
      <c r="C82" s="5">
        <v>4</v>
      </c>
      <c r="D82" s="4">
        <v>28.7</v>
      </c>
      <c r="E82" s="3">
        <v>2.6933292113182881</v>
      </c>
      <c r="F82" s="4">
        <v>70</v>
      </c>
      <c r="G82" s="4">
        <v>90.5</v>
      </c>
      <c r="H82" s="1">
        <v>350</v>
      </c>
      <c r="I82" s="4">
        <v>450</v>
      </c>
      <c r="J82" s="5">
        <v>1964</v>
      </c>
      <c r="K82" s="3">
        <v>75425</v>
      </c>
      <c r="L82" s="5">
        <v>130.97513055188566</v>
      </c>
      <c r="M82" s="8">
        <v>2.60391117003646E-2</v>
      </c>
      <c r="N82" s="3">
        <v>150</v>
      </c>
      <c r="O82" s="5">
        <v>182.18415273931618</v>
      </c>
      <c r="P82" s="3">
        <v>0.59</v>
      </c>
      <c r="Q82" s="12">
        <f t="shared" si="3"/>
        <v>9.1092076369658087E-4</v>
      </c>
      <c r="U82" s="3">
        <f>$V$2*($V$3*$F82+$V$4*$B82^$V$5*$M82^$V$6)*$Q82^$V$7</f>
        <v>0.27202835674335124</v>
      </c>
      <c r="V82" s="3">
        <f t="shared" si="4"/>
        <v>0.46106501142940892</v>
      </c>
      <c r="X82" s="3">
        <f>$Y$2*$B82^$Y$3*$Q82^$Y$4*($Y$5*$M82^$Y$6+$Y$7)</f>
        <v>0.27129431070799553</v>
      </c>
      <c r="Y82" s="3">
        <f t="shared" si="5"/>
        <v>0.4598208656067721</v>
      </c>
      <c r="AA82" s="3"/>
      <c r="AB82" s="3"/>
    </row>
    <row r="83" spans="1:28" x14ac:dyDescent="0.3">
      <c r="A83" s="1" t="s">
        <v>22</v>
      </c>
      <c r="B83" s="4">
        <v>9.52</v>
      </c>
      <c r="C83" s="5">
        <v>3</v>
      </c>
      <c r="D83" s="4">
        <v>22.2</v>
      </c>
      <c r="E83" s="3">
        <v>3.5641600019995088</v>
      </c>
      <c r="F83" s="4">
        <v>20.64</v>
      </c>
      <c r="G83" s="4">
        <v>25.4</v>
      </c>
      <c r="H83" s="1">
        <v>114.3</v>
      </c>
      <c r="I83" s="4">
        <v>228.6</v>
      </c>
      <c r="J83" s="5">
        <v>212.9</v>
      </c>
      <c r="K83" s="3">
        <v>8343.9</v>
      </c>
      <c r="L83" s="5">
        <v>56.390968153098974</v>
      </c>
      <c r="M83" s="8">
        <v>2.5515646160668273E-2</v>
      </c>
      <c r="N83" s="3">
        <v>11.6</v>
      </c>
      <c r="O83" s="5">
        <v>234.83059233149012</v>
      </c>
      <c r="P83" s="3">
        <v>0.15</v>
      </c>
      <c r="Q83" s="12">
        <f t="shared" si="3"/>
        <v>1.1741529616574506E-3</v>
      </c>
      <c r="U83" s="3">
        <f>$V$2*($V$3*$F83+$V$4*$B83^$V$5*$M83^$V$6)*$Q83^$V$7</f>
        <v>0.16792320465079261</v>
      </c>
      <c r="V83" s="3">
        <f t="shared" si="4"/>
        <v>1.1194880310052842</v>
      </c>
      <c r="X83" s="3">
        <f>$Y$2*$B83^$Y$3*$Q83^$Y$4*($Y$5*$M83^$Y$6+$Y$7)</f>
        <v>0.16308664038043591</v>
      </c>
      <c r="Y83" s="3">
        <f t="shared" si="5"/>
        <v>1.0872442692029061</v>
      </c>
      <c r="AA83" s="3"/>
      <c r="AB83" s="3"/>
    </row>
    <row r="84" spans="1:28" x14ac:dyDescent="0.3">
      <c r="B84" s="4">
        <v>9.52</v>
      </c>
      <c r="C84" s="5">
        <v>3</v>
      </c>
      <c r="D84" s="4">
        <v>22.2</v>
      </c>
      <c r="E84" s="3">
        <v>3.5641600019995088</v>
      </c>
      <c r="F84" s="4">
        <v>20.64</v>
      </c>
      <c r="G84" s="4">
        <v>25.4</v>
      </c>
      <c r="H84" s="1">
        <v>114.3</v>
      </c>
      <c r="I84" s="4">
        <v>228.6</v>
      </c>
      <c r="J84" s="5">
        <v>212.9</v>
      </c>
      <c r="K84" s="3">
        <v>8343.9</v>
      </c>
      <c r="L84" s="5">
        <v>56.390968153098974</v>
      </c>
      <c r="M84" s="8">
        <v>2.5515646160668273E-2</v>
      </c>
      <c r="N84" s="3">
        <v>13.5</v>
      </c>
      <c r="O84" s="5">
        <v>299.56808231341813</v>
      </c>
      <c r="P84" s="3">
        <v>0.17</v>
      </c>
      <c r="Q84" s="12">
        <f t="shared" si="3"/>
        <v>1.4978404115670906E-3</v>
      </c>
      <c r="U84" s="3">
        <f>$V$2*($V$3*$F84+$V$4*$B84^$V$5*$M84^$V$6)*$Q84^$V$7</f>
        <v>0.1951429328841599</v>
      </c>
      <c r="V84" s="3">
        <f t="shared" si="4"/>
        <v>1.1478996052009405</v>
      </c>
      <c r="X84" s="3">
        <f>$Y$2*$B84^$Y$3*$Q84^$Y$4*($Y$5*$M84^$Y$6+$Y$7)</f>
        <v>0.19003064828363644</v>
      </c>
      <c r="Y84" s="3">
        <f t="shared" si="5"/>
        <v>1.1178273428449201</v>
      </c>
      <c r="AA84" s="3"/>
      <c r="AB84" s="3"/>
    </row>
    <row r="85" spans="1:28" x14ac:dyDescent="0.3">
      <c r="A85" s="1" t="s">
        <v>23</v>
      </c>
      <c r="B85" s="4">
        <v>12.7</v>
      </c>
      <c r="C85" s="5">
        <v>3</v>
      </c>
      <c r="D85" s="4">
        <v>19.05</v>
      </c>
      <c r="E85" s="3">
        <v>3.9766081638229425</v>
      </c>
      <c r="F85" s="4">
        <v>19.05</v>
      </c>
      <c r="G85" s="4">
        <v>25.4</v>
      </c>
      <c r="H85" s="1">
        <v>114.3</v>
      </c>
      <c r="I85" s="4">
        <v>228.6</v>
      </c>
      <c r="J85" s="5">
        <v>387.1</v>
      </c>
      <c r="K85" s="3">
        <v>10161.269999999999</v>
      </c>
      <c r="L85" s="5">
        <v>70.373657577616456</v>
      </c>
      <c r="M85" s="8">
        <v>3.8095631746819056E-2</v>
      </c>
      <c r="N85" s="3">
        <v>21.1</v>
      </c>
      <c r="O85" s="5">
        <v>257.58927994397021</v>
      </c>
      <c r="P85" s="3">
        <v>0.15</v>
      </c>
      <c r="Q85" s="12">
        <f t="shared" si="3"/>
        <v>1.2879463997198511E-3</v>
      </c>
      <c r="U85" s="3">
        <f>$V$2*($V$3*$F85+$V$4*$B85^$V$5*$M85^$V$6)*$Q85^$V$7</f>
        <v>0.18259805371417187</v>
      </c>
      <c r="V85" s="3">
        <f t="shared" si="4"/>
        <v>1.2173203580944791</v>
      </c>
      <c r="X85" s="3">
        <f>$Y$2*$B85^$Y$3*$Q85^$Y$4*($Y$5*$M85^$Y$6+$Y$7)</f>
        <v>0.18024745109643958</v>
      </c>
      <c r="Y85" s="3">
        <f t="shared" si="5"/>
        <v>1.2016496739762639</v>
      </c>
      <c r="AA85" s="3"/>
      <c r="AB85" s="3"/>
    </row>
    <row r="86" spans="1:28" x14ac:dyDescent="0.3">
      <c r="B86" s="4">
        <v>12.7</v>
      </c>
      <c r="C86" s="5">
        <v>3</v>
      </c>
      <c r="D86" s="4">
        <v>19.05</v>
      </c>
      <c r="E86" s="3">
        <v>3.9766081638229425</v>
      </c>
      <c r="F86" s="4">
        <v>19.05</v>
      </c>
      <c r="G86" s="4">
        <v>25.4</v>
      </c>
      <c r="H86" s="1">
        <v>114.3</v>
      </c>
      <c r="I86" s="4">
        <v>228.6</v>
      </c>
      <c r="J86" s="5">
        <v>387.1</v>
      </c>
      <c r="K86" s="3">
        <v>10161.269999999999</v>
      </c>
      <c r="L86" s="5">
        <v>70.373657577616456</v>
      </c>
      <c r="M86" s="8">
        <v>3.8095631746819056E-2</v>
      </c>
      <c r="N86" s="3">
        <v>24.2</v>
      </c>
      <c r="O86" s="5">
        <v>313.98635621928372</v>
      </c>
      <c r="P86" s="3">
        <v>0.17</v>
      </c>
      <c r="Q86" s="12">
        <f t="shared" si="3"/>
        <v>1.5699317810964186E-3</v>
      </c>
      <c r="U86" s="3">
        <f>$V$2*($V$3*$F86+$V$4*$B86^$V$5*$M86^$V$6)*$Q86^$V$7</f>
        <v>0.20632300291574029</v>
      </c>
      <c r="V86" s="3">
        <f t="shared" si="4"/>
        <v>1.2136647230337663</v>
      </c>
      <c r="X86" s="3">
        <f>$Y$2*$B86^$Y$3*$Q86^$Y$4*($Y$5*$M86^$Y$6+$Y$7)</f>
        <v>0.20411101899832601</v>
      </c>
      <c r="Y86" s="3">
        <f t="shared" si="5"/>
        <v>1.2006530529313293</v>
      </c>
      <c r="AA86" s="3"/>
      <c r="AB86" s="3"/>
    </row>
    <row r="87" spans="1:28" x14ac:dyDescent="0.3">
      <c r="B87" s="4">
        <v>12.7</v>
      </c>
      <c r="C87" s="5">
        <v>3</v>
      </c>
      <c r="D87" s="4">
        <v>19.05</v>
      </c>
      <c r="E87" s="3">
        <v>3.9766081638229425</v>
      </c>
      <c r="F87" s="4">
        <v>19.05</v>
      </c>
      <c r="G87" s="4">
        <v>25.4</v>
      </c>
      <c r="H87" s="1">
        <v>114.3</v>
      </c>
      <c r="I87" s="4">
        <v>228.6</v>
      </c>
      <c r="J87" s="5">
        <v>387.1</v>
      </c>
      <c r="K87" s="3">
        <v>10161.269999999999</v>
      </c>
      <c r="L87" s="5">
        <v>70.373657577616456</v>
      </c>
      <c r="M87" s="8">
        <v>3.8095631746819056E-2</v>
      </c>
      <c r="N87" s="3">
        <v>28.6</v>
      </c>
      <c r="O87" s="5">
        <v>394.03381931972882</v>
      </c>
      <c r="P87" s="3">
        <v>0.2</v>
      </c>
      <c r="Q87" s="12">
        <f t="shared" si="3"/>
        <v>1.9701690965986439E-3</v>
      </c>
      <c r="U87" s="3">
        <f>$V$2*($V$3*$F87+$V$4*$B87^$V$5*$M87^$V$6)*$Q87^$V$7</f>
        <v>0.23735471820141041</v>
      </c>
      <c r="V87" s="3">
        <f t="shared" si="4"/>
        <v>1.186773591007052</v>
      </c>
      <c r="X87" s="3">
        <f>$Y$2*$B87^$Y$3*$Q87^$Y$4*($Y$5*$M87^$Y$6+$Y$7)</f>
        <v>0.23539732314067024</v>
      </c>
      <c r="Y87" s="3">
        <f t="shared" si="5"/>
        <v>1.1769866157033511</v>
      </c>
      <c r="AA87" s="3"/>
      <c r="AB87" s="3"/>
    </row>
    <row r="88" spans="1:28" x14ac:dyDescent="0.3">
      <c r="A88" s="1" t="s">
        <v>24</v>
      </c>
      <c r="B88" s="4">
        <v>15.9</v>
      </c>
      <c r="C88" s="5">
        <v>3</v>
      </c>
      <c r="D88" s="4">
        <v>15.9</v>
      </c>
      <c r="E88" s="3">
        <v>3.9766081638229425</v>
      </c>
      <c r="F88" s="4">
        <v>17.46</v>
      </c>
      <c r="G88" s="4">
        <v>25.4</v>
      </c>
      <c r="H88" s="1">
        <v>114.3</v>
      </c>
      <c r="I88" s="4">
        <v>228.6</v>
      </c>
      <c r="J88" s="5">
        <v>600</v>
      </c>
      <c r="K88" s="3">
        <v>10161.269999999999</v>
      </c>
      <c r="L88" s="5">
        <v>83.256822362436324</v>
      </c>
      <c r="M88" s="8">
        <v>5.9047737143093339E-2</v>
      </c>
      <c r="N88" s="3">
        <v>30.5</v>
      </c>
      <c r="O88" s="5">
        <v>254.92345959961153</v>
      </c>
      <c r="P88" s="3">
        <v>0.16</v>
      </c>
      <c r="Q88" s="12">
        <f t="shared" si="3"/>
        <v>1.2746172979980577E-3</v>
      </c>
      <c r="U88" s="3">
        <f>$V$2*($V$3*$F88+$V$4*$B88^$V$5*$M88^$V$6)*$Q88^$V$7</f>
        <v>0.17577598007389419</v>
      </c>
      <c r="V88" s="3">
        <f t="shared" si="4"/>
        <v>1.0985998754618387</v>
      </c>
      <c r="X88" s="3">
        <f>$Y$2*$B88^$Y$3*$Q88^$Y$4*($Y$5*$M88^$Y$6+$Y$7)</f>
        <v>0.17907421355992623</v>
      </c>
      <c r="Y88" s="3">
        <f t="shared" si="5"/>
        <v>1.1192138347495388</v>
      </c>
      <c r="AA88" s="3"/>
      <c r="AB88" s="3"/>
    </row>
    <row r="89" spans="1:28" x14ac:dyDescent="0.3">
      <c r="B89" s="4">
        <v>15.9</v>
      </c>
      <c r="C89" s="5">
        <v>3</v>
      </c>
      <c r="D89" s="4">
        <v>15.9</v>
      </c>
      <c r="E89" s="3">
        <v>3.9766081638229425</v>
      </c>
      <c r="F89" s="4">
        <v>17.46</v>
      </c>
      <c r="G89" s="4">
        <v>25.4</v>
      </c>
      <c r="H89" s="1">
        <v>114.3</v>
      </c>
      <c r="I89" s="4">
        <v>228.6</v>
      </c>
      <c r="J89" s="5">
        <v>600</v>
      </c>
      <c r="K89" s="3">
        <v>10161.269999999999</v>
      </c>
      <c r="L89" s="5">
        <v>83.256822362436324</v>
      </c>
      <c r="M89" s="8">
        <v>5.9047737143093339E-2</v>
      </c>
      <c r="N89" s="3">
        <v>40</v>
      </c>
      <c r="O89" s="5">
        <v>362.12049823275697</v>
      </c>
      <c r="P89" s="3">
        <v>0.21</v>
      </c>
      <c r="Q89" s="12">
        <f t="shared" si="3"/>
        <v>1.8106024911637849E-3</v>
      </c>
      <c r="U89" s="3">
        <f>$V$2*($V$3*$F89+$V$4*$B89^$V$5*$M89^$V$6)*$Q89^$V$7</f>
        <v>0.21828155934945867</v>
      </c>
      <c r="V89" s="3">
        <f t="shared" si="4"/>
        <v>1.0394359969021842</v>
      </c>
      <c r="X89" s="3">
        <f>$Y$2*$B89^$Y$3*$Q89^$Y$4*($Y$5*$M89^$Y$6+$Y$7)</f>
        <v>0.22323765324614028</v>
      </c>
      <c r="Y89" s="3">
        <f t="shared" si="5"/>
        <v>1.0630364440292395</v>
      </c>
      <c r="AA89" s="3"/>
      <c r="AB89" s="3"/>
    </row>
    <row r="90" spans="1:28" x14ac:dyDescent="0.3">
      <c r="A90" s="1" t="s">
        <v>25</v>
      </c>
      <c r="B90" s="4">
        <v>16</v>
      </c>
      <c r="C90" s="5">
        <v>2</v>
      </c>
      <c r="D90" s="4">
        <v>138</v>
      </c>
      <c r="E90" s="3">
        <v>3.2689999999999997</v>
      </c>
      <c r="F90" s="4">
        <v>40</v>
      </c>
      <c r="G90" s="4">
        <v>48</v>
      </c>
      <c r="H90" s="1">
        <v>250</v>
      </c>
      <c r="I90" s="4">
        <v>348</v>
      </c>
      <c r="J90" s="5">
        <v>400</v>
      </c>
      <c r="K90" s="3">
        <v>32000</v>
      </c>
      <c r="L90" s="5">
        <v>73.386285342529078</v>
      </c>
      <c r="M90" s="8">
        <v>1.2500000000000001E-2</v>
      </c>
      <c r="N90" s="3">
        <v>20.420000000000002</v>
      </c>
      <c r="O90" s="5">
        <v>13.79531018126869</v>
      </c>
      <c r="P90" s="3">
        <v>0.15</v>
      </c>
      <c r="Q90" s="12">
        <f t="shared" si="3"/>
        <v>6.8976550906343451E-5</v>
      </c>
      <c r="U90" s="3">
        <f>$V$2*($V$3*$F90+$V$4*$B90^$V$5*$M90^$V$6)*$Q90^$V$7</f>
        <v>5.5758334408786955E-2</v>
      </c>
      <c r="V90" s="3">
        <f t="shared" si="4"/>
        <v>0.37172222939191307</v>
      </c>
      <c r="X90" s="3">
        <f>$Y$2*$B90^$Y$3*$Q90^$Y$4*($Y$5*$M90^$Y$6+$Y$7)</f>
        <v>5.4470787898027125E-2</v>
      </c>
      <c r="Y90" s="3">
        <f t="shared" si="5"/>
        <v>0.36313858598684751</v>
      </c>
      <c r="AA90" s="3"/>
      <c r="AB90" s="3"/>
    </row>
    <row r="91" spans="1:28" x14ac:dyDescent="0.3">
      <c r="B91" s="4">
        <v>16</v>
      </c>
      <c r="C91" s="5">
        <v>2</v>
      </c>
      <c r="D91" s="4">
        <v>138</v>
      </c>
      <c r="E91" s="3">
        <v>3.2689999999999997</v>
      </c>
      <c r="F91" s="4">
        <v>40</v>
      </c>
      <c r="G91" s="4">
        <v>48</v>
      </c>
      <c r="H91" s="1">
        <v>250</v>
      </c>
      <c r="I91" s="4">
        <v>348</v>
      </c>
      <c r="J91" s="5">
        <v>400</v>
      </c>
      <c r="K91" s="3">
        <v>32000</v>
      </c>
      <c r="L91" s="5">
        <v>73.386285342529078</v>
      </c>
      <c r="M91" s="8">
        <v>1.2500000000000001E-2</v>
      </c>
      <c r="N91" s="3">
        <v>23.34</v>
      </c>
      <c r="O91" s="5">
        <v>53.37013231707499</v>
      </c>
      <c r="P91" s="3">
        <v>0.2</v>
      </c>
      <c r="Q91" s="12">
        <f t="shared" si="3"/>
        <v>2.6685066158537493E-4</v>
      </c>
      <c r="U91" s="3">
        <f>$V$2*($V$3*$F91+$V$4*$B91^$V$5*$M91^$V$6)*$Q91^$V$7</f>
        <v>0.12848088332501847</v>
      </c>
      <c r="V91" s="3">
        <f t="shared" si="4"/>
        <v>0.64240441662509229</v>
      </c>
      <c r="X91" s="3">
        <f>$Y$2*$B91^$Y$3*$Q91^$Y$4*($Y$5*$M91^$Y$6+$Y$7)</f>
        <v>0.12739594764741027</v>
      </c>
      <c r="Y91" s="3">
        <f t="shared" si="5"/>
        <v>0.63697973823705134</v>
      </c>
      <c r="AA91" s="3"/>
      <c r="AB91" s="3"/>
    </row>
    <row r="92" spans="1:28" x14ac:dyDescent="0.3">
      <c r="B92" s="4">
        <v>16</v>
      </c>
      <c r="C92" s="5">
        <v>2</v>
      </c>
      <c r="D92" s="4">
        <v>138</v>
      </c>
      <c r="E92" s="3">
        <v>3.2689999999999997</v>
      </c>
      <c r="F92" s="4">
        <v>40</v>
      </c>
      <c r="G92" s="4">
        <v>48</v>
      </c>
      <c r="H92" s="1">
        <v>250</v>
      </c>
      <c r="I92" s="4">
        <v>348</v>
      </c>
      <c r="J92" s="5">
        <v>400</v>
      </c>
      <c r="K92" s="3">
        <v>32000</v>
      </c>
      <c r="L92" s="5">
        <v>73.386285342529078</v>
      </c>
      <c r="M92" s="8">
        <v>1.2500000000000001E-2</v>
      </c>
      <c r="N92" s="3">
        <v>26.26</v>
      </c>
      <c r="O92" s="5">
        <v>95.802447537233263</v>
      </c>
      <c r="P92" s="3">
        <v>0.25</v>
      </c>
      <c r="Q92" s="12">
        <f t="shared" si="3"/>
        <v>4.7901223768616634E-4</v>
      </c>
      <c r="U92" s="3">
        <f>$V$2*($V$3*$F92+$V$4*$B92^$V$5*$M92^$V$6)*$Q92^$V$7</f>
        <v>0.18433374236535513</v>
      </c>
      <c r="V92" s="3">
        <f t="shared" si="4"/>
        <v>0.73733496946142052</v>
      </c>
      <c r="X92" s="3">
        <f>$Y$2*$B92^$Y$3*$Q92^$Y$4*($Y$5*$M92^$Y$6+$Y$7)</f>
        <v>0.18395720473358329</v>
      </c>
      <c r="Y92" s="3">
        <f t="shared" si="5"/>
        <v>0.73582881893433316</v>
      </c>
      <c r="AA92" s="3"/>
      <c r="AB92" s="3"/>
    </row>
    <row r="93" spans="1:28" x14ac:dyDescent="0.3">
      <c r="B93" s="4">
        <v>16</v>
      </c>
      <c r="C93" s="5">
        <v>2</v>
      </c>
      <c r="D93" s="4">
        <v>138</v>
      </c>
      <c r="E93" s="3">
        <v>3.2689999999999997</v>
      </c>
      <c r="F93" s="4">
        <v>40</v>
      </c>
      <c r="G93" s="4">
        <v>48</v>
      </c>
      <c r="H93" s="1">
        <v>250</v>
      </c>
      <c r="I93" s="4">
        <v>348</v>
      </c>
      <c r="J93" s="5">
        <v>400</v>
      </c>
      <c r="K93" s="3">
        <v>32000</v>
      </c>
      <c r="L93" s="5">
        <v>73.386285342529078</v>
      </c>
      <c r="M93" s="8">
        <v>1.2500000000000001E-2</v>
      </c>
      <c r="N93" s="3">
        <v>29.175000000000001</v>
      </c>
      <c r="O93" s="5">
        <v>138.16210468338426</v>
      </c>
      <c r="P93" s="3">
        <v>0.28000000000000003</v>
      </c>
      <c r="Q93" s="12">
        <f t="shared" si="3"/>
        <v>6.9081052341692128E-4</v>
      </c>
      <c r="U93" s="3">
        <f>$V$2*($V$3*$F93+$V$4*$B93^$V$5*$M93^$V$6)*$Q93^$V$7</f>
        <v>0.23105504283664749</v>
      </c>
      <c r="V93" s="3">
        <f t="shared" si="4"/>
        <v>0.82519658155945519</v>
      </c>
      <c r="X93" s="3">
        <f>$Y$2*$B93^$Y$3*$Q93^$Y$4*($Y$5*$M93^$Y$6+$Y$7)</f>
        <v>0.23151362158818836</v>
      </c>
      <c r="Y93" s="3">
        <f t="shared" si="5"/>
        <v>0.82683436281495837</v>
      </c>
      <c r="AA93" s="3"/>
      <c r="AB93" s="3"/>
    </row>
    <row r="94" spans="1:28" x14ac:dyDescent="0.3">
      <c r="B94" s="4">
        <v>16</v>
      </c>
      <c r="C94" s="5">
        <v>2</v>
      </c>
      <c r="D94" s="4">
        <v>138</v>
      </c>
      <c r="E94" s="3">
        <v>3.2689999999999997</v>
      </c>
      <c r="F94" s="4">
        <v>40</v>
      </c>
      <c r="G94" s="4">
        <v>48</v>
      </c>
      <c r="H94" s="1">
        <v>250</v>
      </c>
      <c r="I94" s="4">
        <v>348</v>
      </c>
      <c r="J94" s="5">
        <v>400</v>
      </c>
      <c r="K94" s="3">
        <v>32000</v>
      </c>
      <c r="L94" s="5">
        <v>73.386285342529078</v>
      </c>
      <c r="M94" s="8">
        <v>1.2500000000000001E-2</v>
      </c>
      <c r="N94" s="3">
        <v>32.090000000000003</v>
      </c>
      <c r="O94" s="5">
        <v>180.52176182953536</v>
      </c>
      <c r="P94" s="3">
        <v>0.28000000000000003</v>
      </c>
      <c r="Q94" s="12">
        <f t="shared" si="3"/>
        <v>9.0260880914767687E-4</v>
      </c>
      <c r="U94" s="3">
        <f>$V$2*($V$3*$F94+$V$4*$B94^$V$5*$M94^$V$6)*$Q94^$V$7</f>
        <v>0.27250483730416758</v>
      </c>
      <c r="V94" s="3">
        <f t="shared" si="4"/>
        <v>0.97323156180059844</v>
      </c>
      <c r="X94" s="3">
        <f>$Y$2*$B94^$Y$3*$Q94^$Y$4*($Y$5*$M94^$Y$6+$Y$7)</f>
        <v>0.27385007234140035</v>
      </c>
      <c r="Y94" s="3">
        <f t="shared" si="5"/>
        <v>0.97803597264785835</v>
      </c>
      <c r="AA94" s="3"/>
      <c r="AB94" s="3"/>
    </row>
    <row r="95" spans="1:28" x14ac:dyDescent="0.3">
      <c r="B95" s="4">
        <v>16</v>
      </c>
      <c r="C95" s="5">
        <v>2</v>
      </c>
      <c r="D95" s="4">
        <v>138</v>
      </c>
      <c r="E95" s="3">
        <v>3.2689999999999997</v>
      </c>
      <c r="F95" s="4">
        <v>40</v>
      </c>
      <c r="G95" s="4">
        <v>48</v>
      </c>
      <c r="H95" s="1">
        <v>250</v>
      </c>
      <c r="I95" s="4">
        <v>348</v>
      </c>
      <c r="J95" s="5">
        <v>400</v>
      </c>
      <c r="K95" s="3">
        <v>32000</v>
      </c>
      <c r="L95" s="5">
        <v>73.386285342529078</v>
      </c>
      <c r="M95" s="8">
        <v>1.2500000000000001E-2</v>
      </c>
      <c r="N95" s="3">
        <v>35.01</v>
      </c>
      <c r="O95" s="5">
        <v>222.95407704969347</v>
      </c>
      <c r="P95" s="3">
        <v>0.3</v>
      </c>
      <c r="Q95" s="12">
        <f t="shared" si="3"/>
        <v>1.1147703852484674E-3</v>
      </c>
      <c r="U95" s="3">
        <f>$V$2*($V$3*$F95+$V$4*$B95^$V$5*$M95^$V$6)*$Q95^$V$7</f>
        <v>0.31041620742317744</v>
      </c>
      <c r="V95" s="3">
        <f t="shared" si="4"/>
        <v>1.0347206914105915</v>
      </c>
      <c r="X95" s="3">
        <f>$Y$2*$B95^$Y$3*$Q95^$Y$4*($Y$5*$M95^$Y$6+$Y$7)</f>
        <v>0.31267386134438807</v>
      </c>
      <c r="Y95" s="3">
        <f t="shared" si="5"/>
        <v>1.0422462044812937</v>
      </c>
      <c r="AA95" s="3"/>
      <c r="AB95" s="3"/>
    </row>
    <row r="96" spans="1:28" x14ac:dyDescent="0.3">
      <c r="B96" s="4">
        <v>16</v>
      </c>
      <c r="C96" s="5">
        <v>2</v>
      </c>
      <c r="D96" s="4">
        <v>138</v>
      </c>
      <c r="E96" s="3">
        <v>3.2689999999999997</v>
      </c>
      <c r="F96" s="4">
        <v>40</v>
      </c>
      <c r="G96" s="4">
        <v>48</v>
      </c>
      <c r="H96" s="1">
        <v>250</v>
      </c>
      <c r="I96" s="4">
        <v>348</v>
      </c>
      <c r="J96" s="5">
        <v>400</v>
      </c>
      <c r="K96" s="3">
        <v>32000</v>
      </c>
      <c r="L96" s="5">
        <v>73.386285342529078</v>
      </c>
      <c r="M96" s="8">
        <v>1.2500000000000001E-2</v>
      </c>
      <c r="N96" s="3">
        <v>37.93</v>
      </c>
      <c r="O96" s="5">
        <v>265.38639226985168</v>
      </c>
      <c r="P96" s="3">
        <v>0.33</v>
      </c>
      <c r="Q96" s="12">
        <f t="shared" si="3"/>
        <v>1.3269319613492584E-3</v>
      </c>
      <c r="U96" s="3">
        <f>$V$2*($V$3*$F96+$V$4*$B96^$V$5*$M96^$V$6)*$Q96^$V$7</f>
        <v>0.34564366598472118</v>
      </c>
      <c r="V96" s="3">
        <f t="shared" si="4"/>
        <v>1.0474050484385491</v>
      </c>
      <c r="X96" s="3">
        <f>$Y$2*$B96^$Y$3*$Q96^$Y$4*($Y$5*$M96^$Y$6+$Y$7)</f>
        <v>0.34882538860049117</v>
      </c>
      <c r="Y96" s="3">
        <f t="shared" si="5"/>
        <v>1.0570466321227006</v>
      </c>
      <c r="AA96" s="3"/>
      <c r="AB96" s="3"/>
    </row>
    <row r="97" spans="1:28" x14ac:dyDescent="0.3">
      <c r="B97" s="4">
        <v>16</v>
      </c>
      <c r="C97" s="5">
        <v>2</v>
      </c>
      <c r="D97" s="4">
        <v>138</v>
      </c>
      <c r="E97" s="3">
        <v>3.2689999999999997</v>
      </c>
      <c r="F97" s="4">
        <v>40</v>
      </c>
      <c r="G97" s="4">
        <v>48</v>
      </c>
      <c r="H97" s="1">
        <v>250</v>
      </c>
      <c r="I97" s="4">
        <v>348</v>
      </c>
      <c r="J97" s="5">
        <v>400</v>
      </c>
      <c r="K97" s="3">
        <v>32000</v>
      </c>
      <c r="L97" s="5">
        <v>73.386285342529078</v>
      </c>
      <c r="M97" s="8">
        <v>1.2500000000000001E-2</v>
      </c>
      <c r="N97" s="3">
        <v>40.840000000000003</v>
      </c>
      <c r="O97" s="5">
        <v>307.67339134199574</v>
      </c>
      <c r="P97" s="3">
        <v>0.33</v>
      </c>
      <c r="Q97" s="12">
        <f t="shared" si="3"/>
        <v>1.5383669567099786E-3</v>
      </c>
      <c r="U97" s="3">
        <f>$V$2*($V$3*$F97+$V$4*$B97^$V$5*$M97^$V$6)*$Q97^$V$7</f>
        <v>0.37865785240713123</v>
      </c>
      <c r="V97" s="3">
        <f t="shared" si="4"/>
        <v>1.1474480375973672</v>
      </c>
      <c r="X97" s="3">
        <f>$Y$2*$B97^$Y$3*$Q97^$Y$4*($Y$5*$M97^$Y$6+$Y$7)</f>
        <v>0.38276549048585096</v>
      </c>
      <c r="Y97" s="3">
        <f t="shared" si="5"/>
        <v>1.1598954257146998</v>
      </c>
      <c r="AA97" s="3"/>
      <c r="AB97" s="3"/>
    </row>
    <row r="98" spans="1:28" x14ac:dyDescent="0.3">
      <c r="A98" s="1" t="s">
        <v>26</v>
      </c>
      <c r="B98" s="4">
        <v>16</v>
      </c>
      <c r="C98" s="5">
        <v>2</v>
      </c>
      <c r="D98" s="4">
        <v>138</v>
      </c>
      <c r="E98" s="3">
        <v>3.2689999999999997</v>
      </c>
      <c r="F98" s="4">
        <v>40</v>
      </c>
      <c r="G98" s="4">
        <v>48</v>
      </c>
      <c r="H98" s="1">
        <v>250</v>
      </c>
      <c r="I98" s="4">
        <v>348</v>
      </c>
      <c r="J98" s="5">
        <v>400</v>
      </c>
      <c r="K98" s="3">
        <v>32000</v>
      </c>
      <c r="L98" s="5">
        <v>73.386285342529078</v>
      </c>
      <c r="M98" s="8">
        <v>1.2500000000000001E-2</v>
      </c>
      <c r="N98" s="3">
        <v>23.34</v>
      </c>
      <c r="O98" s="5">
        <v>53.37013231707499</v>
      </c>
      <c r="P98" s="3">
        <v>0.15</v>
      </c>
      <c r="Q98" s="12">
        <f t="shared" si="3"/>
        <v>2.6685066158537493E-4</v>
      </c>
      <c r="U98" s="3">
        <f>$V$2*($V$3*$F98+$V$4*$B98^$V$5*$M98^$V$6)*$Q98^$V$7</f>
        <v>0.12848088332501847</v>
      </c>
      <c r="V98" s="3">
        <f t="shared" si="4"/>
        <v>0.8565392221667899</v>
      </c>
      <c r="X98" s="3">
        <f>$Y$2*$B98^$Y$3*$Q98^$Y$4*($Y$5*$M98^$Y$6+$Y$7)</f>
        <v>0.12739594764741027</v>
      </c>
      <c r="Y98" s="3">
        <f t="shared" si="5"/>
        <v>0.8493063176494019</v>
      </c>
      <c r="AA98" s="3"/>
      <c r="AB98" s="3"/>
    </row>
    <row r="99" spans="1:28" x14ac:dyDescent="0.3">
      <c r="B99" s="4">
        <v>16</v>
      </c>
      <c r="C99" s="5">
        <v>2</v>
      </c>
      <c r="D99" s="4">
        <v>138</v>
      </c>
      <c r="E99" s="3">
        <v>3.2689999999999997</v>
      </c>
      <c r="F99" s="4">
        <v>40</v>
      </c>
      <c r="G99" s="4">
        <v>48</v>
      </c>
      <c r="H99" s="1">
        <v>250</v>
      </c>
      <c r="I99" s="4">
        <v>348</v>
      </c>
      <c r="J99" s="5">
        <v>400</v>
      </c>
      <c r="K99" s="3">
        <v>32000</v>
      </c>
      <c r="L99" s="5">
        <v>73.386285342529078</v>
      </c>
      <c r="M99" s="8">
        <v>1.2500000000000001E-2</v>
      </c>
      <c r="N99" s="3">
        <v>26.26</v>
      </c>
      <c r="O99" s="5">
        <v>95.802447537233263</v>
      </c>
      <c r="P99" s="3">
        <v>0.18</v>
      </c>
      <c r="Q99" s="12">
        <f t="shared" si="3"/>
        <v>4.7901223768616634E-4</v>
      </c>
      <c r="U99" s="3">
        <f>$V$2*($V$3*$F99+$V$4*$B99^$V$5*$M99^$V$6)*$Q99^$V$7</f>
        <v>0.18433374236535513</v>
      </c>
      <c r="V99" s="3">
        <f t="shared" si="4"/>
        <v>1.0240763464741951</v>
      </c>
      <c r="X99" s="3">
        <f>$Y$2*$B99^$Y$3*$Q99^$Y$4*($Y$5*$M99^$Y$6+$Y$7)</f>
        <v>0.18395720473358329</v>
      </c>
      <c r="Y99" s="3">
        <f t="shared" si="5"/>
        <v>1.0219844707421295</v>
      </c>
      <c r="AA99" s="3"/>
      <c r="AB99" s="3"/>
    </row>
    <row r="100" spans="1:28" x14ac:dyDescent="0.3">
      <c r="B100" s="4">
        <v>16</v>
      </c>
      <c r="C100" s="5">
        <v>2</v>
      </c>
      <c r="D100" s="4">
        <v>138</v>
      </c>
      <c r="E100" s="3">
        <v>3.2689999999999997</v>
      </c>
      <c r="F100" s="4">
        <v>40</v>
      </c>
      <c r="G100" s="4">
        <v>48</v>
      </c>
      <c r="H100" s="1">
        <v>250</v>
      </c>
      <c r="I100" s="4">
        <v>348</v>
      </c>
      <c r="J100" s="5">
        <v>400</v>
      </c>
      <c r="K100" s="3">
        <v>32000</v>
      </c>
      <c r="L100" s="5">
        <v>73.386285342529078</v>
      </c>
      <c r="M100" s="8">
        <v>1.2500000000000001E-2</v>
      </c>
      <c r="N100" s="3">
        <v>29.175000000000001</v>
      </c>
      <c r="O100" s="5">
        <v>138.16210468338426</v>
      </c>
      <c r="P100" s="3">
        <v>0.2</v>
      </c>
      <c r="Q100" s="12">
        <f t="shared" si="3"/>
        <v>6.9081052341692128E-4</v>
      </c>
      <c r="U100" s="3">
        <f>$V$2*($V$3*$F100+$V$4*$B100^$V$5*$M100^$V$6)*$Q100^$V$7</f>
        <v>0.23105504283664749</v>
      </c>
      <c r="V100" s="3">
        <f t="shared" si="4"/>
        <v>1.1552752141832374</v>
      </c>
      <c r="X100" s="3">
        <f>$Y$2*$B100^$Y$3*$Q100^$Y$4*($Y$5*$M100^$Y$6+$Y$7)</f>
        <v>0.23151362158818836</v>
      </c>
      <c r="Y100" s="3">
        <f t="shared" si="5"/>
        <v>1.1575681079409417</v>
      </c>
      <c r="AA100" s="3"/>
      <c r="AB100" s="3"/>
    </row>
    <row r="101" spans="1:28" x14ac:dyDescent="0.3">
      <c r="B101" s="4">
        <v>16</v>
      </c>
      <c r="C101" s="5">
        <v>2</v>
      </c>
      <c r="D101" s="4">
        <v>138</v>
      </c>
      <c r="E101" s="3">
        <v>3.2689999999999997</v>
      </c>
      <c r="F101" s="4">
        <v>40</v>
      </c>
      <c r="G101" s="4">
        <v>48</v>
      </c>
      <c r="H101" s="1">
        <v>250</v>
      </c>
      <c r="I101" s="4">
        <v>348</v>
      </c>
      <c r="J101" s="5">
        <v>400</v>
      </c>
      <c r="K101" s="3">
        <v>32000</v>
      </c>
      <c r="L101" s="5">
        <v>73.386285342529078</v>
      </c>
      <c r="M101" s="8">
        <v>1.2500000000000001E-2</v>
      </c>
      <c r="N101" s="3">
        <v>32.090000000000003</v>
      </c>
      <c r="O101" s="5">
        <v>180.52176182953536</v>
      </c>
      <c r="P101" s="3">
        <v>0.25</v>
      </c>
      <c r="Q101" s="12">
        <f t="shared" si="3"/>
        <v>9.0260880914767687E-4</v>
      </c>
      <c r="U101" s="3">
        <f>$V$2*($V$3*$F101+$V$4*$B101^$V$5*$M101^$V$6)*$Q101^$V$7</f>
        <v>0.27250483730416758</v>
      </c>
      <c r="V101" s="3">
        <f t="shared" si="4"/>
        <v>1.0900193492166703</v>
      </c>
      <c r="X101" s="3">
        <f>$Y$2*$B101^$Y$3*$Q101^$Y$4*($Y$5*$M101^$Y$6+$Y$7)</f>
        <v>0.27385007234140035</v>
      </c>
      <c r="Y101" s="3">
        <f t="shared" si="5"/>
        <v>1.0954002893656014</v>
      </c>
      <c r="AA101" s="3"/>
      <c r="AB101" s="3"/>
    </row>
    <row r="102" spans="1:28" x14ac:dyDescent="0.3">
      <c r="B102" s="4">
        <v>16</v>
      </c>
      <c r="C102" s="5">
        <v>2</v>
      </c>
      <c r="D102" s="4">
        <v>138</v>
      </c>
      <c r="E102" s="3">
        <v>3.2689999999999997</v>
      </c>
      <c r="F102" s="4">
        <v>40</v>
      </c>
      <c r="G102" s="4">
        <v>48</v>
      </c>
      <c r="H102" s="1">
        <v>250</v>
      </c>
      <c r="I102" s="4">
        <v>348</v>
      </c>
      <c r="J102" s="5">
        <v>400</v>
      </c>
      <c r="K102" s="3">
        <v>32000</v>
      </c>
      <c r="L102" s="5">
        <v>73.386285342529078</v>
      </c>
      <c r="M102" s="8">
        <v>1.2500000000000001E-2</v>
      </c>
      <c r="N102" s="3">
        <v>35.01</v>
      </c>
      <c r="O102" s="5">
        <v>222.95407704969347</v>
      </c>
      <c r="P102" s="3">
        <v>0.3</v>
      </c>
      <c r="Q102" s="12">
        <f t="shared" si="3"/>
        <v>1.1147703852484674E-3</v>
      </c>
      <c r="U102" s="3">
        <f>$V$2*($V$3*$F102+$V$4*$B102^$V$5*$M102^$V$6)*$Q102^$V$7</f>
        <v>0.31041620742317744</v>
      </c>
      <c r="V102" s="3">
        <f t="shared" si="4"/>
        <v>1.0347206914105915</v>
      </c>
      <c r="X102" s="3">
        <f>$Y$2*$B102^$Y$3*$Q102^$Y$4*($Y$5*$M102^$Y$6+$Y$7)</f>
        <v>0.31267386134438807</v>
      </c>
      <c r="Y102" s="3">
        <f t="shared" si="5"/>
        <v>1.0422462044812937</v>
      </c>
      <c r="AA102" s="3"/>
      <c r="AB102" s="3"/>
    </row>
    <row r="103" spans="1:28" x14ac:dyDescent="0.3">
      <c r="B103" s="4">
        <v>16</v>
      </c>
      <c r="C103" s="5">
        <v>2</v>
      </c>
      <c r="D103" s="4">
        <v>138</v>
      </c>
      <c r="E103" s="3">
        <v>3.2689999999999997</v>
      </c>
      <c r="F103" s="4">
        <v>40</v>
      </c>
      <c r="G103" s="4">
        <v>48</v>
      </c>
      <c r="H103" s="1">
        <v>250</v>
      </c>
      <c r="I103" s="4">
        <v>348</v>
      </c>
      <c r="J103" s="5">
        <v>400</v>
      </c>
      <c r="K103" s="3">
        <v>32000</v>
      </c>
      <c r="L103" s="5">
        <v>73.386285342529078</v>
      </c>
      <c r="M103" s="8">
        <v>1.2500000000000001E-2</v>
      </c>
      <c r="N103" s="3">
        <v>37.93</v>
      </c>
      <c r="O103" s="5">
        <v>265.38639226985168</v>
      </c>
      <c r="P103" s="3">
        <v>0.33</v>
      </c>
      <c r="Q103" s="12">
        <f t="shared" si="3"/>
        <v>1.3269319613492584E-3</v>
      </c>
      <c r="U103" s="3">
        <f>$V$2*($V$3*$F103+$V$4*$B103^$V$5*$M103^$V$6)*$Q103^$V$7</f>
        <v>0.34564366598472118</v>
      </c>
      <c r="V103" s="3">
        <f t="shared" si="4"/>
        <v>1.0474050484385491</v>
      </c>
      <c r="X103" s="3">
        <f>$Y$2*$B103^$Y$3*$Q103^$Y$4*($Y$5*$M103^$Y$6+$Y$7)</f>
        <v>0.34882538860049117</v>
      </c>
      <c r="Y103" s="3">
        <f t="shared" si="5"/>
        <v>1.0570466321227006</v>
      </c>
      <c r="AA103" s="3"/>
      <c r="AB103" s="3"/>
    </row>
    <row r="104" spans="1:28" x14ac:dyDescent="0.3">
      <c r="B104" s="4">
        <v>16</v>
      </c>
      <c r="C104" s="5">
        <v>2</v>
      </c>
      <c r="D104" s="4">
        <v>138</v>
      </c>
      <c r="E104" s="3">
        <v>3.2689999999999997</v>
      </c>
      <c r="F104" s="4">
        <v>40</v>
      </c>
      <c r="G104" s="4">
        <v>48</v>
      </c>
      <c r="H104" s="1">
        <v>250</v>
      </c>
      <c r="I104" s="4">
        <v>348</v>
      </c>
      <c r="J104" s="5">
        <v>400</v>
      </c>
      <c r="K104" s="3">
        <v>32000</v>
      </c>
      <c r="L104" s="5">
        <v>73.386285342529078</v>
      </c>
      <c r="M104" s="8">
        <v>1.2500000000000001E-2</v>
      </c>
      <c r="N104" s="3">
        <v>40.840000000000003</v>
      </c>
      <c r="O104" s="5">
        <v>307.67339134199574</v>
      </c>
      <c r="P104" s="3">
        <v>0.38</v>
      </c>
      <c r="Q104" s="12">
        <f t="shared" si="3"/>
        <v>1.5383669567099786E-3</v>
      </c>
      <c r="U104" s="3">
        <f>$V$2*($V$3*$F104+$V$4*$B104^$V$5*$M104^$V$6)*$Q104^$V$7</f>
        <v>0.37865785240713123</v>
      </c>
      <c r="V104" s="3">
        <f t="shared" si="4"/>
        <v>0.99646803265034534</v>
      </c>
      <c r="X104" s="3">
        <f>$Y$2*$B104^$Y$3*$Q104^$Y$4*($Y$5*$M104^$Y$6+$Y$7)</f>
        <v>0.38276549048585096</v>
      </c>
      <c r="Y104" s="3">
        <f t="shared" si="5"/>
        <v>1.0072776065417131</v>
      </c>
      <c r="AA104" s="3"/>
      <c r="AB104" s="3"/>
    </row>
    <row r="105" spans="1:28" x14ac:dyDescent="0.3">
      <c r="A105" s="1" t="s">
        <v>27</v>
      </c>
      <c r="B105" s="4">
        <v>16</v>
      </c>
      <c r="C105" s="5">
        <v>2</v>
      </c>
      <c r="D105" s="4">
        <v>168</v>
      </c>
      <c r="E105" s="3">
        <v>3.2689999999999997</v>
      </c>
      <c r="F105" s="4">
        <v>25</v>
      </c>
      <c r="G105" s="4">
        <v>33</v>
      </c>
      <c r="H105" s="1">
        <v>250</v>
      </c>
      <c r="I105" s="4">
        <v>333</v>
      </c>
      <c r="J105" s="5">
        <v>400</v>
      </c>
      <c r="K105" s="3">
        <v>12769</v>
      </c>
      <c r="L105" s="5">
        <v>73.386285342529078</v>
      </c>
      <c r="M105" s="8">
        <v>1.5746098349890107E-2</v>
      </c>
      <c r="N105" s="3">
        <v>23.34</v>
      </c>
      <c r="O105" s="5">
        <v>83.250300076909014</v>
      </c>
      <c r="P105" s="3">
        <v>0.15</v>
      </c>
      <c r="Q105" s="12">
        <f t="shared" si="3"/>
        <v>4.1625150038454507E-4</v>
      </c>
      <c r="U105" s="3">
        <f>$V$2*($V$3*$F105+$V$4*$B105^$V$5*$M105^$V$6)*$Q105^$V$7</f>
        <v>0.15360052698610233</v>
      </c>
      <c r="V105" s="3">
        <f t="shared" si="4"/>
        <v>1.0240035132406822</v>
      </c>
      <c r="X105" s="3">
        <f>$Y$2*$B105^$Y$3*$Q105^$Y$4*($Y$5*$M105^$Y$6+$Y$7)</f>
        <v>0.15120323277073514</v>
      </c>
      <c r="Y105" s="3">
        <f t="shared" si="5"/>
        <v>1.0080215518049009</v>
      </c>
      <c r="AA105" s="3"/>
      <c r="AB105" s="3"/>
    </row>
    <row r="106" spans="1:28" x14ac:dyDescent="0.3">
      <c r="B106" s="4">
        <v>16</v>
      </c>
      <c r="C106" s="5">
        <v>2</v>
      </c>
      <c r="D106" s="4">
        <v>168</v>
      </c>
      <c r="E106" s="3">
        <v>3.2689999999999997</v>
      </c>
      <c r="F106" s="4">
        <v>25</v>
      </c>
      <c r="G106" s="4">
        <v>33</v>
      </c>
      <c r="H106" s="1">
        <v>250</v>
      </c>
      <c r="I106" s="4">
        <v>333</v>
      </c>
      <c r="J106" s="5">
        <v>400</v>
      </c>
      <c r="K106" s="3">
        <v>12769</v>
      </c>
      <c r="L106" s="5">
        <v>73.386285342529078</v>
      </c>
      <c r="M106" s="8">
        <v>1.5746098349890107E-2</v>
      </c>
      <c r="N106" s="3">
        <v>26.26</v>
      </c>
      <c r="O106" s="5">
        <v>122.67593514835909</v>
      </c>
      <c r="P106" s="3">
        <v>0.18</v>
      </c>
      <c r="Q106" s="12">
        <f t="shared" si="3"/>
        <v>6.1337967574179547E-4</v>
      </c>
      <c r="U106" s="3">
        <f>$V$2*($V$3*$F106+$V$4*$B106^$V$5*$M106^$V$6)*$Q106^$V$7</f>
        <v>0.19510985141694789</v>
      </c>
      <c r="V106" s="3">
        <f t="shared" si="4"/>
        <v>1.0839436189830438</v>
      </c>
      <c r="X106" s="3">
        <f>$Y$2*$B106^$Y$3*$Q106^$Y$4*($Y$5*$M106^$Y$6+$Y$7)</f>
        <v>0.19288554316725148</v>
      </c>
      <c r="Y106" s="3">
        <f t="shared" si="5"/>
        <v>1.071586350929175</v>
      </c>
      <c r="AA106" s="3"/>
      <c r="AB106" s="3"/>
    </row>
    <row r="107" spans="1:28" x14ac:dyDescent="0.3">
      <c r="B107" s="4">
        <v>16</v>
      </c>
      <c r="C107" s="5">
        <v>2</v>
      </c>
      <c r="D107" s="4">
        <v>168</v>
      </c>
      <c r="E107" s="3">
        <v>3.2689999999999997</v>
      </c>
      <c r="F107" s="4">
        <v>25</v>
      </c>
      <c r="G107" s="4">
        <v>33</v>
      </c>
      <c r="H107" s="1">
        <v>250</v>
      </c>
      <c r="I107" s="4">
        <v>333</v>
      </c>
      <c r="J107" s="5">
        <v>400</v>
      </c>
      <c r="K107" s="3">
        <v>12769</v>
      </c>
      <c r="L107" s="5">
        <v>73.386285342529078</v>
      </c>
      <c r="M107" s="8">
        <v>1.5746098349890107E-2</v>
      </c>
      <c r="N107" s="3">
        <v>29.175000000000001</v>
      </c>
      <c r="O107" s="5">
        <v>162.03406057071425</v>
      </c>
      <c r="P107" s="3">
        <v>0.2</v>
      </c>
      <c r="Q107" s="12">
        <f t="shared" si="3"/>
        <v>8.1017030285357125E-4</v>
      </c>
      <c r="U107" s="3">
        <f>$V$2*($V$3*$F107+$V$4*$B107^$V$5*$M107^$V$6)*$Q107^$V$7</f>
        <v>0.23165504306845591</v>
      </c>
      <c r="V107" s="3">
        <f t="shared" si="4"/>
        <v>1.1582752153422795</v>
      </c>
      <c r="X107" s="3">
        <f>$Y$2*$B107^$Y$3*$Q107^$Y$4*($Y$5*$M107^$Y$6+$Y$7)</f>
        <v>0.22971616408421336</v>
      </c>
      <c r="Y107" s="3">
        <f t="shared" si="5"/>
        <v>1.1485808204210668</v>
      </c>
      <c r="AA107" s="3"/>
      <c r="AB107" s="3"/>
    </row>
    <row r="108" spans="1:28" x14ac:dyDescent="0.3">
      <c r="B108" s="4">
        <v>16</v>
      </c>
      <c r="C108" s="5">
        <v>2</v>
      </c>
      <c r="D108" s="4">
        <v>168</v>
      </c>
      <c r="E108" s="3">
        <v>3.2689999999999997</v>
      </c>
      <c r="F108" s="4">
        <v>25</v>
      </c>
      <c r="G108" s="4">
        <v>33</v>
      </c>
      <c r="H108" s="1">
        <v>250</v>
      </c>
      <c r="I108" s="4">
        <v>333</v>
      </c>
      <c r="J108" s="5">
        <v>400</v>
      </c>
      <c r="K108" s="3">
        <v>12769</v>
      </c>
      <c r="L108" s="5">
        <v>73.386285342529078</v>
      </c>
      <c r="M108" s="8">
        <v>1.5746098349890107E-2</v>
      </c>
      <c r="N108" s="3">
        <v>32.090000000000003</v>
      </c>
      <c r="O108" s="5">
        <v>201.3921859930694</v>
      </c>
      <c r="P108" s="3">
        <v>0.23</v>
      </c>
      <c r="Q108" s="12">
        <f t="shared" si="3"/>
        <v>1.006960929965347E-3</v>
      </c>
      <c r="U108" s="3">
        <f>$V$2*($V$3*$F108+$V$4*$B108^$V$5*$M108^$V$6)*$Q108^$V$7</f>
        <v>0.26491646816940401</v>
      </c>
      <c r="V108" s="3">
        <f t="shared" si="4"/>
        <v>1.1518107311713217</v>
      </c>
      <c r="X108" s="3">
        <f>$Y$2*$B108^$Y$3*$Q108^$Y$4*($Y$5*$M108^$Y$6+$Y$7)</f>
        <v>0.26332831020345865</v>
      </c>
      <c r="Y108" s="3">
        <f t="shared" si="5"/>
        <v>1.1449056965367768</v>
      </c>
      <c r="AA108" s="3"/>
      <c r="AB108" s="3"/>
    </row>
    <row r="109" spans="1:28" x14ac:dyDescent="0.3">
      <c r="B109" s="4">
        <v>16</v>
      </c>
      <c r="C109" s="5">
        <v>2</v>
      </c>
      <c r="D109" s="4">
        <v>168</v>
      </c>
      <c r="E109" s="3">
        <v>3.2689999999999997</v>
      </c>
      <c r="F109" s="4">
        <v>25</v>
      </c>
      <c r="G109" s="4">
        <v>33</v>
      </c>
      <c r="H109" s="1">
        <v>250</v>
      </c>
      <c r="I109" s="4">
        <v>333</v>
      </c>
      <c r="J109" s="5">
        <v>400</v>
      </c>
      <c r="K109" s="3">
        <v>12769</v>
      </c>
      <c r="L109" s="5">
        <v>73.386285342529078</v>
      </c>
      <c r="M109" s="8">
        <v>1.5746098349890107E-2</v>
      </c>
      <c r="N109" s="3">
        <v>35.01</v>
      </c>
      <c r="O109" s="5">
        <v>240.81782106451948</v>
      </c>
      <c r="P109" s="3">
        <v>0.25</v>
      </c>
      <c r="Q109" s="12">
        <f t="shared" si="3"/>
        <v>1.2040891053225974E-3</v>
      </c>
      <c r="U109" s="3">
        <f>$V$2*($V$3*$F109+$V$4*$B109^$V$5*$M109^$V$6)*$Q109^$V$7</f>
        <v>0.29581251411645676</v>
      </c>
      <c r="V109" s="3">
        <f t="shared" si="4"/>
        <v>1.183250056465827</v>
      </c>
      <c r="X109" s="3">
        <f>$Y$2*$B109^$Y$3*$Q109^$Y$4*($Y$5*$M109^$Y$6+$Y$7)</f>
        <v>0.29461797788409488</v>
      </c>
      <c r="Y109" s="3">
        <f t="shared" si="5"/>
        <v>1.1784719115363795</v>
      </c>
      <c r="AA109" s="3"/>
      <c r="AB109" s="3"/>
    </row>
    <row r="110" spans="1:28" x14ac:dyDescent="0.3">
      <c r="B110" s="4">
        <v>16</v>
      </c>
      <c r="C110" s="5">
        <v>2</v>
      </c>
      <c r="D110" s="4">
        <v>168</v>
      </c>
      <c r="E110" s="3">
        <v>3.2689999999999997</v>
      </c>
      <c r="F110" s="4">
        <v>25</v>
      </c>
      <c r="G110" s="4">
        <v>33</v>
      </c>
      <c r="H110" s="1">
        <v>250</v>
      </c>
      <c r="I110" s="4">
        <v>333</v>
      </c>
      <c r="J110" s="5">
        <v>400</v>
      </c>
      <c r="K110" s="3">
        <v>12769</v>
      </c>
      <c r="L110" s="5">
        <v>73.386285342529078</v>
      </c>
      <c r="M110" s="8">
        <v>1.5746098349890107E-2</v>
      </c>
      <c r="N110" s="3">
        <v>37.93</v>
      </c>
      <c r="O110" s="5">
        <v>280.24345613596955</v>
      </c>
      <c r="P110" s="3">
        <v>0.3</v>
      </c>
      <c r="Q110" s="12">
        <f t="shared" si="3"/>
        <v>1.4012172806798478E-3</v>
      </c>
      <c r="U110" s="3">
        <f>$V$2*($V$3*$F110+$V$4*$B110^$V$5*$M110^$V$6)*$Q110^$V$7</f>
        <v>0.32482096614990652</v>
      </c>
      <c r="V110" s="3">
        <f t="shared" si="4"/>
        <v>1.0827365538330218</v>
      </c>
      <c r="X110" s="3">
        <f>$Y$2*$B110^$Y$3*$Q110^$Y$4*($Y$5*$M110^$Y$6+$Y$7)</f>
        <v>0.32404928764612906</v>
      </c>
      <c r="Y110" s="3">
        <f t="shared" si="5"/>
        <v>1.0801642921537635</v>
      </c>
      <c r="AA110" s="3"/>
      <c r="AB110" s="3"/>
    </row>
    <row r="111" spans="1:28" x14ac:dyDescent="0.3">
      <c r="B111" s="4">
        <v>16</v>
      </c>
      <c r="C111" s="5">
        <v>2</v>
      </c>
      <c r="D111" s="4">
        <v>168</v>
      </c>
      <c r="E111" s="3">
        <v>3.2689999999999997</v>
      </c>
      <c r="F111" s="4">
        <v>25</v>
      </c>
      <c r="G111" s="4">
        <v>33</v>
      </c>
      <c r="H111" s="1">
        <v>250</v>
      </c>
      <c r="I111" s="4">
        <v>333</v>
      </c>
      <c r="J111" s="5">
        <v>400</v>
      </c>
      <c r="K111" s="3">
        <v>12769</v>
      </c>
      <c r="L111" s="5">
        <v>73.386285342529078</v>
      </c>
      <c r="M111" s="8">
        <v>1.5746098349890107E-2</v>
      </c>
      <c r="N111" s="3">
        <v>40.840000000000003</v>
      </c>
      <c r="O111" s="5">
        <v>319.53407190922991</v>
      </c>
      <c r="P111" s="3">
        <v>0.3</v>
      </c>
      <c r="Q111" s="12">
        <f t="shared" si="3"/>
        <v>1.5976703595461496E-3</v>
      </c>
      <c r="U111" s="3">
        <f>$V$2*($V$3*$F111+$V$4*$B111^$V$5*$M111^$V$6)*$Q111^$V$7</f>
        <v>0.35221006186183812</v>
      </c>
      <c r="V111" s="3">
        <f t="shared" si="4"/>
        <v>1.1740335395394605</v>
      </c>
      <c r="X111" s="3">
        <f>$Y$2*$B111^$Y$3*$Q111^$Y$4*($Y$5*$M111^$Y$6+$Y$7)</f>
        <v>0.35188080315931164</v>
      </c>
      <c r="Y111" s="3">
        <f t="shared" si="5"/>
        <v>1.1729360105310389</v>
      </c>
      <c r="AA111" s="3"/>
      <c r="AB111" s="3"/>
    </row>
    <row r="112" spans="1:28" x14ac:dyDescent="0.3">
      <c r="A112" s="1" t="s">
        <v>28</v>
      </c>
      <c r="B112" s="4">
        <v>16</v>
      </c>
      <c r="C112" s="5">
        <v>2</v>
      </c>
      <c r="D112" s="4">
        <v>168</v>
      </c>
      <c r="E112" s="3">
        <v>3.2689999999999997</v>
      </c>
      <c r="F112" s="4">
        <v>25</v>
      </c>
      <c r="G112" s="4">
        <v>33</v>
      </c>
      <c r="H112" s="1">
        <v>250</v>
      </c>
      <c r="I112" s="4">
        <v>333</v>
      </c>
      <c r="J112" s="5">
        <v>400</v>
      </c>
      <c r="K112" s="3">
        <v>12769</v>
      </c>
      <c r="L112" s="5">
        <v>73.386285342529078</v>
      </c>
      <c r="M112" s="8">
        <v>1.5746098349890107E-2</v>
      </c>
      <c r="N112" s="3">
        <v>20.420000000000002</v>
      </c>
      <c r="O112" s="5">
        <v>46.143119331178525</v>
      </c>
      <c r="P112" s="3">
        <v>0.15</v>
      </c>
      <c r="Q112" s="12">
        <f t="shared" si="3"/>
        <v>2.3071559665589262E-4</v>
      </c>
      <c r="U112" s="3">
        <f>$V$2*($V$3*$F112+$V$4*$B112^$V$5*$M112^$V$6)*$Q112^$V$7</f>
        <v>0.1067256111916282</v>
      </c>
      <c r="V112" s="3">
        <f t="shared" si="4"/>
        <v>0.71150407461085463</v>
      </c>
      <c r="X112" s="3">
        <f>$Y$2*$B112^$Y$3*$Q112^$Y$4*($Y$5*$M112^$Y$6+$Y$7)</f>
        <v>0.10438015899408666</v>
      </c>
      <c r="Y112" s="3">
        <f t="shared" si="5"/>
        <v>0.69586772662724439</v>
      </c>
      <c r="AA112" s="3"/>
      <c r="AB112" s="3"/>
    </row>
    <row r="113" spans="1:28" x14ac:dyDescent="0.3">
      <c r="B113" s="4">
        <v>16</v>
      </c>
      <c r="C113" s="5">
        <v>2</v>
      </c>
      <c r="D113" s="4">
        <v>168</v>
      </c>
      <c r="E113" s="3">
        <v>3.2689999999999997</v>
      </c>
      <c r="F113" s="4">
        <v>25</v>
      </c>
      <c r="G113" s="4">
        <v>33</v>
      </c>
      <c r="H113" s="1">
        <v>250</v>
      </c>
      <c r="I113" s="4">
        <v>333</v>
      </c>
      <c r="J113" s="5">
        <v>400</v>
      </c>
      <c r="K113" s="3">
        <v>12769</v>
      </c>
      <c r="L113" s="5">
        <v>73.386285342529078</v>
      </c>
      <c r="M113" s="8">
        <v>1.5746098349890107E-2</v>
      </c>
      <c r="N113" s="3">
        <v>23.34</v>
      </c>
      <c r="O113" s="5">
        <v>83.250300076909014</v>
      </c>
      <c r="P113" s="3">
        <v>0.18</v>
      </c>
      <c r="Q113" s="12">
        <f t="shared" si="3"/>
        <v>4.1625150038454507E-4</v>
      </c>
      <c r="U113" s="3">
        <f>$V$2*($V$3*$F113+$V$4*$B113^$V$5*$M113^$V$6)*$Q113^$V$7</f>
        <v>0.15360052698610233</v>
      </c>
      <c r="V113" s="3">
        <f t="shared" si="4"/>
        <v>0.85333626103390181</v>
      </c>
      <c r="X113" s="3">
        <f>$Y$2*$B113^$Y$3*$Q113^$Y$4*($Y$5*$M113^$Y$6+$Y$7)</f>
        <v>0.15120323277073514</v>
      </c>
      <c r="Y113" s="3">
        <f t="shared" si="5"/>
        <v>0.84001795983741745</v>
      </c>
      <c r="AA113" s="3"/>
      <c r="AB113" s="3"/>
    </row>
    <row r="114" spans="1:28" x14ac:dyDescent="0.3">
      <c r="B114" s="4">
        <v>16</v>
      </c>
      <c r="C114" s="5">
        <v>2</v>
      </c>
      <c r="D114" s="4">
        <v>168</v>
      </c>
      <c r="E114" s="3">
        <v>3.2689999999999997</v>
      </c>
      <c r="F114" s="4">
        <v>25</v>
      </c>
      <c r="G114" s="4">
        <v>33</v>
      </c>
      <c r="H114" s="1">
        <v>250</v>
      </c>
      <c r="I114" s="4">
        <v>333</v>
      </c>
      <c r="J114" s="5">
        <v>400</v>
      </c>
      <c r="K114" s="3">
        <v>12769</v>
      </c>
      <c r="L114" s="5">
        <v>73.386285342529078</v>
      </c>
      <c r="M114" s="8">
        <v>1.5746098349890107E-2</v>
      </c>
      <c r="N114" s="3">
        <v>26.26</v>
      </c>
      <c r="O114" s="5">
        <v>122.67593514835909</v>
      </c>
      <c r="P114" s="3">
        <v>0.18</v>
      </c>
      <c r="Q114" s="12">
        <f t="shared" si="3"/>
        <v>6.1337967574179547E-4</v>
      </c>
      <c r="U114" s="3">
        <f>$V$2*($V$3*$F114+$V$4*$B114^$V$5*$M114^$V$6)*$Q114^$V$7</f>
        <v>0.19510985141694789</v>
      </c>
      <c r="V114" s="3">
        <f t="shared" si="4"/>
        <v>1.0839436189830438</v>
      </c>
      <c r="X114" s="3">
        <f>$Y$2*$B114^$Y$3*$Q114^$Y$4*($Y$5*$M114^$Y$6+$Y$7)</f>
        <v>0.19288554316725148</v>
      </c>
      <c r="Y114" s="3">
        <f t="shared" si="5"/>
        <v>1.071586350929175</v>
      </c>
      <c r="AA114" s="3"/>
      <c r="AB114" s="3"/>
    </row>
    <row r="115" spans="1:28" x14ac:dyDescent="0.3">
      <c r="B115" s="4">
        <v>16</v>
      </c>
      <c r="C115" s="5">
        <v>2</v>
      </c>
      <c r="D115" s="4">
        <v>168</v>
      </c>
      <c r="E115" s="3">
        <v>3.2689999999999997</v>
      </c>
      <c r="F115" s="4">
        <v>25</v>
      </c>
      <c r="G115" s="4">
        <v>33</v>
      </c>
      <c r="H115" s="1">
        <v>250</v>
      </c>
      <c r="I115" s="4">
        <v>333</v>
      </c>
      <c r="J115" s="5">
        <v>400</v>
      </c>
      <c r="K115" s="3">
        <v>12769</v>
      </c>
      <c r="L115" s="5">
        <v>73.386285342529078</v>
      </c>
      <c r="M115" s="8">
        <v>1.5746098349890107E-2</v>
      </c>
      <c r="N115" s="3">
        <v>29.175000000000001</v>
      </c>
      <c r="O115" s="5">
        <v>162.03406057071425</v>
      </c>
      <c r="P115" s="3">
        <v>0.25</v>
      </c>
      <c r="Q115" s="12">
        <f t="shared" si="3"/>
        <v>8.1017030285357125E-4</v>
      </c>
      <c r="U115" s="3">
        <f>$V$2*($V$3*$F115+$V$4*$B115^$V$5*$M115^$V$6)*$Q115^$V$7</f>
        <v>0.23165504306845591</v>
      </c>
      <c r="V115" s="3">
        <f t="shared" si="4"/>
        <v>0.92662017227382365</v>
      </c>
      <c r="X115" s="3">
        <f>$Y$2*$B115^$Y$3*$Q115^$Y$4*($Y$5*$M115^$Y$6+$Y$7)</f>
        <v>0.22971616408421336</v>
      </c>
      <c r="Y115" s="3">
        <f t="shared" si="5"/>
        <v>0.91886465633685344</v>
      </c>
      <c r="AA115" s="3"/>
      <c r="AB115" s="3"/>
    </row>
    <row r="116" spans="1:28" x14ac:dyDescent="0.3">
      <c r="B116" s="4">
        <v>16</v>
      </c>
      <c r="C116" s="5">
        <v>2</v>
      </c>
      <c r="D116" s="4">
        <v>168</v>
      </c>
      <c r="E116" s="3">
        <v>3.2689999999999997</v>
      </c>
      <c r="F116" s="4">
        <v>25</v>
      </c>
      <c r="G116" s="4">
        <v>33</v>
      </c>
      <c r="H116" s="1">
        <v>250</v>
      </c>
      <c r="I116" s="4">
        <v>333</v>
      </c>
      <c r="J116" s="5">
        <v>400</v>
      </c>
      <c r="K116" s="3">
        <v>12769</v>
      </c>
      <c r="L116" s="5">
        <v>73.386285342529078</v>
      </c>
      <c r="M116" s="8">
        <v>1.5746098349890107E-2</v>
      </c>
      <c r="N116" s="3">
        <v>32.090000000000003</v>
      </c>
      <c r="O116" s="5">
        <v>201.3921859930694</v>
      </c>
      <c r="P116" s="3">
        <v>0.28000000000000003</v>
      </c>
      <c r="Q116" s="12">
        <f t="shared" si="3"/>
        <v>1.006960929965347E-3</v>
      </c>
      <c r="U116" s="3">
        <f>$V$2*($V$3*$F116+$V$4*$B116^$V$5*$M116^$V$6)*$Q116^$V$7</f>
        <v>0.26491646816940401</v>
      </c>
      <c r="V116" s="3">
        <f t="shared" si="4"/>
        <v>0.94613024346215713</v>
      </c>
      <c r="X116" s="3">
        <f>$Y$2*$B116^$Y$3*$Q116^$Y$4*($Y$5*$M116^$Y$6+$Y$7)</f>
        <v>0.26332831020345865</v>
      </c>
      <c r="Y116" s="3">
        <f t="shared" si="5"/>
        <v>0.94045825072663791</v>
      </c>
      <c r="AA116" s="3"/>
      <c r="AB116" s="3"/>
    </row>
    <row r="117" spans="1:28" x14ac:dyDescent="0.3">
      <c r="B117" s="4">
        <v>16</v>
      </c>
      <c r="C117" s="5">
        <v>2</v>
      </c>
      <c r="D117" s="4">
        <v>168</v>
      </c>
      <c r="E117" s="3">
        <v>3.2689999999999997</v>
      </c>
      <c r="F117" s="4">
        <v>25</v>
      </c>
      <c r="G117" s="4">
        <v>33</v>
      </c>
      <c r="H117" s="1">
        <v>250</v>
      </c>
      <c r="I117" s="4">
        <v>333</v>
      </c>
      <c r="J117" s="5">
        <v>400</v>
      </c>
      <c r="K117" s="3">
        <v>12769</v>
      </c>
      <c r="L117" s="5">
        <v>73.386285342529078</v>
      </c>
      <c r="M117" s="8">
        <v>1.5746098349890107E-2</v>
      </c>
      <c r="N117" s="3">
        <v>35.01</v>
      </c>
      <c r="O117" s="5">
        <v>240.81782106451948</v>
      </c>
      <c r="P117" s="3">
        <v>0.33</v>
      </c>
      <c r="Q117" s="12">
        <f t="shared" si="3"/>
        <v>1.2040891053225974E-3</v>
      </c>
      <c r="U117" s="3">
        <f>$V$2*($V$3*$F117+$V$4*$B117^$V$5*$M117^$V$6)*$Q117^$V$7</f>
        <v>0.29581251411645676</v>
      </c>
      <c r="V117" s="3">
        <f t="shared" si="4"/>
        <v>0.89640155792865683</v>
      </c>
      <c r="X117" s="3">
        <f>$Y$2*$B117^$Y$3*$Q117^$Y$4*($Y$5*$M117^$Y$6+$Y$7)</f>
        <v>0.29461797788409488</v>
      </c>
      <c r="Y117" s="3">
        <f t="shared" si="5"/>
        <v>0.89278175116392389</v>
      </c>
      <c r="AA117" s="3"/>
      <c r="AB117" s="3"/>
    </row>
    <row r="118" spans="1:28" x14ac:dyDescent="0.3">
      <c r="B118" s="4">
        <v>16</v>
      </c>
      <c r="C118" s="5">
        <v>2</v>
      </c>
      <c r="D118" s="4">
        <v>168</v>
      </c>
      <c r="E118" s="3">
        <v>3.2689999999999997</v>
      </c>
      <c r="F118" s="4">
        <v>25</v>
      </c>
      <c r="G118" s="4">
        <v>33</v>
      </c>
      <c r="H118" s="1">
        <v>250</v>
      </c>
      <c r="I118" s="4">
        <v>333</v>
      </c>
      <c r="J118" s="5">
        <v>400</v>
      </c>
      <c r="K118" s="3">
        <v>12769</v>
      </c>
      <c r="L118" s="5">
        <v>73.386285342529078</v>
      </c>
      <c r="M118" s="8">
        <v>1.5746098349890107E-2</v>
      </c>
      <c r="N118" s="3">
        <v>37.93</v>
      </c>
      <c r="O118" s="5">
        <v>280.24345613596955</v>
      </c>
      <c r="P118" s="3">
        <v>0.38</v>
      </c>
      <c r="Q118" s="12">
        <f t="shared" si="3"/>
        <v>1.4012172806798478E-3</v>
      </c>
      <c r="U118" s="3">
        <f>$V$2*($V$3*$F118+$V$4*$B118^$V$5*$M118^$V$6)*$Q118^$V$7</f>
        <v>0.32482096614990652</v>
      </c>
      <c r="V118" s="3">
        <f t="shared" si="4"/>
        <v>0.8547920161839645</v>
      </c>
      <c r="X118" s="3">
        <f>$Y$2*$B118^$Y$3*$Q118^$Y$4*($Y$5*$M118^$Y$6+$Y$7)</f>
        <v>0.32404928764612906</v>
      </c>
      <c r="Y118" s="3">
        <f t="shared" si="5"/>
        <v>0.85276128327928702</v>
      </c>
      <c r="AA118" s="3"/>
      <c r="AB118" s="3"/>
    </row>
    <row r="119" spans="1:28" x14ac:dyDescent="0.3">
      <c r="B119" s="4">
        <v>16</v>
      </c>
      <c r="C119" s="5">
        <v>2</v>
      </c>
      <c r="D119" s="4">
        <v>168</v>
      </c>
      <c r="E119" s="3">
        <v>3.2689999999999997</v>
      </c>
      <c r="F119" s="4">
        <v>25</v>
      </c>
      <c r="G119" s="4">
        <v>33</v>
      </c>
      <c r="H119" s="1">
        <v>250</v>
      </c>
      <c r="I119" s="4">
        <v>333</v>
      </c>
      <c r="J119" s="5">
        <v>400</v>
      </c>
      <c r="K119" s="3">
        <v>12769</v>
      </c>
      <c r="L119" s="5">
        <v>73.386285342529078</v>
      </c>
      <c r="M119" s="8">
        <v>1.5746098349890107E-2</v>
      </c>
      <c r="N119" s="3">
        <v>40.840000000000003</v>
      </c>
      <c r="O119" s="5">
        <v>319.53407190922991</v>
      </c>
      <c r="P119" s="3">
        <v>0.43</v>
      </c>
      <c r="Q119" s="12">
        <f t="shared" si="3"/>
        <v>1.5976703595461496E-3</v>
      </c>
      <c r="U119" s="3">
        <f>$V$2*($V$3*$F119+$V$4*$B119^$V$5*$M119^$V$6)*$Q119^$V$7</f>
        <v>0.35221006186183812</v>
      </c>
      <c r="V119" s="3">
        <f t="shared" si="4"/>
        <v>0.8190931671205538</v>
      </c>
      <c r="X119" s="3">
        <f>$Y$2*$B119^$Y$3*$Q119^$Y$4*($Y$5*$M119^$Y$6+$Y$7)</f>
        <v>0.35188080315931164</v>
      </c>
      <c r="Y119" s="3">
        <f t="shared" si="5"/>
        <v>0.81832744920770151</v>
      </c>
      <c r="AA119" s="3"/>
      <c r="AB119" s="3"/>
    </row>
    <row r="120" spans="1:28" x14ac:dyDescent="0.3">
      <c r="A120" s="1" t="s">
        <v>29</v>
      </c>
      <c r="B120" s="4">
        <v>16</v>
      </c>
      <c r="C120" s="5">
        <v>3</v>
      </c>
      <c r="D120" s="4">
        <v>76</v>
      </c>
      <c r="E120" s="3">
        <v>3.2689999999999997</v>
      </c>
      <c r="F120" s="4">
        <v>25</v>
      </c>
      <c r="G120" s="4">
        <v>33</v>
      </c>
      <c r="H120" s="1">
        <v>250</v>
      </c>
      <c r="I120" s="4">
        <v>333</v>
      </c>
      <c r="J120" s="5">
        <v>600</v>
      </c>
      <c r="K120" s="3">
        <v>28250</v>
      </c>
      <c r="L120" s="5">
        <v>87.114505405349817</v>
      </c>
      <c r="M120" s="8">
        <v>2.1238938053097345E-2</v>
      </c>
      <c r="N120" s="3">
        <v>37.93</v>
      </c>
      <c r="O120" s="5">
        <v>142.62332221143583</v>
      </c>
      <c r="P120" s="3">
        <v>0.15</v>
      </c>
      <c r="Q120" s="12">
        <f t="shared" si="3"/>
        <v>7.1311661105717922E-4</v>
      </c>
      <c r="U120" s="3">
        <f>$V$2*($V$3*$F120+$V$4*$B120^$V$5*$M120^$V$6)*$Q120^$V$7</f>
        <v>0.18896869999146015</v>
      </c>
      <c r="V120" s="3">
        <f t="shared" si="4"/>
        <v>1.259791333276401</v>
      </c>
      <c r="X120" s="3">
        <f>$Y$2*$B120^$Y$3*$Q120^$Y$4*($Y$5*$M120^$Y$6+$Y$7)</f>
        <v>0.18552456705375503</v>
      </c>
      <c r="Y120" s="3">
        <f t="shared" si="5"/>
        <v>1.2368304470250335</v>
      </c>
      <c r="AA120" s="3"/>
      <c r="AB120" s="3"/>
    </row>
    <row r="121" spans="1:28" x14ac:dyDescent="0.3">
      <c r="B121" s="4">
        <v>16</v>
      </c>
      <c r="C121" s="5">
        <v>3</v>
      </c>
      <c r="D121" s="4">
        <v>76</v>
      </c>
      <c r="E121" s="3">
        <v>3.2689999999999997</v>
      </c>
      <c r="F121" s="4">
        <v>25</v>
      </c>
      <c r="G121" s="4">
        <v>33</v>
      </c>
      <c r="H121" s="1">
        <v>250</v>
      </c>
      <c r="I121" s="4">
        <v>333</v>
      </c>
      <c r="J121" s="5">
        <v>600</v>
      </c>
      <c r="K121" s="3">
        <v>28250</v>
      </c>
      <c r="L121" s="5">
        <v>87.114505405349817</v>
      </c>
      <c r="M121" s="8">
        <v>2.1238938053097345E-2</v>
      </c>
      <c r="N121" s="3">
        <v>40.840000000000003</v>
      </c>
      <c r="O121" s="5">
        <v>167.2364517510201</v>
      </c>
      <c r="P121" s="3">
        <v>0.18</v>
      </c>
      <c r="Q121" s="12">
        <f t="shared" si="3"/>
        <v>8.3618225875510045E-4</v>
      </c>
      <c r="U121" s="3">
        <f>$V$2*($V$3*$F121+$V$4*$B121^$V$5*$M121^$V$6)*$Q121^$V$7</f>
        <v>0.20847284813155398</v>
      </c>
      <c r="V121" s="3">
        <f t="shared" si="4"/>
        <v>1.1581824896197443</v>
      </c>
      <c r="X121" s="3">
        <f>$Y$2*$B121^$Y$3*$Q121^$Y$4*($Y$5*$M121^$Y$6+$Y$7)</f>
        <v>0.2050319751793391</v>
      </c>
      <c r="Y121" s="3">
        <f t="shared" si="5"/>
        <v>1.1390665287741062</v>
      </c>
      <c r="AA121" s="3"/>
      <c r="AB121" s="3"/>
    </row>
    <row r="122" spans="1:28" x14ac:dyDescent="0.3">
      <c r="B122" s="4">
        <v>16</v>
      </c>
      <c r="C122" s="5">
        <v>3</v>
      </c>
      <c r="D122" s="4">
        <v>76</v>
      </c>
      <c r="E122" s="3">
        <v>3.2689999999999997</v>
      </c>
      <c r="F122" s="4">
        <v>25</v>
      </c>
      <c r="G122" s="4">
        <v>33</v>
      </c>
      <c r="H122" s="1">
        <v>250</v>
      </c>
      <c r="I122" s="4">
        <v>333</v>
      </c>
      <c r="J122" s="5">
        <v>600</v>
      </c>
      <c r="K122" s="3">
        <v>28250</v>
      </c>
      <c r="L122" s="5">
        <v>87.114505405349817</v>
      </c>
      <c r="M122" s="8">
        <v>2.1238938053097345E-2</v>
      </c>
      <c r="N122" s="3">
        <v>43.76</v>
      </c>
      <c r="O122" s="5">
        <v>191.93416249177125</v>
      </c>
      <c r="P122" s="3">
        <v>0.18</v>
      </c>
      <c r="Q122" s="12">
        <f t="shared" si="3"/>
        <v>9.5967081245885619E-4</v>
      </c>
      <c r="U122" s="3">
        <f>$V$2*($V$3*$F122+$V$4*$B122^$V$5*$M122^$V$6)*$Q122^$V$7</f>
        <v>0.22696519575802393</v>
      </c>
      <c r="V122" s="3">
        <f t="shared" si="4"/>
        <v>1.2609177542112442</v>
      </c>
      <c r="X122" s="3">
        <f>$Y$2*$B122^$Y$3*$Q122^$Y$4*($Y$5*$M122^$Y$6+$Y$7)</f>
        <v>0.22355757775846263</v>
      </c>
      <c r="Y122" s="3">
        <f t="shared" si="5"/>
        <v>1.2419865431025703</v>
      </c>
      <c r="AA122" s="3"/>
      <c r="AB122" s="3"/>
    </row>
    <row r="123" spans="1:28" x14ac:dyDescent="0.3">
      <c r="B123" s="4">
        <v>16</v>
      </c>
      <c r="C123" s="5">
        <v>3</v>
      </c>
      <c r="D123" s="4">
        <v>76</v>
      </c>
      <c r="E123" s="3">
        <v>3.2689999999999997</v>
      </c>
      <c r="F123" s="4">
        <v>25</v>
      </c>
      <c r="G123" s="4">
        <v>33</v>
      </c>
      <c r="H123" s="1">
        <v>250</v>
      </c>
      <c r="I123" s="4">
        <v>333</v>
      </c>
      <c r="J123" s="5">
        <v>600</v>
      </c>
      <c r="K123" s="3">
        <v>28250</v>
      </c>
      <c r="L123" s="5">
        <v>87.114505405349817</v>
      </c>
      <c r="M123" s="8">
        <v>2.1238938053097345E-2</v>
      </c>
      <c r="N123" s="3">
        <v>46.68</v>
      </c>
      <c r="O123" s="5">
        <v>216.63187323252237</v>
      </c>
      <c r="P123" s="3">
        <v>0.2</v>
      </c>
      <c r="Q123" s="12">
        <f t="shared" si="3"/>
        <v>1.0831593661626119E-3</v>
      </c>
      <c r="U123" s="3">
        <f>$V$2*($V$3*$F123+$V$4*$B123^$V$5*$M123^$V$6)*$Q123^$V$7</f>
        <v>0.24456539154429413</v>
      </c>
      <c r="V123" s="3">
        <f t="shared" si="4"/>
        <v>1.2228269577214705</v>
      </c>
      <c r="X123" s="3">
        <f>$Y$2*$B123^$Y$3*$Q123^$Y$4*($Y$5*$M123^$Y$6+$Y$7)</f>
        <v>0.24121449475219592</v>
      </c>
      <c r="Y123" s="3">
        <f t="shared" si="5"/>
        <v>1.2060724737609796</v>
      </c>
      <c r="AA123" s="3"/>
      <c r="AB123" s="3"/>
    </row>
    <row r="124" spans="1:28" x14ac:dyDescent="0.3">
      <c r="B124" s="4">
        <v>16</v>
      </c>
      <c r="C124" s="5">
        <v>3</v>
      </c>
      <c r="D124" s="4">
        <v>76</v>
      </c>
      <c r="E124" s="3">
        <v>3.2689999999999997</v>
      </c>
      <c r="F124" s="4">
        <v>25</v>
      </c>
      <c r="G124" s="4">
        <v>33</v>
      </c>
      <c r="H124" s="1">
        <v>250</v>
      </c>
      <c r="I124" s="4">
        <v>333</v>
      </c>
      <c r="J124" s="5">
        <v>600</v>
      </c>
      <c r="K124" s="3">
        <v>28250</v>
      </c>
      <c r="L124" s="5">
        <v>87.114505405349817</v>
      </c>
      <c r="M124" s="8">
        <v>2.1238938053097345E-2</v>
      </c>
      <c r="N124" s="3">
        <v>49.6</v>
      </c>
      <c r="O124" s="5">
        <v>241.32958397327369</v>
      </c>
      <c r="P124" s="3">
        <v>0.2</v>
      </c>
      <c r="Q124" s="12">
        <f t="shared" si="3"/>
        <v>1.2066479198663683E-3</v>
      </c>
      <c r="U124" s="3">
        <f>$V$2*($V$3*$F124+$V$4*$B124^$V$5*$M124^$V$6)*$Q124^$V$7</f>
        <v>0.26141170219763876</v>
      </c>
      <c r="V124" s="3">
        <f t="shared" si="4"/>
        <v>1.3070585109881938</v>
      </c>
      <c r="X124" s="3">
        <f>$Y$2*$B124^$Y$3*$Q124^$Y$4*($Y$5*$M124^$Y$6+$Y$7)</f>
        <v>0.25813636885381563</v>
      </c>
      <c r="Y124" s="3">
        <f t="shared" si="5"/>
        <v>1.2906818442690782</v>
      </c>
      <c r="AA124" s="3"/>
      <c r="AB124" s="3"/>
    </row>
    <row r="125" spans="1:28" x14ac:dyDescent="0.3">
      <c r="A125" s="1" t="s">
        <v>30</v>
      </c>
      <c r="B125" s="4">
        <v>16</v>
      </c>
      <c r="C125" s="5">
        <v>3</v>
      </c>
      <c r="D125" s="4">
        <v>76</v>
      </c>
      <c r="E125" s="3">
        <v>3.2689999999999997</v>
      </c>
      <c r="F125" s="4">
        <v>25</v>
      </c>
      <c r="G125" s="4">
        <v>33</v>
      </c>
      <c r="H125" s="1">
        <v>250</v>
      </c>
      <c r="I125" s="4">
        <v>333</v>
      </c>
      <c r="J125" s="5">
        <v>600</v>
      </c>
      <c r="K125" s="3">
        <v>28250</v>
      </c>
      <c r="L125" s="5">
        <v>87.114505405349817</v>
      </c>
      <c r="M125" s="8">
        <v>2.1238938053097345E-2</v>
      </c>
      <c r="N125" s="3">
        <v>40.840000000000003</v>
      </c>
      <c r="O125" s="5">
        <v>167.2364517510201</v>
      </c>
      <c r="P125" s="3">
        <v>0.15</v>
      </c>
      <c r="Q125" s="12">
        <f t="shared" si="3"/>
        <v>8.3618225875510045E-4</v>
      </c>
      <c r="U125" s="3">
        <f>$V$2*($V$3*$F125+$V$4*$B125^$V$5*$M125^$V$6)*$Q125^$V$7</f>
        <v>0.20847284813155398</v>
      </c>
      <c r="V125" s="3">
        <f t="shared" si="4"/>
        <v>1.3898189875436933</v>
      </c>
      <c r="X125" s="3">
        <f>$Y$2*$B125^$Y$3*$Q125^$Y$4*($Y$5*$M125^$Y$6+$Y$7)</f>
        <v>0.2050319751793391</v>
      </c>
      <c r="Y125" s="3">
        <f t="shared" si="5"/>
        <v>1.3668798345289275</v>
      </c>
      <c r="AA125" s="3"/>
      <c r="AB125" s="3"/>
    </row>
    <row r="126" spans="1:28" x14ac:dyDescent="0.3">
      <c r="B126" s="4">
        <v>16</v>
      </c>
      <c r="C126" s="5">
        <v>3</v>
      </c>
      <c r="D126" s="4">
        <v>76</v>
      </c>
      <c r="E126" s="3">
        <v>3.2689999999999997</v>
      </c>
      <c r="F126" s="4">
        <v>25</v>
      </c>
      <c r="G126" s="4">
        <v>33</v>
      </c>
      <c r="H126" s="1">
        <v>250</v>
      </c>
      <c r="I126" s="4">
        <v>333</v>
      </c>
      <c r="J126" s="5">
        <v>600</v>
      </c>
      <c r="K126" s="3">
        <v>28250</v>
      </c>
      <c r="L126" s="5">
        <v>87.114505405349817</v>
      </c>
      <c r="M126" s="8">
        <v>2.1238938053097345E-2</v>
      </c>
      <c r="N126" s="3">
        <v>43.76</v>
      </c>
      <c r="O126" s="5">
        <v>191.93416249177125</v>
      </c>
      <c r="P126" s="3">
        <v>0.18</v>
      </c>
      <c r="Q126" s="12">
        <f t="shared" si="3"/>
        <v>9.5967081245885619E-4</v>
      </c>
      <c r="U126" s="3">
        <f>$V$2*($V$3*$F126+$V$4*$B126^$V$5*$M126^$V$6)*$Q126^$V$7</f>
        <v>0.22696519575802393</v>
      </c>
      <c r="V126" s="3">
        <f t="shared" si="4"/>
        <v>1.2609177542112442</v>
      </c>
      <c r="X126" s="3">
        <f>$Y$2*$B126^$Y$3*$Q126^$Y$4*($Y$5*$M126^$Y$6+$Y$7)</f>
        <v>0.22355757775846263</v>
      </c>
      <c r="Y126" s="3">
        <f t="shared" si="5"/>
        <v>1.2419865431025703</v>
      </c>
      <c r="AA126" s="3"/>
      <c r="AB126" s="3"/>
    </row>
    <row r="127" spans="1:28" x14ac:dyDescent="0.3">
      <c r="B127" s="4">
        <v>16</v>
      </c>
      <c r="C127" s="5">
        <v>3</v>
      </c>
      <c r="D127" s="4">
        <v>76</v>
      </c>
      <c r="E127" s="3">
        <v>3.2689999999999997</v>
      </c>
      <c r="F127" s="4">
        <v>25</v>
      </c>
      <c r="G127" s="4">
        <v>33</v>
      </c>
      <c r="H127" s="1">
        <v>250</v>
      </c>
      <c r="I127" s="4">
        <v>333</v>
      </c>
      <c r="J127" s="5">
        <v>600</v>
      </c>
      <c r="K127" s="3">
        <v>28250</v>
      </c>
      <c r="L127" s="5">
        <v>87.114505405349817</v>
      </c>
      <c r="M127" s="8">
        <v>2.1238938053097345E-2</v>
      </c>
      <c r="N127" s="3">
        <v>46.68</v>
      </c>
      <c r="O127" s="5">
        <v>216.63187323252237</v>
      </c>
      <c r="P127" s="3">
        <v>0.2</v>
      </c>
      <c r="Q127" s="12">
        <f t="shared" si="3"/>
        <v>1.0831593661626119E-3</v>
      </c>
      <c r="U127" s="3">
        <f>$V$2*($V$3*$F127+$V$4*$B127^$V$5*$M127^$V$6)*$Q127^$V$7</f>
        <v>0.24456539154429413</v>
      </c>
      <c r="V127" s="3">
        <f t="shared" si="4"/>
        <v>1.2228269577214705</v>
      </c>
      <c r="X127" s="3">
        <f>$Y$2*$B127^$Y$3*$Q127^$Y$4*($Y$5*$M127^$Y$6+$Y$7)</f>
        <v>0.24121449475219592</v>
      </c>
      <c r="Y127" s="3">
        <f t="shared" si="5"/>
        <v>1.2060724737609796</v>
      </c>
      <c r="AA127" s="3"/>
      <c r="AB127" s="3"/>
    </row>
    <row r="128" spans="1:28" x14ac:dyDescent="0.3">
      <c r="B128" s="4">
        <v>16</v>
      </c>
      <c r="C128" s="5">
        <v>3</v>
      </c>
      <c r="D128" s="4">
        <v>76</v>
      </c>
      <c r="E128" s="3">
        <v>3.2689999999999997</v>
      </c>
      <c r="F128" s="4">
        <v>25</v>
      </c>
      <c r="G128" s="4">
        <v>33</v>
      </c>
      <c r="H128" s="1">
        <v>250</v>
      </c>
      <c r="I128" s="4">
        <v>333</v>
      </c>
      <c r="J128" s="5">
        <v>600</v>
      </c>
      <c r="K128" s="3">
        <v>28250</v>
      </c>
      <c r="L128" s="5">
        <v>87.114505405349817</v>
      </c>
      <c r="M128" s="8">
        <v>2.1238938053097345E-2</v>
      </c>
      <c r="N128" s="3">
        <v>49.6</v>
      </c>
      <c r="O128" s="5">
        <v>241.32958397327369</v>
      </c>
      <c r="P128" s="3">
        <v>0.2</v>
      </c>
      <c r="Q128" s="12">
        <f t="shared" si="3"/>
        <v>1.2066479198663683E-3</v>
      </c>
      <c r="U128" s="3">
        <f>$V$2*($V$3*$F128+$V$4*$B128^$V$5*$M128^$V$6)*$Q128^$V$7</f>
        <v>0.26141170219763876</v>
      </c>
      <c r="V128" s="3">
        <f t="shared" si="4"/>
        <v>1.3070585109881938</v>
      </c>
      <c r="X128" s="3">
        <f>$Y$2*$B128^$Y$3*$Q128^$Y$4*($Y$5*$M128^$Y$6+$Y$7)</f>
        <v>0.25813636885381563</v>
      </c>
      <c r="Y128" s="3">
        <f t="shared" si="5"/>
        <v>1.2906818442690782</v>
      </c>
      <c r="AA128" s="3"/>
      <c r="AB128" s="3"/>
    </row>
    <row r="129" spans="1:28" x14ac:dyDescent="0.3">
      <c r="A129" s="1" t="s">
        <v>31</v>
      </c>
      <c r="B129" s="4">
        <v>12</v>
      </c>
      <c r="C129" s="5">
        <v>2</v>
      </c>
      <c r="D129" s="4">
        <v>296</v>
      </c>
      <c r="E129" s="3">
        <v>3.2689999999999997</v>
      </c>
      <c r="F129" s="4">
        <v>25</v>
      </c>
      <c r="G129" s="4">
        <v>31</v>
      </c>
      <c r="H129" s="1">
        <v>400</v>
      </c>
      <c r="I129" s="4">
        <v>161</v>
      </c>
      <c r="J129" s="5">
        <v>220</v>
      </c>
      <c r="K129" s="3">
        <v>9646</v>
      </c>
      <c r="L129" s="5">
        <v>28.758860606294373</v>
      </c>
      <c r="M129" s="8">
        <v>1.1724791159986788E-2</v>
      </c>
      <c r="N129" s="3">
        <v>4.67</v>
      </c>
      <c r="O129" s="5">
        <v>0</v>
      </c>
      <c r="P129" s="3">
        <v>0.2</v>
      </c>
      <c r="Q129" s="12">
        <f t="shared" si="3"/>
        <v>0</v>
      </c>
      <c r="U129" s="3">
        <f>$V$2*($V$3*$F129+$V$4*$B129^$V$5*$M129^$V$6)*$Q129^$V$7</f>
        <v>0</v>
      </c>
      <c r="V129" s="3">
        <f t="shared" si="4"/>
        <v>0</v>
      </c>
      <c r="X129" s="3">
        <f>$Y$2*$B129^$Y$3*$Q129^$Y$4*($Y$5*$M129^$Y$6+$Y$7)</f>
        <v>0</v>
      </c>
      <c r="Y129" s="3">
        <f t="shared" si="5"/>
        <v>0</v>
      </c>
      <c r="AA129" s="3"/>
      <c r="AB129" s="3"/>
    </row>
    <row r="130" spans="1:28" x14ac:dyDescent="0.3">
      <c r="B130" s="4">
        <v>12</v>
      </c>
      <c r="C130" s="5">
        <v>2</v>
      </c>
      <c r="D130" s="4">
        <v>296</v>
      </c>
      <c r="E130" s="3">
        <v>3.2689999999999997</v>
      </c>
      <c r="F130" s="4">
        <v>25</v>
      </c>
      <c r="G130" s="4">
        <v>31</v>
      </c>
      <c r="H130" s="1">
        <v>400</v>
      </c>
      <c r="I130" s="4">
        <v>161</v>
      </c>
      <c r="J130" s="5">
        <v>220</v>
      </c>
      <c r="K130" s="3">
        <v>9646</v>
      </c>
      <c r="L130" s="5">
        <v>28.758860606294373</v>
      </c>
      <c r="M130" s="8">
        <v>1.1724791159986788E-2</v>
      </c>
      <c r="N130" s="3">
        <v>6.42</v>
      </c>
      <c r="O130" s="5">
        <v>93.874962481384216</v>
      </c>
      <c r="P130" s="3">
        <v>0.25</v>
      </c>
      <c r="Q130" s="12">
        <f t="shared" si="3"/>
        <v>4.6937481240692108E-4</v>
      </c>
      <c r="U130" s="3">
        <f>$V$2*($V$3*$F130+$V$4*$B130^$V$5*$M130^$V$6)*$Q130^$V$7</f>
        <v>0.15416526530007313</v>
      </c>
      <c r="V130" s="3">
        <f t="shared" si="4"/>
        <v>0.61666106120029252</v>
      </c>
      <c r="X130" s="3">
        <f>$Y$2*$B130^$Y$3*$Q130^$Y$4*($Y$5*$M130^$Y$6+$Y$7)</f>
        <v>0.15307091552800897</v>
      </c>
      <c r="Y130" s="3">
        <f t="shared" si="5"/>
        <v>0.61228366211203589</v>
      </c>
      <c r="AA130" s="3"/>
      <c r="AB130" s="3"/>
    </row>
    <row r="131" spans="1:28" x14ac:dyDescent="0.3">
      <c r="B131" s="4">
        <v>12</v>
      </c>
      <c r="C131" s="5">
        <v>2</v>
      </c>
      <c r="D131" s="4">
        <v>296</v>
      </c>
      <c r="E131" s="3">
        <v>3.2689999999999997</v>
      </c>
      <c r="F131" s="4">
        <v>25</v>
      </c>
      <c r="G131" s="4">
        <v>31</v>
      </c>
      <c r="H131" s="1">
        <v>400</v>
      </c>
      <c r="I131" s="4">
        <v>161</v>
      </c>
      <c r="J131" s="5">
        <v>220</v>
      </c>
      <c r="K131" s="3">
        <v>9646</v>
      </c>
      <c r="L131" s="5">
        <v>28.758860606294373</v>
      </c>
      <c r="M131" s="8">
        <v>1.1724791159986788E-2</v>
      </c>
      <c r="N131" s="3">
        <v>8.17</v>
      </c>
      <c r="O131" s="5">
        <v>202.08156648324484</v>
      </c>
      <c r="P131" s="3">
        <v>0.33</v>
      </c>
      <c r="Q131" s="12">
        <f t="shared" si="3"/>
        <v>1.0104078324162241E-3</v>
      </c>
      <c r="U131" s="3">
        <f>$V$2*($V$3*$F131+$V$4*$B131^$V$5*$M131^$V$6)*$Q131^$V$7</f>
        <v>0.24741914188280367</v>
      </c>
      <c r="V131" s="3">
        <f t="shared" si="4"/>
        <v>0.7497549754024353</v>
      </c>
      <c r="X131" s="3">
        <f>$Y$2*$B131^$Y$3*$Q131^$Y$4*($Y$5*$M131^$Y$6+$Y$7)</f>
        <v>0.24774345367716769</v>
      </c>
      <c r="Y131" s="3">
        <f t="shared" si="5"/>
        <v>0.75073773841565961</v>
      </c>
      <c r="AA131" s="3"/>
      <c r="AB131" s="3"/>
    </row>
    <row r="132" spans="1:28" x14ac:dyDescent="0.3">
      <c r="A132" s="1" t="s">
        <v>32</v>
      </c>
      <c r="B132" s="4">
        <v>12</v>
      </c>
      <c r="C132" s="5">
        <v>2</v>
      </c>
      <c r="D132" s="4">
        <v>296</v>
      </c>
      <c r="E132" s="3">
        <v>3.2689999999999997</v>
      </c>
      <c r="F132" s="4">
        <v>25</v>
      </c>
      <c r="G132" s="4">
        <v>31</v>
      </c>
      <c r="H132" s="1">
        <v>400</v>
      </c>
      <c r="I132" s="4">
        <v>161</v>
      </c>
      <c r="J132" s="5">
        <v>220</v>
      </c>
      <c r="K132" s="3">
        <v>9646</v>
      </c>
      <c r="L132" s="5">
        <v>28.758860606294373</v>
      </c>
      <c r="M132" s="8">
        <v>1.1724791159986788E-2</v>
      </c>
      <c r="N132" s="3">
        <v>6.42</v>
      </c>
      <c r="O132" s="5">
        <v>93.874962481384216</v>
      </c>
      <c r="P132" s="3">
        <v>0.23</v>
      </c>
      <c r="Q132" s="12">
        <f t="shared" si="3"/>
        <v>4.6937481240692108E-4</v>
      </c>
      <c r="U132" s="3">
        <f>$V$2*($V$3*$F132+$V$4*$B132^$V$5*$M132^$V$6)*$Q132^$V$7</f>
        <v>0.15416526530007313</v>
      </c>
      <c r="V132" s="3">
        <f t="shared" si="4"/>
        <v>0.67028376217423091</v>
      </c>
      <c r="X132" s="3">
        <f>$Y$2*$B132^$Y$3*$Q132^$Y$4*($Y$5*$M132^$Y$6+$Y$7)</f>
        <v>0.15307091552800897</v>
      </c>
      <c r="Y132" s="3">
        <f t="shared" si="5"/>
        <v>0.66552571968699548</v>
      </c>
      <c r="AA132" s="3"/>
      <c r="AB132" s="3"/>
    </row>
    <row r="133" spans="1:28" x14ac:dyDescent="0.3">
      <c r="B133" s="4">
        <v>12</v>
      </c>
      <c r="C133" s="5">
        <v>2</v>
      </c>
      <c r="D133" s="4">
        <v>296</v>
      </c>
      <c r="E133" s="3">
        <v>3.2689999999999997</v>
      </c>
      <c r="F133" s="4">
        <v>25</v>
      </c>
      <c r="G133" s="4">
        <v>31</v>
      </c>
      <c r="H133" s="1">
        <v>400</v>
      </c>
      <c r="I133" s="4">
        <v>161</v>
      </c>
      <c r="J133" s="5">
        <v>220</v>
      </c>
      <c r="K133" s="3">
        <v>9646</v>
      </c>
      <c r="L133" s="5">
        <v>28.758860606294373</v>
      </c>
      <c r="M133" s="8">
        <v>1.1724791159986788E-2</v>
      </c>
      <c r="N133" s="3">
        <v>8.17</v>
      </c>
      <c r="O133" s="5">
        <v>202.08156648324484</v>
      </c>
      <c r="P133" s="3">
        <v>0.28000000000000003</v>
      </c>
      <c r="Q133" s="12">
        <f t="shared" si="3"/>
        <v>1.0104078324162241E-3</v>
      </c>
      <c r="U133" s="3">
        <f>$V$2*($V$3*$F133+$V$4*$B133^$V$5*$M133^$V$6)*$Q133^$V$7</f>
        <v>0.24741914188280367</v>
      </c>
      <c r="V133" s="3">
        <f t="shared" si="4"/>
        <v>0.88363979243858448</v>
      </c>
      <c r="X133" s="3">
        <f>$Y$2*$B133^$Y$3*$Q133^$Y$4*($Y$5*$M133^$Y$6+$Y$7)</f>
        <v>0.24774345367716769</v>
      </c>
      <c r="Y133" s="3">
        <f t="shared" si="5"/>
        <v>0.8847980488470274</v>
      </c>
      <c r="AA133" s="3"/>
      <c r="AB133" s="3"/>
    </row>
    <row r="134" spans="1:28" x14ac:dyDescent="0.3">
      <c r="A134" s="1" t="s">
        <v>33</v>
      </c>
      <c r="B134" s="4">
        <v>12</v>
      </c>
      <c r="C134" s="5">
        <v>3</v>
      </c>
      <c r="D134" s="4">
        <v>142</v>
      </c>
      <c r="E134" s="3">
        <v>3.2689999999999997</v>
      </c>
      <c r="F134" s="4">
        <v>25</v>
      </c>
      <c r="G134" s="4">
        <v>31</v>
      </c>
      <c r="H134" s="1">
        <v>400</v>
      </c>
      <c r="I134" s="4">
        <v>161</v>
      </c>
      <c r="J134" s="5">
        <v>330</v>
      </c>
      <c r="K134" s="3">
        <v>9646</v>
      </c>
      <c r="L134" s="5">
        <v>34.253185076505957</v>
      </c>
      <c r="M134" s="8">
        <v>1.1724791159986788E-2</v>
      </c>
      <c r="N134" s="3">
        <v>8.17</v>
      </c>
      <c r="O134" s="5">
        <v>38.892874431568629</v>
      </c>
      <c r="P134" s="3">
        <v>0.18</v>
      </c>
      <c r="Q134" s="12">
        <f t="shared" si="3"/>
        <v>1.9446437215784313E-4</v>
      </c>
      <c r="U134" s="3">
        <f>$V$2*($V$3*$F134+$V$4*$B134^$V$5*$M134^$V$6)*$Q134^$V$7</f>
        <v>8.9510325855280445E-2</v>
      </c>
      <c r="V134" s="3">
        <f t="shared" si="4"/>
        <v>0.49727958808489137</v>
      </c>
      <c r="X134" s="3">
        <f>$Y$2*$B134^$Y$3*$Q134^$Y$4*($Y$5*$M134^$Y$6+$Y$7)</f>
        <v>8.8017657523047396E-2</v>
      </c>
      <c r="Y134" s="3">
        <f t="shared" si="5"/>
        <v>0.48898698623915221</v>
      </c>
      <c r="AA134" s="3"/>
      <c r="AB134" s="3"/>
    </row>
    <row r="135" spans="1:28" x14ac:dyDescent="0.3">
      <c r="B135" s="4">
        <v>12</v>
      </c>
      <c r="C135" s="5">
        <v>3</v>
      </c>
      <c r="D135" s="4">
        <v>142</v>
      </c>
      <c r="E135" s="3">
        <v>3.2689999999999997</v>
      </c>
      <c r="F135" s="4">
        <v>25</v>
      </c>
      <c r="G135" s="4">
        <v>31</v>
      </c>
      <c r="H135" s="1">
        <v>400</v>
      </c>
      <c r="I135" s="4">
        <v>161</v>
      </c>
      <c r="J135" s="5">
        <v>330</v>
      </c>
      <c r="K135" s="3">
        <v>9646</v>
      </c>
      <c r="L135" s="5">
        <v>34.253185076505957</v>
      </c>
      <c r="M135" s="8">
        <v>1.1724791159986788E-2</v>
      </c>
      <c r="N135" s="3">
        <v>9.92</v>
      </c>
      <c r="O135" s="5">
        <v>112.14474023386578</v>
      </c>
      <c r="P135" s="3">
        <v>0.23</v>
      </c>
      <c r="Q135" s="12">
        <f t="shared" si="3"/>
        <v>5.6072370116932893E-4</v>
      </c>
      <c r="U135" s="3">
        <f>$V$2*($V$3*$F135+$V$4*$B135^$V$5*$M135^$V$6)*$Q135^$V$7</f>
        <v>0.17204296143091055</v>
      </c>
      <c r="V135" s="3">
        <f t="shared" si="4"/>
        <v>0.74801287578656761</v>
      </c>
      <c r="X135" s="3">
        <f>$Y$2*$B135^$Y$3*$Q135^$Y$4*($Y$5*$M135^$Y$6+$Y$7)</f>
        <v>0.17115617613708456</v>
      </c>
      <c r="Y135" s="3">
        <f t="shared" si="5"/>
        <v>0.74415728755254151</v>
      </c>
      <c r="AA135" s="3"/>
      <c r="AB135" s="3"/>
    </row>
    <row r="136" spans="1:28" x14ac:dyDescent="0.3">
      <c r="B136" s="4">
        <v>12</v>
      </c>
      <c r="C136" s="5">
        <v>3</v>
      </c>
      <c r="D136" s="4">
        <v>142</v>
      </c>
      <c r="E136" s="3">
        <v>3.2689999999999997</v>
      </c>
      <c r="F136" s="4">
        <v>25</v>
      </c>
      <c r="G136" s="4">
        <v>31</v>
      </c>
      <c r="H136" s="1">
        <v>400</v>
      </c>
      <c r="I136" s="4">
        <v>161</v>
      </c>
      <c r="J136" s="5">
        <v>330</v>
      </c>
      <c r="K136" s="3">
        <v>9646</v>
      </c>
      <c r="L136" s="5">
        <v>34.253185076505957</v>
      </c>
      <c r="M136" s="8">
        <v>1.1724791159986788E-2</v>
      </c>
      <c r="N136" s="3">
        <v>11.67</v>
      </c>
      <c r="O136" s="5">
        <v>185.39660603616272</v>
      </c>
      <c r="P136" s="3">
        <v>0.25</v>
      </c>
      <c r="Q136" s="12">
        <f t="shared" si="3"/>
        <v>9.2698303018081362E-4</v>
      </c>
      <c r="U136" s="3">
        <f>$V$2*($V$3*$F136+$V$4*$B136^$V$5*$M136^$V$6)*$Q136^$V$7</f>
        <v>0.2346076236203086</v>
      </c>
      <c r="V136" s="3">
        <f t="shared" si="4"/>
        <v>0.93843049448123439</v>
      </c>
      <c r="X136" s="3">
        <f>$Y$2*$B136^$Y$3*$Q136^$Y$4*($Y$5*$M136^$Y$6+$Y$7)</f>
        <v>0.23469256833739294</v>
      </c>
      <c r="Y136" s="3">
        <f t="shared" si="5"/>
        <v>0.93877027334957175</v>
      </c>
      <c r="AA136" s="3"/>
      <c r="AB136" s="3"/>
    </row>
    <row r="137" spans="1:28" x14ac:dyDescent="0.3">
      <c r="A137" s="1" t="s">
        <v>34</v>
      </c>
      <c r="B137" s="4">
        <v>12</v>
      </c>
      <c r="C137" s="5">
        <v>3</v>
      </c>
      <c r="D137" s="4">
        <v>142</v>
      </c>
      <c r="E137" s="3">
        <v>3.2689999999999997</v>
      </c>
      <c r="F137" s="4">
        <v>25</v>
      </c>
      <c r="G137" s="4">
        <v>31</v>
      </c>
      <c r="H137" s="1">
        <v>400</v>
      </c>
      <c r="I137" s="4">
        <v>161</v>
      </c>
      <c r="J137" s="5">
        <v>330</v>
      </c>
      <c r="K137" s="3">
        <v>9646</v>
      </c>
      <c r="L137" s="5">
        <v>34.253185076505957</v>
      </c>
      <c r="M137" s="8">
        <v>1.1724791159986788E-2</v>
      </c>
      <c r="N137" s="3">
        <v>8.17</v>
      </c>
      <c r="O137" s="5">
        <v>38.892874431568629</v>
      </c>
      <c r="P137" s="3">
        <v>0.18</v>
      </c>
      <c r="Q137" s="12">
        <f t="shared" si="3"/>
        <v>1.9446437215784313E-4</v>
      </c>
      <c r="U137" s="3">
        <f>$V$2*($V$3*$F137+$V$4*$B137^$V$5*$M137^$V$6)*$Q137^$V$7</f>
        <v>8.9510325855280445E-2</v>
      </c>
      <c r="V137" s="3">
        <f t="shared" si="4"/>
        <v>0.49727958808489137</v>
      </c>
      <c r="X137" s="3">
        <f>$Y$2*$B137^$Y$3*$Q137^$Y$4*($Y$5*$M137^$Y$6+$Y$7)</f>
        <v>8.8017657523047396E-2</v>
      </c>
      <c r="Y137" s="3">
        <f t="shared" si="5"/>
        <v>0.48898698623915221</v>
      </c>
      <c r="AA137" s="3"/>
      <c r="AB137" s="3"/>
    </row>
    <row r="138" spans="1:28" x14ac:dyDescent="0.3">
      <c r="B138" s="4">
        <v>12</v>
      </c>
      <c r="C138" s="5">
        <v>3</v>
      </c>
      <c r="D138" s="4">
        <v>142</v>
      </c>
      <c r="E138" s="3">
        <v>3.2689999999999997</v>
      </c>
      <c r="F138" s="4">
        <v>25</v>
      </c>
      <c r="G138" s="4">
        <v>31</v>
      </c>
      <c r="H138" s="1">
        <v>400</v>
      </c>
      <c r="I138" s="4">
        <v>161</v>
      </c>
      <c r="J138" s="5">
        <v>330</v>
      </c>
      <c r="K138" s="3">
        <v>9646</v>
      </c>
      <c r="L138" s="5">
        <v>34.253185076505957</v>
      </c>
      <c r="M138" s="8">
        <v>1.1724791159986788E-2</v>
      </c>
      <c r="N138" s="3">
        <v>9.92</v>
      </c>
      <c r="O138" s="5">
        <v>112.14474023386578</v>
      </c>
      <c r="P138" s="3">
        <v>0.23</v>
      </c>
      <c r="Q138" s="12">
        <f t="shared" si="3"/>
        <v>5.6072370116932893E-4</v>
      </c>
      <c r="U138" s="3">
        <f>$V$2*($V$3*$F138+$V$4*$B138^$V$5*$M138^$V$6)*$Q138^$V$7</f>
        <v>0.17204296143091055</v>
      </c>
      <c r="V138" s="3">
        <f t="shared" si="4"/>
        <v>0.74801287578656761</v>
      </c>
      <c r="X138" s="3">
        <f>$Y$2*$B138^$Y$3*$Q138^$Y$4*($Y$5*$M138^$Y$6+$Y$7)</f>
        <v>0.17115617613708456</v>
      </c>
      <c r="Y138" s="3">
        <f t="shared" si="5"/>
        <v>0.74415728755254151</v>
      </c>
      <c r="AA138" s="3"/>
      <c r="AB138" s="3"/>
    </row>
    <row r="139" spans="1:28" x14ac:dyDescent="0.3">
      <c r="B139" s="4">
        <v>12</v>
      </c>
      <c r="C139" s="5">
        <v>3</v>
      </c>
      <c r="D139" s="4">
        <v>142</v>
      </c>
      <c r="E139" s="3">
        <v>3.2689999999999997</v>
      </c>
      <c r="F139" s="4">
        <v>25</v>
      </c>
      <c r="G139" s="4">
        <v>31</v>
      </c>
      <c r="H139" s="1">
        <v>400</v>
      </c>
      <c r="I139" s="4">
        <v>161</v>
      </c>
      <c r="J139" s="5">
        <v>330</v>
      </c>
      <c r="K139" s="3">
        <v>9646</v>
      </c>
      <c r="L139" s="5">
        <v>34.253185076505957</v>
      </c>
      <c r="M139" s="8">
        <v>1.1724791159986788E-2</v>
      </c>
      <c r="N139" s="3">
        <v>11.67</v>
      </c>
      <c r="O139" s="5">
        <v>185.39660603616272</v>
      </c>
      <c r="P139" s="3">
        <v>0.25</v>
      </c>
      <c r="Q139" s="12">
        <f t="shared" si="3"/>
        <v>9.2698303018081362E-4</v>
      </c>
      <c r="U139" s="3">
        <f>$V$2*($V$3*$F139+$V$4*$B139^$V$5*$M139^$V$6)*$Q139^$V$7</f>
        <v>0.2346076236203086</v>
      </c>
      <c r="V139" s="3">
        <f t="shared" si="4"/>
        <v>0.93843049448123439</v>
      </c>
      <c r="X139" s="3">
        <f>$Y$2*$B139^$Y$3*$Q139^$Y$4*($Y$5*$M139^$Y$6+$Y$7)</f>
        <v>0.23469256833739294</v>
      </c>
      <c r="Y139" s="3">
        <f t="shared" si="5"/>
        <v>0.93877027334957175</v>
      </c>
      <c r="AA139" s="3"/>
      <c r="AB139" s="3"/>
    </row>
    <row r="140" spans="1:28" x14ac:dyDescent="0.3">
      <c r="A140" s="1" t="s">
        <v>35</v>
      </c>
      <c r="B140" s="4">
        <v>12</v>
      </c>
      <c r="C140" s="5">
        <v>4</v>
      </c>
      <c r="D140" s="4">
        <v>90.67</v>
      </c>
      <c r="E140" s="3">
        <v>3.2689999999999997</v>
      </c>
      <c r="F140" s="4">
        <v>25</v>
      </c>
      <c r="G140" s="4">
        <v>31</v>
      </c>
      <c r="H140" s="1">
        <v>400</v>
      </c>
      <c r="I140" s="4">
        <v>161</v>
      </c>
      <c r="J140" s="5">
        <v>440</v>
      </c>
      <c r="K140" s="3">
        <v>36400</v>
      </c>
      <c r="L140" s="5">
        <v>38.636261189159299</v>
      </c>
      <c r="M140" s="8">
        <v>1.2087912087912088E-2</v>
      </c>
      <c r="N140" s="3">
        <v>11.67</v>
      </c>
      <c r="O140" s="5">
        <v>72.228463882630962</v>
      </c>
      <c r="P140" s="3">
        <v>0.15</v>
      </c>
      <c r="Q140" s="12">
        <f t="shared" ref="Q140:Q203" si="6">O140/200000</f>
        <v>3.6114231941315479E-4</v>
      </c>
      <c r="U140" s="3">
        <f>$V$2*($V$3*$F140+$V$4*$B140^$V$5*$M140^$V$6)*$Q140^$V$7</f>
        <v>0.1294839092125849</v>
      </c>
      <c r="V140" s="3">
        <f t="shared" ref="V140:V203" si="7">U140/$P140</f>
        <v>0.86322606141723268</v>
      </c>
      <c r="X140" s="3">
        <f>$Y$2*$B140^$Y$3*$Q140^$Y$4*($Y$5*$M140^$Y$6+$Y$7)</f>
        <v>0.12795210309949079</v>
      </c>
      <c r="Y140" s="3">
        <f t="shared" ref="Y140:Y203" si="8">X140/$P140</f>
        <v>0.85301402066327192</v>
      </c>
      <c r="AA140" s="3"/>
      <c r="AB140" s="3"/>
    </row>
    <row r="141" spans="1:28" x14ac:dyDescent="0.3">
      <c r="B141" s="4">
        <v>12</v>
      </c>
      <c r="C141" s="5">
        <v>4</v>
      </c>
      <c r="D141" s="4">
        <v>90.67</v>
      </c>
      <c r="E141" s="3">
        <v>3.2689999999999997</v>
      </c>
      <c r="F141" s="4">
        <v>25</v>
      </c>
      <c r="G141" s="4">
        <v>31</v>
      </c>
      <c r="H141" s="1">
        <v>400</v>
      </c>
      <c r="I141" s="4">
        <v>161</v>
      </c>
      <c r="J141" s="5">
        <v>440</v>
      </c>
      <c r="K141" s="3">
        <v>36400</v>
      </c>
      <c r="L141" s="5">
        <v>38.636261189159299</v>
      </c>
      <c r="M141" s="8">
        <v>1.2087912087912088E-2</v>
      </c>
      <c r="N141" s="3">
        <v>13.42</v>
      </c>
      <c r="O141" s="5">
        <v>127.25399363913766</v>
      </c>
      <c r="P141" s="3">
        <v>0.15</v>
      </c>
      <c r="Q141" s="12">
        <f t="shared" si="6"/>
        <v>6.362699681956883E-4</v>
      </c>
      <c r="U141" s="3">
        <f>$V$2*($V$3*$F141+$V$4*$B141^$V$5*$M141^$V$6)*$Q141^$V$7</f>
        <v>0.18364326250984425</v>
      </c>
      <c r="V141" s="3">
        <f t="shared" si="7"/>
        <v>1.2242884167322952</v>
      </c>
      <c r="X141" s="3">
        <f>$Y$2*$B141^$Y$3*$Q141^$Y$4*($Y$5*$M141^$Y$6+$Y$7)</f>
        <v>0.18260481251419783</v>
      </c>
      <c r="Y141" s="3">
        <f t="shared" si="8"/>
        <v>1.2173654167613188</v>
      </c>
      <c r="AA141" s="3"/>
      <c r="AB141" s="3"/>
    </row>
    <row r="142" spans="1:28" x14ac:dyDescent="0.3">
      <c r="B142" s="4">
        <v>12</v>
      </c>
      <c r="C142" s="5">
        <v>4</v>
      </c>
      <c r="D142" s="4">
        <v>90.67</v>
      </c>
      <c r="E142" s="3">
        <v>3.2689999999999997</v>
      </c>
      <c r="F142" s="4">
        <v>25</v>
      </c>
      <c r="G142" s="4">
        <v>31</v>
      </c>
      <c r="H142" s="1">
        <v>400</v>
      </c>
      <c r="I142" s="4">
        <v>161</v>
      </c>
      <c r="J142" s="5">
        <v>440</v>
      </c>
      <c r="K142" s="3">
        <v>36400</v>
      </c>
      <c r="L142" s="5">
        <v>38.636261189159299</v>
      </c>
      <c r="M142" s="8">
        <v>1.2087912087912088E-2</v>
      </c>
      <c r="N142" s="3">
        <v>15.17</v>
      </c>
      <c r="O142" s="5">
        <v>182.27952339564447</v>
      </c>
      <c r="P142" s="3">
        <v>0.18</v>
      </c>
      <c r="Q142" s="12">
        <f t="shared" si="6"/>
        <v>9.1139761697822241E-4</v>
      </c>
      <c r="U142" s="3">
        <f>$V$2*($V$3*$F142+$V$4*$B142^$V$5*$M142^$V$6)*$Q142^$V$7</f>
        <v>0.22922818073355714</v>
      </c>
      <c r="V142" s="3">
        <f t="shared" si="7"/>
        <v>1.2734898929642064</v>
      </c>
      <c r="X142" s="3">
        <f>$Y$2*$B142^$Y$3*$Q142^$Y$4*($Y$5*$M142^$Y$6+$Y$7)</f>
        <v>0.22883474090739978</v>
      </c>
      <c r="Y142" s="3">
        <f t="shared" si="8"/>
        <v>1.2713041161522209</v>
      </c>
      <c r="AA142" s="3"/>
      <c r="AB142" s="3"/>
    </row>
    <row r="143" spans="1:28" x14ac:dyDescent="0.3">
      <c r="A143" s="1" t="s">
        <v>36</v>
      </c>
      <c r="B143" s="4">
        <v>12</v>
      </c>
      <c r="C143" s="5">
        <v>4</v>
      </c>
      <c r="D143" s="4">
        <v>90.67</v>
      </c>
      <c r="E143" s="3">
        <v>3.2689999999999997</v>
      </c>
      <c r="F143" s="4">
        <v>25</v>
      </c>
      <c r="G143" s="4">
        <v>31</v>
      </c>
      <c r="H143" s="1">
        <v>400</v>
      </c>
      <c r="I143" s="4">
        <v>161</v>
      </c>
      <c r="J143" s="5">
        <v>440</v>
      </c>
      <c r="K143" s="3">
        <v>36400</v>
      </c>
      <c r="L143" s="5">
        <v>38.636261189159299</v>
      </c>
      <c r="M143" s="8">
        <v>1.2087912087912088E-2</v>
      </c>
      <c r="N143" s="3">
        <v>11.67</v>
      </c>
      <c r="O143" s="5">
        <v>72.228463882630962</v>
      </c>
      <c r="P143" s="3">
        <v>0.18</v>
      </c>
      <c r="Q143" s="12">
        <f t="shared" si="6"/>
        <v>3.6114231941315479E-4</v>
      </c>
      <c r="U143" s="3">
        <f>$V$2*($V$3*$F143+$V$4*$B143^$V$5*$M143^$V$6)*$Q143^$V$7</f>
        <v>0.1294839092125849</v>
      </c>
      <c r="V143" s="3">
        <f t="shared" si="7"/>
        <v>0.71935505118102727</v>
      </c>
      <c r="X143" s="3">
        <f>$Y$2*$B143^$Y$3*$Q143^$Y$4*($Y$5*$M143^$Y$6+$Y$7)</f>
        <v>0.12795210309949079</v>
      </c>
      <c r="Y143" s="3">
        <f t="shared" si="8"/>
        <v>0.7108450172193933</v>
      </c>
      <c r="AA143" s="3"/>
      <c r="AB143" s="3"/>
    </row>
    <row r="144" spans="1:28" x14ac:dyDescent="0.3">
      <c r="B144" s="4">
        <v>12</v>
      </c>
      <c r="C144" s="5">
        <v>4</v>
      </c>
      <c r="D144" s="4">
        <v>90.67</v>
      </c>
      <c r="E144" s="3">
        <v>3.2689999999999997</v>
      </c>
      <c r="F144" s="4">
        <v>25</v>
      </c>
      <c r="G144" s="4">
        <v>31</v>
      </c>
      <c r="H144" s="1">
        <v>400</v>
      </c>
      <c r="I144" s="4">
        <v>161</v>
      </c>
      <c r="J144" s="5">
        <v>440</v>
      </c>
      <c r="K144" s="3">
        <v>36400</v>
      </c>
      <c r="L144" s="5">
        <v>38.636261189159299</v>
      </c>
      <c r="M144" s="8">
        <v>1.2087912087912088E-2</v>
      </c>
      <c r="N144" s="3">
        <v>13.42</v>
      </c>
      <c r="O144" s="5">
        <v>127.25399363913766</v>
      </c>
      <c r="P144" s="3">
        <v>0.2</v>
      </c>
      <c r="Q144" s="12">
        <f t="shared" si="6"/>
        <v>6.362699681956883E-4</v>
      </c>
      <c r="U144" s="3">
        <f>$V$2*($V$3*$F144+$V$4*$B144^$V$5*$M144^$V$6)*$Q144^$V$7</f>
        <v>0.18364326250984425</v>
      </c>
      <c r="V144" s="3">
        <f t="shared" si="7"/>
        <v>0.9182163125492212</v>
      </c>
      <c r="X144" s="3">
        <f>$Y$2*$B144^$Y$3*$Q144^$Y$4*($Y$5*$M144^$Y$6+$Y$7)</f>
        <v>0.18260481251419783</v>
      </c>
      <c r="Y144" s="3">
        <f t="shared" si="8"/>
        <v>0.91302406257098911</v>
      </c>
      <c r="AA144" s="3"/>
      <c r="AB144" s="3"/>
    </row>
    <row r="145" spans="1:28" x14ac:dyDescent="0.3">
      <c r="B145" s="4">
        <v>12</v>
      </c>
      <c r="C145" s="5">
        <v>4</v>
      </c>
      <c r="D145" s="4">
        <v>90.67</v>
      </c>
      <c r="E145" s="3">
        <v>3.2689999999999997</v>
      </c>
      <c r="F145" s="4">
        <v>25</v>
      </c>
      <c r="G145" s="4">
        <v>31</v>
      </c>
      <c r="H145" s="1">
        <v>400</v>
      </c>
      <c r="I145" s="4">
        <v>161</v>
      </c>
      <c r="J145" s="5">
        <v>440</v>
      </c>
      <c r="K145" s="3">
        <v>36400</v>
      </c>
      <c r="L145" s="5">
        <v>38.636261189159299</v>
      </c>
      <c r="M145" s="8">
        <v>1.2087912087912088E-2</v>
      </c>
      <c r="N145" s="3">
        <v>15.17</v>
      </c>
      <c r="O145" s="5">
        <v>182.27952339564447</v>
      </c>
      <c r="P145" s="3">
        <v>0.23</v>
      </c>
      <c r="Q145" s="12">
        <f t="shared" si="6"/>
        <v>9.1139761697822241E-4</v>
      </c>
      <c r="U145" s="3">
        <f>$V$2*($V$3*$F145+$V$4*$B145^$V$5*$M145^$V$6)*$Q145^$V$7</f>
        <v>0.22922818073355714</v>
      </c>
      <c r="V145" s="3">
        <f t="shared" si="7"/>
        <v>0.99664426405894402</v>
      </c>
      <c r="X145" s="3">
        <f>$Y$2*$B145^$Y$3*$Q145^$Y$4*($Y$5*$M145^$Y$6+$Y$7)</f>
        <v>0.22883474090739978</v>
      </c>
      <c r="Y145" s="3">
        <f t="shared" si="8"/>
        <v>0.99493365611912943</v>
      </c>
      <c r="AA145" s="3"/>
      <c r="AB145" s="3"/>
    </row>
    <row r="146" spans="1:28" x14ac:dyDescent="0.3">
      <c r="A146" s="1" t="s">
        <v>37</v>
      </c>
      <c r="B146" s="4">
        <v>10</v>
      </c>
      <c r="C146" s="5">
        <v>1</v>
      </c>
      <c r="D146" s="4">
        <v>45</v>
      </c>
      <c r="E146" s="3">
        <v>2.8</v>
      </c>
      <c r="F146" s="4">
        <v>40</v>
      </c>
      <c r="G146" s="4">
        <v>45</v>
      </c>
      <c r="H146" s="1">
        <v>100</v>
      </c>
      <c r="I146" s="4">
        <v>250</v>
      </c>
      <c r="J146" s="5">
        <v>78.5</v>
      </c>
      <c r="K146" s="3">
        <v>9500</v>
      </c>
      <c r="L146" s="5">
        <v>43.445968908792679</v>
      </c>
      <c r="M146" s="8">
        <v>8.263157894736842E-3</v>
      </c>
      <c r="N146" s="3">
        <v>4.0999999999999996</v>
      </c>
      <c r="O146" s="5">
        <v>99.781101172276635</v>
      </c>
      <c r="P146" s="3">
        <v>0.16</v>
      </c>
      <c r="Q146" s="12">
        <f t="shared" si="6"/>
        <v>4.9890550586138317E-4</v>
      </c>
      <c r="U146" s="3">
        <f>$V$2*($V$3*$F146+$V$4*$B146^$V$5*$M146^$V$6)*$Q146^$V$7</f>
        <v>0.16375258304938023</v>
      </c>
      <c r="V146" s="3">
        <f t="shared" si="7"/>
        <v>1.0234536440586264</v>
      </c>
      <c r="X146" s="3">
        <f>$Y$2*$B146^$Y$3*$Q146^$Y$4*($Y$5*$M146^$Y$6+$Y$7)</f>
        <v>0.16631112893456276</v>
      </c>
      <c r="Y146" s="3">
        <f t="shared" si="8"/>
        <v>1.0394445558410172</v>
      </c>
      <c r="AA146" s="3"/>
      <c r="AB146" s="3"/>
    </row>
    <row r="147" spans="1:28" x14ac:dyDescent="0.3">
      <c r="B147" s="4">
        <v>10</v>
      </c>
      <c r="C147" s="5">
        <v>1</v>
      </c>
      <c r="D147" s="4">
        <v>45</v>
      </c>
      <c r="E147" s="3">
        <v>2.8</v>
      </c>
      <c r="F147" s="4">
        <v>40</v>
      </c>
      <c r="G147" s="4">
        <v>45</v>
      </c>
      <c r="H147" s="1">
        <v>100</v>
      </c>
      <c r="I147" s="4">
        <v>250</v>
      </c>
      <c r="J147" s="5">
        <v>78.5</v>
      </c>
      <c r="K147" s="3">
        <v>9500</v>
      </c>
      <c r="L147" s="5">
        <v>43.445968908792679</v>
      </c>
      <c r="M147" s="8">
        <v>8.263157894736842E-3</v>
      </c>
      <c r="N147" s="3">
        <v>4.4000000000000004</v>
      </c>
      <c r="O147" s="5">
        <v>133.40098997661681</v>
      </c>
      <c r="P147" s="3">
        <v>0.18</v>
      </c>
      <c r="Q147" s="12">
        <f t="shared" si="6"/>
        <v>6.6700494988308409E-4</v>
      </c>
      <c r="U147" s="3">
        <f>$V$2*($V$3*$F147+$V$4*$B147^$V$5*$M147^$V$6)*$Q147^$V$7</f>
        <v>0.19588379001613349</v>
      </c>
      <c r="V147" s="3">
        <f t="shared" si="7"/>
        <v>1.0882432778674083</v>
      </c>
      <c r="X147" s="3">
        <f>$Y$2*$B147^$Y$3*$Q147^$Y$4*($Y$5*$M147^$Y$6+$Y$7)</f>
        <v>0.19958085045743973</v>
      </c>
      <c r="Y147" s="3">
        <f t="shared" si="8"/>
        <v>1.1087825025413318</v>
      </c>
      <c r="AA147" s="3"/>
      <c r="AB147" s="3"/>
    </row>
    <row r="148" spans="1:28" x14ac:dyDescent="0.3">
      <c r="B148" s="4">
        <v>10</v>
      </c>
      <c r="C148" s="5">
        <v>1</v>
      </c>
      <c r="D148" s="4">
        <v>45</v>
      </c>
      <c r="E148" s="3">
        <v>2.8</v>
      </c>
      <c r="F148" s="4">
        <v>40</v>
      </c>
      <c r="G148" s="4">
        <v>45</v>
      </c>
      <c r="H148" s="1">
        <v>100</v>
      </c>
      <c r="I148" s="4">
        <v>250</v>
      </c>
      <c r="J148" s="5">
        <v>78.5</v>
      </c>
      <c r="K148" s="3">
        <v>9500</v>
      </c>
      <c r="L148" s="5">
        <v>43.445968908792679</v>
      </c>
      <c r="M148" s="8">
        <v>8.263157894736842E-3</v>
      </c>
      <c r="N148" s="3">
        <v>4.74</v>
      </c>
      <c r="O148" s="5">
        <v>171.50353062153567</v>
      </c>
      <c r="P148" s="3">
        <v>0.2</v>
      </c>
      <c r="Q148" s="12">
        <f t="shared" si="6"/>
        <v>8.5751765310767842E-4</v>
      </c>
      <c r="U148" s="3">
        <f>$V$2*($V$3*$F148+$V$4*$B148^$V$5*$M148^$V$6)*$Q148^$V$7</f>
        <v>0.22872932270180638</v>
      </c>
      <c r="V148" s="3">
        <f t="shared" si="7"/>
        <v>1.1436466135090317</v>
      </c>
      <c r="X148" s="3">
        <f>$Y$2*$B148^$Y$3*$Q148^$Y$4*($Y$5*$M148^$Y$6+$Y$7)</f>
        <v>0.23369125922761319</v>
      </c>
      <c r="Y148" s="3">
        <f t="shared" si="8"/>
        <v>1.1684562961380658</v>
      </c>
      <c r="AA148" s="3"/>
      <c r="AB148" s="3"/>
    </row>
    <row r="149" spans="1:28" x14ac:dyDescent="0.3">
      <c r="B149" s="4">
        <v>10</v>
      </c>
      <c r="C149" s="5">
        <v>1</v>
      </c>
      <c r="D149" s="4">
        <v>45</v>
      </c>
      <c r="E149" s="3">
        <v>2.8</v>
      </c>
      <c r="F149" s="4">
        <v>40</v>
      </c>
      <c r="G149" s="4">
        <v>45</v>
      </c>
      <c r="H149" s="1">
        <v>100</v>
      </c>
      <c r="I149" s="4">
        <v>250</v>
      </c>
      <c r="J149" s="5">
        <v>78.5</v>
      </c>
      <c r="K149" s="3">
        <v>9500</v>
      </c>
      <c r="L149" s="5">
        <v>43.445968908792679</v>
      </c>
      <c r="M149" s="8">
        <v>8.263157894736842E-3</v>
      </c>
      <c r="N149" s="3">
        <v>5.04</v>
      </c>
      <c r="O149" s="5">
        <v>205.1234194258758</v>
      </c>
      <c r="P149" s="3">
        <v>0.22</v>
      </c>
      <c r="Q149" s="12">
        <f t="shared" si="6"/>
        <v>1.0256170971293789E-3</v>
      </c>
      <c r="U149" s="3">
        <f>$V$2*($V$3*$F149+$V$4*$B149^$V$5*$M149^$V$6)*$Q149^$V$7</f>
        <v>0.25543992067546406</v>
      </c>
      <c r="V149" s="3">
        <f t="shared" si="7"/>
        <v>1.1610905485248366</v>
      </c>
      <c r="X149" s="3">
        <f>$Y$2*$B149^$Y$3*$Q149^$Y$4*($Y$5*$M149^$Y$6+$Y$7)</f>
        <v>0.26149570461453986</v>
      </c>
      <c r="Y149" s="3">
        <f t="shared" si="8"/>
        <v>1.1886168391569993</v>
      </c>
      <c r="AA149" s="3"/>
      <c r="AB149" s="3"/>
    </row>
    <row r="150" spans="1:28" x14ac:dyDescent="0.3">
      <c r="B150" s="4">
        <v>10</v>
      </c>
      <c r="C150" s="5">
        <v>1</v>
      </c>
      <c r="D150" s="4">
        <v>45</v>
      </c>
      <c r="E150" s="3">
        <v>2.8</v>
      </c>
      <c r="F150" s="4">
        <v>40</v>
      </c>
      <c r="G150" s="4">
        <v>45</v>
      </c>
      <c r="H150" s="1">
        <v>100</v>
      </c>
      <c r="I150" s="4">
        <v>250</v>
      </c>
      <c r="J150" s="5">
        <v>78.5</v>
      </c>
      <c r="K150" s="3">
        <v>9500</v>
      </c>
      <c r="L150" s="5">
        <v>43.445968908792679</v>
      </c>
      <c r="M150" s="8">
        <v>8.263157894736842E-3</v>
      </c>
      <c r="N150" s="3">
        <v>5.38</v>
      </c>
      <c r="O150" s="5">
        <v>243.2259600707946</v>
      </c>
      <c r="P150" s="3">
        <v>0.24</v>
      </c>
      <c r="Q150" s="12">
        <f t="shared" si="6"/>
        <v>1.216129800353973E-3</v>
      </c>
      <c r="U150" s="3">
        <f>$V$2*($V$3*$F150+$V$4*$B150^$V$5*$M150^$V$6)*$Q150^$V$7</f>
        <v>0.28375497682236306</v>
      </c>
      <c r="V150" s="3">
        <f t="shared" si="7"/>
        <v>1.1823124034265129</v>
      </c>
      <c r="X150" s="3">
        <f>$Y$2*$B150^$Y$3*$Q150^$Y$4*($Y$5*$M150^$Y$6+$Y$7)</f>
        <v>0.29102695657094624</v>
      </c>
      <c r="Y150" s="3">
        <f t="shared" si="8"/>
        <v>1.2126123190456093</v>
      </c>
      <c r="AA150" s="3"/>
      <c r="AB150" s="3"/>
    </row>
    <row r="151" spans="1:28" x14ac:dyDescent="0.3">
      <c r="B151" s="4">
        <v>10</v>
      </c>
      <c r="C151" s="5">
        <v>1</v>
      </c>
      <c r="D151" s="4">
        <v>45</v>
      </c>
      <c r="E151" s="3">
        <v>2.8</v>
      </c>
      <c r="F151" s="4">
        <v>40</v>
      </c>
      <c r="G151" s="4">
        <v>45</v>
      </c>
      <c r="H151" s="1">
        <v>100</v>
      </c>
      <c r="I151" s="4">
        <v>250</v>
      </c>
      <c r="J151" s="5">
        <v>78.5</v>
      </c>
      <c r="K151" s="3">
        <v>9500</v>
      </c>
      <c r="L151" s="5">
        <v>43.445968908792679</v>
      </c>
      <c r="M151" s="8">
        <v>8.263157894736842E-3</v>
      </c>
      <c r="N151" s="3">
        <v>5.68</v>
      </c>
      <c r="O151" s="5">
        <v>276.84584887513478</v>
      </c>
      <c r="P151" s="3">
        <v>0.26</v>
      </c>
      <c r="Q151" s="12">
        <f t="shared" si="6"/>
        <v>1.3842292443756738E-3</v>
      </c>
      <c r="U151" s="3">
        <f>$V$2*($V$3*$F151+$V$4*$B151^$V$5*$M151^$V$6)*$Q151^$V$7</f>
        <v>0.30735212399192768</v>
      </c>
      <c r="V151" s="3">
        <f t="shared" si="7"/>
        <v>1.1821235538151065</v>
      </c>
      <c r="X151" s="3">
        <f>$Y$2*$B151^$Y$3*$Q151^$Y$4*($Y$5*$M151^$Y$6+$Y$7)</f>
        <v>0.31567810287262527</v>
      </c>
      <c r="Y151" s="3">
        <f t="shared" si="8"/>
        <v>1.2141465495100972</v>
      </c>
      <c r="AA151" s="3"/>
      <c r="AB151" s="3"/>
    </row>
    <row r="152" spans="1:28" x14ac:dyDescent="0.3">
      <c r="B152" s="4">
        <v>10</v>
      </c>
      <c r="C152" s="5">
        <v>1</v>
      </c>
      <c r="D152" s="4">
        <v>45</v>
      </c>
      <c r="E152" s="3">
        <v>2.8</v>
      </c>
      <c r="F152" s="4">
        <v>40</v>
      </c>
      <c r="G152" s="4">
        <v>45</v>
      </c>
      <c r="H152" s="1">
        <v>100</v>
      </c>
      <c r="I152" s="4">
        <v>250</v>
      </c>
      <c r="J152" s="5">
        <v>78.5</v>
      </c>
      <c r="K152" s="3">
        <v>9500</v>
      </c>
      <c r="L152" s="5">
        <v>43.445968908792679</v>
      </c>
      <c r="M152" s="8">
        <v>8.263157894736842E-3</v>
      </c>
      <c r="N152" s="3">
        <v>6.04</v>
      </c>
      <c r="O152" s="5">
        <v>317.18971544034304</v>
      </c>
      <c r="P152" s="3">
        <v>0.28000000000000003</v>
      </c>
      <c r="Q152" s="12">
        <f t="shared" si="6"/>
        <v>1.5859485772017152E-3</v>
      </c>
      <c r="U152" s="3">
        <f>$V$2*($V$3*$F152+$V$4*$B152^$V$5*$M152^$V$6)*$Q152^$V$7</f>
        <v>0.33426372293468537</v>
      </c>
      <c r="V152" s="3">
        <f t="shared" si="7"/>
        <v>1.193799010481019</v>
      </c>
      <c r="X152" s="3">
        <f>$Y$2*$B152^$Y$3*$Q152^$Y$4*($Y$5*$M152^$Y$6+$Y$7)</f>
        <v>0.34383285788028395</v>
      </c>
      <c r="Y152" s="3">
        <f t="shared" si="8"/>
        <v>1.2279744924295855</v>
      </c>
      <c r="AA152" s="3"/>
      <c r="AB152" s="3"/>
    </row>
    <row r="153" spans="1:28" x14ac:dyDescent="0.3">
      <c r="A153" s="1" t="s">
        <v>38</v>
      </c>
      <c r="B153" s="4">
        <v>10</v>
      </c>
      <c r="C153" s="5">
        <v>1</v>
      </c>
      <c r="D153" s="4">
        <v>45</v>
      </c>
      <c r="E153" s="3">
        <v>2.8</v>
      </c>
      <c r="F153" s="4">
        <v>40</v>
      </c>
      <c r="G153" s="4">
        <v>45</v>
      </c>
      <c r="H153" s="1">
        <v>100</v>
      </c>
      <c r="I153" s="4">
        <v>250</v>
      </c>
      <c r="J153" s="5">
        <v>78.5</v>
      </c>
      <c r="K153" s="3">
        <v>9500</v>
      </c>
      <c r="L153" s="5">
        <v>43.445968908792679</v>
      </c>
      <c r="M153" s="8">
        <v>8.263157894736842E-3</v>
      </c>
      <c r="N153" s="3">
        <v>3.76</v>
      </c>
      <c r="O153" s="5">
        <v>61.678560527357803</v>
      </c>
      <c r="P153" s="3">
        <v>0.15</v>
      </c>
      <c r="Q153" s="12">
        <f t="shared" si="6"/>
        <v>3.0839280263678901E-4</v>
      </c>
      <c r="U153" s="3">
        <f>$V$2*($V$3*$F153+$V$4*$B153^$V$5*$M153^$V$6)*$Q153^$V$7</f>
        <v>0.12169932864824018</v>
      </c>
      <c r="V153" s="3">
        <f t="shared" si="7"/>
        <v>0.81132885765493457</v>
      </c>
      <c r="X153" s="3">
        <f>$Y$2*$B153^$Y$3*$Q153^$Y$4*($Y$5*$M153^$Y$6+$Y$7)</f>
        <v>0.12294851286036425</v>
      </c>
      <c r="Y153" s="3">
        <f t="shared" si="8"/>
        <v>0.8196567524024283</v>
      </c>
      <c r="AA153" s="3"/>
      <c r="AB153" s="3"/>
    </row>
    <row r="154" spans="1:28" x14ac:dyDescent="0.3">
      <c r="B154" s="4">
        <v>10</v>
      </c>
      <c r="C154" s="5">
        <v>1</v>
      </c>
      <c r="D154" s="4">
        <v>45</v>
      </c>
      <c r="E154" s="3">
        <v>2.8</v>
      </c>
      <c r="F154" s="4">
        <v>40</v>
      </c>
      <c r="G154" s="4">
        <v>45</v>
      </c>
      <c r="H154" s="1">
        <v>100</v>
      </c>
      <c r="I154" s="4">
        <v>250</v>
      </c>
      <c r="J154" s="5">
        <v>78.5</v>
      </c>
      <c r="K154" s="3">
        <v>9500</v>
      </c>
      <c r="L154" s="5">
        <v>43.445968908792679</v>
      </c>
      <c r="M154" s="8">
        <v>8.263157894736842E-3</v>
      </c>
      <c r="N154" s="3">
        <v>4.0999999999999996</v>
      </c>
      <c r="O154" s="5">
        <v>99.781101172276635</v>
      </c>
      <c r="P154" s="3">
        <v>0.17</v>
      </c>
      <c r="Q154" s="12">
        <f t="shared" si="6"/>
        <v>4.9890550586138317E-4</v>
      </c>
      <c r="U154" s="3">
        <f>$V$2*($V$3*$F154+$V$4*$B154^$V$5*$M154^$V$6)*$Q154^$V$7</f>
        <v>0.16375258304938023</v>
      </c>
      <c r="V154" s="3">
        <f t="shared" si="7"/>
        <v>0.963250488525766</v>
      </c>
      <c r="X154" s="3">
        <f>$Y$2*$B154^$Y$3*$Q154^$Y$4*($Y$5*$M154^$Y$6+$Y$7)</f>
        <v>0.16631112893456276</v>
      </c>
      <c r="Y154" s="3">
        <f t="shared" si="8"/>
        <v>0.97830075843860442</v>
      </c>
      <c r="AA154" s="3"/>
      <c r="AB154" s="3"/>
    </row>
    <row r="155" spans="1:28" x14ac:dyDescent="0.3">
      <c r="B155" s="4">
        <v>10</v>
      </c>
      <c r="C155" s="5">
        <v>1</v>
      </c>
      <c r="D155" s="4">
        <v>45</v>
      </c>
      <c r="E155" s="3">
        <v>2.8</v>
      </c>
      <c r="F155" s="4">
        <v>40</v>
      </c>
      <c r="G155" s="4">
        <v>45</v>
      </c>
      <c r="H155" s="1">
        <v>100</v>
      </c>
      <c r="I155" s="4">
        <v>250</v>
      </c>
      <c r="J155" s="5">
        <v>78.5</v>
      </c>
      <c r="K155" s="3">
        <v>9500</v>
      </c>
      <c r="L155" s="5">
        <v>43.445968908792679</v>
      </c>
      <c r="M155" s="8">
        <v>8.263157894736842E-3</v>
      </c>
      <c r="N155" s="3">
        <v>4.42</v>
      </c>
      <c r="O155" s="5">
        <v>135.6423158969061</v>
      </c>
      <c r="P155" s="3">
        <v>0.19</v>
      </c>
      <c r="Q155" s="12">
        <f t="shared" si="6"/>
        <v>6.7821157948453053E-4</v>
      </c>
      <c r="U155" s="3">
        <f>$V$2*($V$3*$F155+$V$4*$B155^$V$5*$M155^$V$6)*$Q155^$V$7</f>
        <v>0.19790793115101837</v>
      </c>
      <c r="V155" s="3">
        <f t="shared" si="7"/>
        <v>1.0416206902685177</v>
      </c>
      <c r="X155" s="3">
        <f>$Y$2*$B155^$Y$3*$Q155^$Y$4*($Y$5*$M155^$Y$6+$Y$7)</f>
        <v>0.20168015530533973</v>
      </c>
      <c r="Y155" s="3">
        <f t="shared" si="8"/>
        <v>1.0614745016070513</v>
      </c>
      <c r="AA155" s="3"/>
      <c r="AB155" s="3"/>
    </row>
    <row r="156" spans="1:28" x14ac:dyDescent="0.3">
      <c r="B156" s="4">
        <v>10</v>
      </c>
      <c r="C156" s="5">
        <v>1</v>
      </c>
      <c r="D156" s="4">
        <v>45</v>
      </c>
      <c r="E156" s="3">
        <v>2.8</v>
      </c>
      <c r="F156" s="4">
        <v>40</v>
      </c>
      <c r="G156" s="4">
        <v>45</v>
      </c>
      <c r="H156" s="1">
        <v>100</v>
      </c>
      <c r="I156" s="4">
        <v>250</v>
      </c>
      <c r="J156" s="5">
        <v>78.5</v>
      </c>
      <c r="K156" s="3">
        <v>9500</v>
      </c>
      <c r="L156" s="5">
        <v>43.445968908792679</v>
      </c>
      <c r="M156" s="8">
        <v>8.263157894736842E-3</v>
      </c>
      <c r="N156" s="3">
        <v>4.71</v>
      </c>
      <c r="O156" s="5">
        <v>168.14154174110175</v>
      </c>
      <c r="P156" s="3">
        <v>0.2</v>
      </c>
      <c r="Q156" s="12">
        <f t="shared" si="6"/>
        <v>8.4070770870550877E-4</v>
      </c>
      <c r="U156" s="3">
        <f>$V$2*($V$3*$F156+$V$4*$B156^$V$5*$M156^$V$6)*$Q156^$V$7</f>
        <v>0.22595234528568336</v>
      </c>
      <c r="V156" s="3">
        <f t="shared" si="7"/>
        <v>1.1297617264284168</v>
      </c>
      <c r="X156" s="3">
        <f>$Y$2*$B156^$Y$3*$Q156^$Y$4*($Y$5*$M156^$Y$6+$Y$7)</f>
        <v>0.23080377074756953</v>
      </c>
      <c r="Y156" s="3">
        <f t="shared" si="8"/>
        <v>1.1540188537378475</v>
      </c>
      <c r="AA156" s="3"/>
      <c r="AB156" s="3"/>
    </row>
    <row r="157" spans="1:28" x14ac:dyDescent="0.3">
      <c r="B157" s="4">
        <v>10</v>
      </c>
      <c r="C157" s="5">
        <v>1</v>
      </c>
      <c r="D157" s="4">
        <v>45</v>
      </c>
      <c r="E157" s="3">
        <v>2.8</v>
      </c>
      <c r="F157" s="4">
        <v>40</v>
      </c>
      <c r="G157" s="4">
        <v>45</v>
      </c>
      <c r="H157" s="1">
        <v>100</v>
      </c>
      <c r="I157" s="4">
        <v>250</v>
      </c>
      <c r="J157" s="5">
        <v>78.5</v>
      </c>
      <c r="K157" s="3">
        <v>9500</v>
      </c>
      <c r="L157" s="5">
        <v>43.445968908792679</v>
      </c>
      <c r="M157" s="8">
        <v>8.263157894736842E-3</v>
      </c>
      <c r="N157" s="3">
        <v>5.04</v>
      </c>
      <c r="O157" s="5">
        <v>205.1234194258758</v>
      </c>
      <c r="P157" s="3">
        <v>0.22</v>
      </c>
      <c r="Q157" s="12">
        <f t="shared" si="6"/>
        <v>1.0256170971293789E-3</v>
      </c>
      <c r="U157" s="3">
        <f>$V$2*($V$3*$F157+$V$4*$B157^$V$5*$M157^$V$6)*$Q157^$V$7</f>
        <v>0.25543992067546406</v>
      </c>
      <c r="V157" s="3">
        <f t="shared" si="7"/>
        <v>1.1610905485248366</v>
      </c>
      <c r="X157" s="3">
        <f>$Y$2*$B157^$Y$3*$Q157^$Y$4*($Y$5*$M157^$Y$6+$Y$7)</f>
        <v>0.26149570461453986</v>
      </c>
      <c r="Y157" s="3">
        <f t="shared" si="8"/>
        <v>1.1886168391569993</v>
      </c>
      <c r="AA157" s="3"/>
      <c r="AB157" s="3"/>
    </row>
    <row r="158" spans="1:28" x14ac:dyDescent="0.3">
      <c r="B158" s="4">
        <v>10</v>
      </c>
      <c r="C158" s="5">
        <v>1</v>
      </c>
      <c r="D158" s="4">
        <v>45</v>
      </c>
      <c r="E158" s="3">
        <v>2.8</v>
      </c>
      <c r="F158" s="4">
        <v>40</v>
      </c>
      <c r="G158" s="4">
        <v>45</v>
      </c>
      <c r="H158" s="1">
        <v>100</v>
      </c>
      <c r="I158" s="4">
        <v>250</v>
      </c>
      <c r="J158" s="5">
        <v>78.5</v>
      </c>
      <c r="K158" s="3">
        <v>9500</v>
      </c>
      <c r="L158" s="5">
        <v>43.445968908792679</v>
      </c>
      <c r="M158" s="8">
        <v>8.263157894736842E-3</v>
      </c>
      <c r="N158" s="3">
        <v>5.37</v>
      </c>
      <c r="O158" s="5">
        <v>242.10529711064999</v>
      </c>
      <c r="P158" s="3">
        <v>0.24</v>
      </c>
      <c r="Q158" s="12">
        <f t="shared" si="6"/>
        <v>1.2105264855532499E-3</v>
      </c>
      <c r="U158" s="3">
        <f>$V$2*($V$3*$F158+$V$4*$B158^$V$5*$M158^$V$6)*$Q158^$V$7</f>
        <v>0.28294759757331728</v>
      </c>
      <c r="V158" s="3">
        <f t="shared" si="7"/>
        <v>1.1789483232221554</v>
      </c>
      <c r="X158" s="3">
        <f>$Y$2*$B158^$Y$3*$Q158^$Y$4*($Y$5*$M158^$Y$6+$Y$7)</f>
        <v>0.29018414446051505</v>
      </c>
      <c r="Y158" s="3">
        <f t="shared" si="8"/>
        <v>1.2091006019188126</v>
      </c>
      <c r="AA158" s="3"/>
      <c r="AB158" s="3"/>
    </row>
    <row r="159" spans="1:28" x14ac:dyDescent="0.3">
      <c r="B159" s="4">
        <v>10</v>
      </c>
      <c r="C159" s="5">
        <v>1</v>
      </c>
      <c r="D159" s="4">
        <v>45</v>
      </c>
      <c r="E159" s="3">
        <v>2.8</v>
      </c>
      <c r="F159" s="4">
        <v>40</v>
      </c>
      <c r="G159" s="4">
        <v>45</v>
      </c>
      <c r="H159" s="1">
        <v>100</v>
      </c>
      <c r="I159" s="4">
        <v>250</v>
      </c>
      <c r="J159" s="5">
        <v>78.5</v>
      </c>
      <c r="K159" s="3">
        <v>9500</v>
      </c>
      <c r="L159" s="5">
        <v>43.445968908792679</v>
      </c>
      <c r="M159" s="8">
        <v>8.263157894736842E-3</v>
      </c>
      <c r="N159" s="3">
        <v>5.65</v>
      </c>
      <c r="O159" s="5">
        <v>273.48385999470082</v>
      </c>
      <c r="P159" s="3">
        <v>0.26</v>
      </c>
      <c r="Q159" s="12">
        <f t="shared" si="6"/>
        <v>1.3674192999735041E-3</v>
      </c>
      <c r="U159" s="3">
        <f>$V$2*($V$3*$F159+$V$4*$B159^$V$5*$M159^$V$6)*$Q159^$V$7</f>
        <v>0.30504381403016806</v>
      </c>
      <c r="V159" s="3">
        <f t="shared" si="7"/>
        <v>1.1732454385775695</v>
      </c>
      <c r="X159" s="3">
        <f>$Y$2*$B159^$Y$3*$Q159^$Y$4*($Y$5*$M159^$Y$6+$Y$7)</f>
        <v>0.31326515634924573</v>
      </c>
      <c r="Y159" s="3">
        <f t="shared" si="8"/>
        <v>1.2048659859586375</v>
      </c>
      <c r="AA159" s="3"/>
      <c r="AB159" s="3"/>
    </row>
    <row r="160" spans="1:28" x14ac:dyDescent="0.3">
      <c r="B160" s="4">
        <v>10</v>
      </c>
      <c r="C160" s="5">
        <v>1</v>
      </c>
      <c r="D160" s="4">
        <v>45</v>
      </c>
      <c r="E160" s="3">
        <v>2.8</v>
      </c>
      <c r="F160" s="4">
        <v>40</v>
      </c>
      <c r="G160" s="4">
        <v>45</v>
      </c>
      <c r="H160" s="1">
        <v>100</v>
      </c>
      <c r="I160" s="4">
        <v>250</v>
      </c>
      <c r="J160" s="5">
        <v>78.5</v>
      </c>
      <c r="K160" s="3">
        <v>9500</v>
      </c>
      <c r="L160" s="5">
        <v>43.445968908792679</v>
      </c>
      <c r="M160" s="8">
        <v>8.263157894736842E-3</v>
      </c>
      <c r="N160" s="3">
        <v>5.92</v>
      </c>
      <c r="O160" s="5">
        <v>303.74175991860687</v>
      </c>
      <c r="P160" s="3">
        <v>0.28999999999999998</v>
      </c>
      <c r="Q160" s="12">
        <f t="shared" si="6"/>
        <v>1.5187087995930343E-3</v>
      </c>
      <c r="U160" s="3">
        <f>$V$2*($V$3*$F160+$V$4*$B160^$V$5*$M160^$V$6)*$Q160^$V$7</f>
        <v>0.32544727720584327</v>
      </c>
      <c r="V160" s="3">
        <f t="shared" si="7"/>
        <v>1.1222319903649769</v>
      </c>
      <c r="X160" s="3">
        <f>$Y$2*$B160^$Y$3*$Q160^$Y$4*($Y$5*$M160^$Y$6+$Y$7)</f>
        <v>0.33460452749989067</v>
      </c>
      <c r="Y160" s="3">
        <f t="shared" si="8"/>
        <v>1.1538087155168644</v>
      </c>
      <c r="AA160" s="3"/>
      <c r="AB160" s="3"/>
    </row>
    <row r="161" spans="1:28" x14ac:dyDescent="0.3">
      <c r="A161" s="1" t="s">
        <v>39</v>
      </c>
      <c r="B161" s="4">
        <v>20</v>
      </c>
      <c r="C161" s="5">
        <v>1</v>
      </c>
      <c r="D161" s="4">
        <v>40</v>
      </c>
      <c r="E161" s="3">
        <v>2.8</v>
      </c>
      <c r="F161" s="4">
        <v>40</v>
      </c>
      <c r="G161" s="4">
        <v>50</v>
      </c>
      <c r="H161" s="1">
        <v>100</v>
      </c>
      <c r="I161" s="4">
        <v>250</v>
      </c>
      <c r="J161" s="5">
        <v>315</v>
      </c>
      <c r="K161" s="3">
        <v>15000</v>
      </c>
      <c r="L161" s="5">
        <v>75.400393066082174</v>
      </c>
      <c r="M161" s="8">
        <v>2.1000000000000001E-2</v>
      </c>
      <c r="N161" s="3">
        <v>11.09</v>
      </c>
      <c r="O161" s="5">
        <v>109.16524353049461</v>
      </c>
      <c r="P161" s="3">
        <v>0.17</v>
      </c>
      <c r="Q161" s="12">
        <f t="shared" si="6"/>
        <v>5.4582621765247299E-4</v>
      </c>
      <c r="U161" s="3">
        <f>$V$2*($V$3*$F161+$V$4*$B161^$V$5*$M161^$V$6)*$Q161^$V$7</f>
        <v>0.18694451042711902</v>
      </c>
      <c r="V161" s="3">
        <f t="shared" si="7"/>
        <v>1.0996735907477588</v>
      </c>
      <c r="X161" s="3">
        <f>$Y$2*$B161^$Y$3*$Q161^$Y$4*($Y$5*$M161^$Y$6+$Y$7)</f>
        <v>0.18431221703682621</v>
      </c>
      <c r="Y161" s="3">
        <f t="shared" si="8"/>
        <v>1.0841895119813305</v>
      </c>
      <c r="AA161" s="3"/>
      <c r="AB161" s="3"/>
    </row>
    <row r="162" spans="1:28" x14ac:dyDescent="0.3">
      <c r="B162" s="4">
        <v>20</v>
      </c>
      <c r="C162" s="5">
        <v>1</v>
      </c>
      <c r="D162" s="4">
        <v>40</v>
      </c>
      <c r="E162" s="3">
        <v>2.8</v>
      </c>
      <c r="F162" s="4">
        <v>40</v>
      </c>
      <c r="G162" s="4">
        <v>50</v>
      </c>
      <c r="H162" s="1">
        <v>100</v>
      </c>
      <c r="I162" s="4">
        <v>250</v>
      </c>
      <c r="J162" s="5">
        <v>315</v>
      </c>
      <c r="K162" s="3">
        <v>15000</v>
      </c>
      <c r="L162" s="5">
        <v>75.400393066082174</v>
      </c>
      <c r="M162" s="8">
        <v>2.1000000000000001E-2</v>
      </c>
      <c r="N162" s="3">
        <v>12.96</v>
      </c>
      <c r="O162" s="5">
        <v>151.46653733588147</v>
      </c>
      <c r="P162" s="3">
        <v>0.2</v>
      </c>
      <c r="Q162" s="12">
        <f t="shared" si="6"/>
        <v>7.5733268667940734E-4</v>
      </c>
      <c r="U162" s="3">
        <f>$V$2*($V$3*$F162+$V$4*$B162^$V$5*$M162^$V$6)*$Q162^$V$7</f>
        <v>0.22880739230353872</v>
      </c>
      <c r="V162" s="3">
        <f t="shared" si="7"/>
        <v>1.1440369615176935</v>
      </c>
      <c r="X162" s="3">
        <f>$Y$2*$B162^$Y$3*$Q162^$Y$4*($Y$5*$M162^$Y$6+$Y$7)</f>
        <v>0.22639978669059013</v>
      </c>
      <c r="Y162" s="3">
        <f t="shared" si="8"/>
        <v>1.1319989334529506</v>
      </c>
      <c r="AA162" s="3"/>
      <c r="AB162" s="3"/>
    </row>
    <row r="163" spans="1:28" x14ac:dyDescent="0.3">
      <c r="B163" s="4">
        <v>20</v>
      </c>
      <c r="C163" s="5">
        <v>1</v>
      </c>
      <c r="D163" s="4">
        <v>40</v>
      </c>
      <c r="E163" s="3">
        <v>2.8</v>
      </c>
      <c r="F163" s="4">
        <v>40</v>
      </c>
      <c r="G163" s="4">
        <v>50</v>
      </c>
      <c r="H163" s="1">
        <v>100</v>
      </c>
      <c r="I163" s="4">
        <v>250</v>
      </c>
      <c r="J163" s="5">
        <v>315</v>
      </c>
      <c r="K163" s="3">
        <v>15000</v>
      </c>
      <c r="L163" s="5">
        <v>75.400393066082174</v>
      </c>
      <c r="M163" s="8">
        <v>2.1000000000000001E-2</v>
      </c>
      <c r="N163" s="3">
        <v>14.77</v>
      </c>
      <c r="O163" s="5">
        <v>194.07401281353179</v>
      </c>
      <c r="P163" s="3">
        <v>0.24</v>
      </c>
      <c r="Q163" s="12">
        <f t="shared" si="6"/>
        <v>9.7037006406765897E-4</v>
      </c>
      <c r="U163" s="3">
        <f>$V$2*($V$3*$F163+$V$4*$B163^$V$5*$M163^$V$6)*$Q163^$V$7</f>
        <v>0.26661865079535574</v>
      </c>
      <c r="V163" s="3">
        <f t="shared" si="7"/>
        <v>1.110911044980649</v>
      </c>
      <c r="X163" s="3">
        <f>$Y$2*$B163^$Y$3*$Q163^$Y$4*($Y$5*$M163^$Y$6+$Y$7)</f>
        <v>0.26453348033249041</v>
      </c>
      <c r="Y163" s="3">
        <f t="shared" si="8"/>
        <v>1.1022228347187102</v>
      </c>
      <c r="AA163" s="3"/>
      <c r="AB163" s="3"/>
    </row>
    <row r="164" spans="1:28" x14ac:dyDescent="0.3">
      <c r="B164" s="4">
        <v>20</v>
      </c>
      <c r="C164" s="5">
        <v>1</v>
      </c>
      <c r="D164" s="4">
        <v>40</v>
      </c>
      <c r="E164" s="3">
        <v>2.8</v>
      </c>
      <c r="F164" s="4">
        <v>40</v>
      </c>
      <c r="G164" s="4">
        <v>50</v>
      </c>
      <c r="H164" s="1">
        <v>100</v>
      </c>
      <c r="I164" s="4">
        <v>250</v>
      </c>
      <c r="J164" s="5">
        <v>315</v>
      </c>
      <c r="K164" s="3">
        <v>15000</v>
      </c>
      <c r="L164" s="5">
        <v>75.400393066082174</v>
      </c>
      <c r="M164" s="8">
        <v>2.1000000000000001E-2</v>
      </c>
      <c r="N164" s="3">
        <v>16.57</v>
      </c>
      <c r="O164" s="5">
        <v>236.44608787417852</v>
      </c>
      <c r="P164" s="3">
        <v>0.27</v>
      </c>
      <c r="Q164" s="12">
        <f t="shared" si="6"/>
        <v>1.1822304393708926E-3</v>
      </c>
      <c r="U164" s="3">
        <f>$V$2*($V$3*$F164+$V$4*$B164^$V$5*$M164^$V$6)*$Q164^$V$7</f>
        <v>0.30116699475999031</v>
      </c>
      <c r="V164" s="3">
        <f t="shared" si="7"/>
        <v>1.1154333139258901</v>
      </c>
      <c r="X164" s="3">
        <f>$Y$2*$B164^$Y$3*$Q164^$Y$4*($Y$5*$M164^$Y$6+$Y$7)</f>
        <v>0.29946143881751913</v>
      </c>
      <c r="Y164" s="3">
        <f t="shared" si="8"/>
        <v>1.1091164400648856</v>
      </c>
      <c r="AA164" s="3"/>
      <c r="AB164" s="3"/>
    </row>
    <row r="165" spans="1:28" x14ac:dyDescent="0.3">
      <c r="B165" s="4">
        <v>20</v>
      </c>
      <c r="C165" s="5">
        <v>1</v>
      </c>
      <c r="D165" s="4">
        <v>40</v>
      </c>
      <c r="E165" s="3">
        <v>2.8</v>
      </c>
      <c r="F165" s="4">
        <v>40</v>
      </c>
      <c r="G165" s="4">
        <v>50</v>
      </c>
      <c r="H165" s="1">
        <v>100</v>
      </c>
      <c r="I165" s="4">
        <v>250</v>
      </c>
      <c r="J165" s="5">
        <v>315</v>
      </c>
      <c r="K165" s="3">
        <v>15000</v>
      </c>
      <c r="L165" s="5">
        <v>75.400393066082174</v>
      </c>
      <c r="M165" s="8">
        <v>2.1000000000000001E-2</v>
      </c>
      <c r="N165" s="3">
        <v>18.350000000000001</v>
      </c>
      <c r="O165" s="5">
        <v>278.34736210081826</v>
      </c>
      <c r="P165" s="3">
        <v>0.32</v>
      </c>
      <c r="Q165" s="12">
        <f t="shared" si="6"/>
        <v>1.3917368105040913E-3</v>
      </c>
      <c r="U165" s="3">
        <f>$V$2*($V$3*$F165+$V$4*$B165^$V$5*$M165^$V$6)*$Q165^$V$7</f>
        <v>0.33306185470397004</v>
      </c>
      <c r="V165" s="3">
        <f t="shared" si="7"/>
        <v>1.0408182959499064</v>
      </c>
      <c r="X165" s="3">
        <f>$Y$2*$B165^$Y$3*$Q165^$Y$4*($Y$5*$M165^$Y$6+$Y$7)</f>
        <v>0.33177054981788312</v>
      </c>
      <c r="Y165" s="3">
        <f t="shared" si="8"/>
        <v>1.0367829681808847</v>
      </c>
      <c r="AA165" s="3"/>
      <c r="AB165" s="3"/>
    </row>
    <row r="166" spans="1:28" x14ac:dyDescent="0.3">
      <c r="B166" s="4">
        <v>20</v>
      </c>
      <c r="C166" s="5">
        <v>1</v>
      </c>
      <c r="D166" s="4">
        <v>40</v>
      </c>
      <c r="E166" s="3">
        <v>2.8</v>
      </c>
      <c r="F166" s="4">
        <v>40</v>
      </c>
      <c r="G166" s="4">
        <v>50</v>
      </c>
      <c r="H166" s="1">
        <v>100</v>
      </c>
      <c r="I166" s="4">
        <v>250</v>
      </c>
      <c r="J166" s="5">
        <v>315</v>
      </c>
      <c r="K166" s="3">
        <v>15000</v>
      </c>
      <c r="L166" s="5">
        <v>75.400393066082174</v>
      </c>
      <c r="M166" s="8">
        <v>2.1000000000000001E-2</v>
      </c>
      <c r="N166" s="3">
        <v>20.18</v>
      </c>
      <c r="O166" s="5">
        <v>321.42563841247556</v>
      </c>
      <c r="P166" s="3">
        <v>0.34</v>
      </c>
      <c r="Q166" s="12">
        <f t="shared" si="6"/>
        <v>1.6071281920623779E-3</v>
      </c>
      <c r="U166" s="3">
        <f>$V$2*($V$3*$F166+$V$4*$B166^$V$5*$M166^$V$6)*$Q166^$V$7</f>
        <v>0.363984866494449</v>
      </c>
      <c r="V166" s="3">
        <f t="shared" si="7"/>
        <v>1.0705437249836736</v>
      </c>
      <c r="X166" s="3">
        <f>$Y$2*$B166^$Y$3*$Q166^$Y$4*($Y$5*$M166^$Y$6+$Y$7)</f>
        <v>0.36314802874042706</v>
      </c>
      <c r="Y166" s="3">
        <f t="shared" si="8"/>
        <v>1.0680824374718443</v>
      </c>
      <c r="AA166" s="3"/>
      <c r="AB166" s="3"/>
    </row>
    <row r="167" spans="1:28" x14ac:dyDescent="0.3">
      <c r="A167" s="1" t="s">
        <v>40</v>
      </c>
      <c r="B167" s="4">
        <v>20</v>
      </c>
      <c r="C167" s="5">
        <v>1</v>
      </c>
      <c r="D167" s="4">
        <v>40</v>
      </c>
      <c r="E167" s="3">
        <v>2.8</v>
      </c>
      <c r="F167" s="4">
        <v>40</v>
      </c>
      <c r="G167" s="4">
        <v>50</v>
      </c>
      <c r="H167" s="1">
        <v>100</v>
      </c>
      <c r="I167" s="4">
        <v>250</v>
      </c>
      <c r="J167" s="5">
        <v>315</v>
      </c>
      <c r="K167" s="3">
        <v>15000</v>
      </c>
      <c r="L167" s="5">
        <v>75.400393066082174</v>
      </c>
      <c r="M167" s="8">
        <v>2.1000000000000001E-2</v>
      </c>
      <c r="N167" s="3">
        <v>9.35</v>
      </c>
      <c r="O167" s="5">
        <v>77.576526435790342</v>
      </c>
      <c r="P167" s="3">
        <v>0.16</v>
      </c>
      <c r="Q167" s="12">
        <f t="shared" si="6"/>
        <v>3.8788263217895169E-4</v>
      </c>
      <c r="U167" s="3">
        <f>$V$2*($V$3*$F167+$V$4*$B167^$V$5*$M167^$V$6)*$Q167^$V$7</f>
        <v>0.15141826403744404</v>
      </c>
      <c r="V167" s="3">
        <f t="shared" si="7"/>
        <v>0.94636415023402531</v>
      </c>
      <c r="X167" s="3">
        <f>$Y$2*$B167^$Y$3*$Q167^$Y$4*($Y$5*$M167^$Y$6+$Y$7)</f>
        <v>0.14872630029544698</v>
      </c>
      <c r="Y167" s="3">
        <f t="shared" si="8"/>
        <v>0.92953937684654364</v>
      </c>
      <c r="AA167" s="3"/>
      <c r="AB167" s="3"/>
    </row>
    <row r="168" spans="1:28" x14ac:dyDescent="0.3">
      <c r="B168" s="4">
        <v>20</v>
      </c>
      <c r="C168" s="5">
        <v>1</v>
      </c>
      <c r="D168" s="4">
        <v>40</v>
      </c>
      <c r="E168" s="3">
        <v>2.8</v>
      </c>
      <c r="F168" s="4">
        <v>40</v>
      </c>
      <c r="G168" s="4">
        <v>50</v>
      </c>
      <c r="H168" s="1">
        <v>100</v>
      </c>
      <c r="I168" s="4">
        <v>250</v>
      </c>
      <c r="J168" s="5">
        <v>315</v>
      </c>
      <c r="K168" s="3">
        <v>15000</v>
      </c>
      <c r="L168" s="5">
        <v>75.400393066082174</v>
      </c>
      <c r="M168" s="8">
        <v>2.1000000000000001E-2</v>
      </c>
      <c r="N168" s="3">
        <v>11.12</v>
      </c>
      <c r="O168" s="5">
        <v>109.70987658385157</v>
      </c>
      <c r="P168" s="3">
        <v>0.2</v>
      </c>
      <c r="Q168" s="12">
        <f t="shared" si="6"/>
        <v>5.4854938291925789E-4</v>
      </c>
      <c r="U168" s="3">
        <f>$V$2*($V$3*$F168+$V$4*$B168^$V$5*$M168^$V$6)*$Q168^$V$7</f>
        <v>0.18751942499534943</v>
      </c>
      <c r="V168" s="3">
        <f t="shared" si="7"/>
        <v>0.93759712497674708</v>
      </c>
      <c r="X168" s="3">
        <f>$Y$2*$B168^$Y$3*$Q168^$Y$4*($Y$5*$M168^$Y$6+$Y$7)</f>
        <v>0.18488915762551456</v>
      </c>
      <c r="Y168" s="3">
        <f t="shared" si="8"/>
        <v>0.92444578812757272</v>
      </c>
      <c r="AA168" s="3"/>
      <c r="AB168" s="3"/>
    </row>
    <row r="169" spans="1:28" x14ac:dyDescent="0.3">
      <c r="B169" s="4">
        <v>20</v>
      </c>
      <c r="C169" s="5">
        <v>1</v>
      </c>
      <c r="D169" s="4">
        <v>40</v>
      </c>
      <c r="E169" s="3">
        <v>2.8</v>
      </c>
      <c r="F169" s="4">
        <v>40</v>
      </c>
      <c r="G169" s="4">
        <v>50</v>
      </c>
      <c r="H169" s="1">
        <v>100</v>
      </c>
      <c r="I169" s="4">
        <v>250</v>
      </c>
      <c r="J169" s="5">
        <v>315</v>
      </c>
      <c r="K169" s="3">
        <v>15000</v>
      </c>
      <c r="L169" s="5">
        <v>75.400393066082174</v>
      </c>
      <c r="M169" s="8">
        <v>2.1000000000000001E-2</v>
      </c>
      <c r="N169" s="3">
        <v>12.93</v>
      </c>
      <c r="O169" s="5">
        <v>150.76033608487063</v>
      </c>
      <c r="P169" s="3">
        <v>0.24</v>
      </c>
      <c r="Q169" s="12">
        <f t="shared" si="6"/>
        <v>7.5380168042435316E-4</v>
      </c>
      <c r="U169" s="3">
        <f>$V$2*($V$3*$F169+$V$4*$B169^$V$5*$M169^$V$6)*$Q169^$V$7</f>
        <v>0.22814858952122932</v>
      </c>
      <c r="V169" s="3">
        <f t="shared" si="7"/>
        <v>0.95061912300512219</v>
      </c>
      <c r="X169" s="3">
        <f>$Y$2*$B169^$Y$3*$Q169^$Y$4*($Y$5*$M169^$Y$6+$Y$7)</f>
        <v>0.22573631146807477</v>
      </c>
      <c r="Y169" s="3">
        <f t="shared" si="8"/>
        <v>0.94056796445031154</v>
      </c>
      <c r="AA169" s="3"/>
      <c r="AB169" s="3"/>
    </row>
    <row r="170" spans="1:28" x14ac:dyDescent="0.3">
      <c r="B170" s="4">
        <v>20</v>
      </c>
      <c r="C170" s="5">
        <v>1</v>
      </c>
      <c r="D170" s="4">
        <v>40</v>
      </c>
      <c r="E170" s="3">
        <v>2.8</v>
      </c>
      <c r="F170" s="4">
        <v>40</v>
      </c>
      <c r="G170" s="4">
        <v>50</v>
      </c>
      <c r="H170" s="1">
        <v>100</v>
      </c>
      <c r="I170" s="4">
        <v>250</v>
      </c>
      <c r="J170" s="5">
        <v>315</v>
      </c>
      <c r="K170" s="3">
        <v>15000</v>
      </c>
      <c r="L170" s="5">
        <v>75.400393066082174</v>
      </c>
      <c r="M170" s="8">
        <v>2.1000000000000001E-2</v>
      </c>
      <c r="N170" s="3">
        <v>14.72</v>
      </c>
      <c r="O170" s="5">
        <v>192.89701072851383</v>
      </c>
      <c r="P170" s="3">
        <v>0.27</v>
      </c>
      <c r="Q170" s="12">
        <f t="shared" si="6"/>
        <v>9.6448505364256918E-4</v>
      </c>
      <c r="U170" s="3">
        <f>$V$2*($V$3*$F170+$V$4*$B170^$V$5*$M170^$V$6)*$Q170^$V$7</f>
        <v>0.26561982202404405</v>
      </c>
      <c r="V170" s="3">
        <f t="shared" si="7"/>
        <v>0.98377711860757044</v>
      </c>
      <c r="X170" s="3">
        <f>$Y$2*$B170^$Y$3*$Q170^$Y$4*($Y$5*$M170^$Y$6+$Y$7)</f>
        <v>0.26352482887222128</v>
      </c>
      <c r="Y170" s="3">
        <f t="shared" si="8"/>
        <v>0.97601788471193063</v>
      </c>
      <c r="AA170" s="3"/>
      <c r="AB170" s="3"/>
    </row>
    <row r="171" spans="1:28" x14ac:dyDescent="0.3">
      <c r="B171" s="4">
        <v>20</v>
      </c>
      <c r="C171" s="5">
        <v>1</v>
      </c>
      <c r="D171" s="4">
        <v>40</v>
      </c>
      <c r="E171" s="3">
        <v>2.8</v>
      </c>
      <c r="F171" s="4">
        <v>40</v>
      </c>
      <c r="G171" s="4">
        <v>50</v>
      </c>
      <c r="H171" s="1">
        <v>100</v>
      </c>
      <c r="I171" s="4">
        <v>250</v>
      </c>
      <c r="J171" s="5">
        <v>315</v>
      </c>
      <c r="K171" s="3">
        <v>15000</v>
      </c>
      <c r="L171" s="5">
        <v>75.400393066082174</v>
      </c>
      <c r="M171" s="8">
        <v>2.1000000000000001E-2</v>
      </c>
      <c r="N171" s="3">
        <v>16.579999999999998</v>
      </c>
      <c r="O171" s="5">
        <v>236.68148829118212</v>
      </c>
      <c r="P171" s="3">
        <v>0.28999999999999998</v>
      </c>
      <c r="Q171" s="12">
        <f t="shared" si="6"/>
        <v>1.1834074414559107E-3</v>
      </c>
      <c r="U171" s="3">
        <f>$V$2*($V$3*$F171+$V$4*$B171^$V$5*$M171^$V$6)*$Q171^$V$7</f>
        <v>0.30135195776172979</v>
      </c>
      <c r="V171" s="3">
        <f t="shared" si="7"/>
        <v>1.0391446819369994</v>
      </c>
      <c r="X171" s="3">
        <f>$Y$2*$B171^$Y$3*$Q171^$Y$4*($Y$5*$M171^$Y$6+$Y$7)</f>
        <v>0.29964863425235644</v>
      </c>
      <c r="Y171" s="3">
        <f t="shared" si="8"/>
        <v>1.0332711525943326</v>
      </c>
      <c r="AA171" s="3"/>
      <c r="AB171" s="3"/>
    </row>
    <row r="172" spans="1:28" x14ac:dyDescent="0.3">
      <c r="B172" s="4">
        <v>20</v>
      </c>
      <c r="C172" s="5">
        <v>1</v>
      </c>
      <c r="D172" s="4">
        <v>40</v>
      </c>
      <c r="E172" s="3">
        <v>2.8</v>
      </c>
      <c r="F172" s="4">
        <v>40</v>
      </c>
      <c r="G172" s="4">
        <v>50</v>
      </c>
      <c r="H172" s="1">
        <v>100</v>
      </c>
      <c r="I172" s="4">
        <v>250</v>
      </c>
      <c r="J172" s="5">
        <v>315</v>
      </c>
      <c r="K172" s="3">
        <v>15000</v>
      </c>
      <c r="L172" s="5">
        <v>75.400393066082174</v>
      </c>
      <c r="M172" s="8">
        <v>2.1000000000000001E-2</v>
      </c>
      <c r="N172" s="3">
        <v>18.350000000000001</v>
      </c>
      <c r="O172" s="5">
        <v>278.34736210081826</v>
      </c>
      <c r="P172" s="3">
        <v>0.32</v>
      </c>
      <c r="Q172" s="12">
        <f t="shared" si="6"/>
        <v>1.3917368105040913E-3</v>
      </c>
      <c r="U172" s="3">
        <f>$V$2*($V$3*$F172+$V$4*$B172^$V$5*$M172^$V$6)*$Q172^$V$7</f>
        <v>0.33306185470397004</v>
      </c>
      <c r="V172" s="3">
        <f t="shared" si="7"/>
        <v>1.0408182959499064</v>
      </c>
      <c r="X172" s="3">
        <f>$Y$2*$B172^$Y$3*$Q172^$Y$4*($Y$5*$M172^$Y$6+$Y$7)</f>
        <v>0.33177054981788312</v>
      </c>
      <c r="Y172" s="3">
        <f t="shared" si="8"/>
        <v>1.0367829681808847</v>
      </c>
      <c r="AA172" s="3"/>
      <c r="AB172" s="3"/>
    </row>
    <row r="173" spans="1:28" x14ac:dyDescent="0.3">
      <c r="B173" s="4">
        <v>20</v>
      </c>
      <c r="C173" s="5">
        <v>1</v>
      </c>
      <c r="D173" s="4">
        <v>40</v>
      </c>
      <c r="E173" s="3">
        <v>2.8</v>
      </c>
      <c r="F173" s="4">
        <v>40</v>
      </c>
      <c r="G173" s="4">
        <v>50</v>
      </c>
      <c r="H173" s="1">
        <v>100</v>
      </c>
      <c r="I173" s="4">
        <v>250</v>
      </c>
      <c r="J173" s="5">
        <v>315</v>
      </c>
      <c r="K173" s="3">
        <v>15000</v>
      </c>
      <c r="L173" s="5">
        <v>75.400393066082174</v>
      </c>
      <c r="M173" s="8">
        <v>2.1000000000000001E-2</v>
      </c>
      <c r="N173" s="3">
        <v>19.21</v>
      </c>
      <c r="O173" s="5">
        <v>298.59179796312708</v>
      </c>
      <c r="P173" s="3">
        <v>0.33</v>
      </c>
      <c r="Q173" s="12">
        <f t="shared" si="6"/>
        <v>1.4929589898156354E-3</v>
      </c>
      <c r="U173" s="3">
        <f>$V$2*($V$3*$F173+$V$4*$B173^$V$5*$M173^$V$6)*$Q173^$V$7</f>
        <v>0.34780650279429842</v>
      </c>
      <c r="V173" s="3">
        <f t="shared" si="7"/>
        <v>1.0539590993766619</v>
      </c>
      <c r="X173" s="3">
        <f>$Y$2*$B173^$Y$3*$Q173^$Y$4*($Y$5*$M173^$Y$6+$Y$7)</f>
        <v>0.34672569896096894</v>
      </c>
      <c r="Y173" s="3">
        <f t="shared" si="8"/>
        <v>1.0506839362453604</v>
      </c>
      <c r="AA173" s="3"/>
      <c r="AB173" s="3"/>
    </row>
    <row r="174" spans="1:28" x14ac:dyDescent="0.3">
      <c r="A174" s="1" t="s">
        <v>41</v>
      </c>
      <c r="B174" s="4">
        <v>10</v>
      </c>
      <c r="C174" s="5">
        <v>1</v>
      </c>
      <c r="D174" s="4">
        <v>45</v>
      </c>
      <c r="E174" s="3">
        <v>2.8</v>
      </c>
      <c r="F174" s="4">
        <v>40</v>
      </c>
      <c r="G174" s="4">
        <v>45</v>
      </c>
      <c r="H174" s="1">
        <v>100</v>
      </c>
      <c r="I174" s="4">
        <v>350</v>
      </c>
      <c r="J174" s="5">
        <v>78.5</v>
      </c>
      <c r="K174" s="3">
        <v>9500</v>
      </c>
      <c r="L174" s="5">
        <v>54.13865484956586</v>
      </c>
      <c r="M174" s="8">
        <v>8.263157894736842E-3</v>
      </c>
      <c r="N174" s="3">
        <v>6.99</v>
      </c>
      <c r="O174" s="5">
        <v>160.39662300030426</v>
      </c>
      <c r="P174" s="3">
        <v>0.15</v>
      </c>
      <c r="Q174" s="12">
        <f t="shared" si="6"/>
        <v>8.0198311500152125E-4</v>
      </c>
      <c r="U174" s="3">
        <f>$V$2*($V$3*$F174+$V$4*$B174^$V$5*$M174^$V$6)*$Q174^$V$7</f>
        <v>0.21947285534346089</v>
      </c>
      <c r="V174" s="3">
        <f t="shared" si="7"/>
        <v>1.4631523689564061</v>
      </c>
      <c r="X174" s="3">
        <f>$Y$2*$B174^$Y$3*$Q174^$Y$4*($Y$5*$M174^$Y$6+$Y$7)</f>
        <v>0.22406890011024494</v>
      </c>
      <c r="Y174" s="3">
        <f t="shared" si="8"/>
        <v>1.4937926674016331</v>
      </c>
      <c r="AA174" s="3"/>
      <c r="AB174" s="3"/>
    </row>
    <row r="175" spans="1:28" x14ac:dyDescent="0.3">
      <c r="B175" s="4">
        <v>10</v>
      </c>
      <c r="C175" s="5">
        <v>1</v>
      </c>
      <c r="D175" s="4">
        <v>45</v>
      </c>
      <c r="E175" s="3">
        <v>2.8</v>
      </c>
      <c r="F175" s="4">
        <v>40</v>
      </c>
      <c r="G175" s="4">
        <v>45</v>
      </c>
      <c r="H175" s="1">
        <v>100</v>
      </c>
      <c r="I175" s="4">
        <v>350</v>
      </c>
      <c r="J175" s="5">
        <v>78.5</v>
      </c>
      <c r="K175" s="3">
        <v>9500</v>
      </c>
      <c r="L175" s="5">
        <v>54.13865484956586</v>
      </c>
      <c r="M175" s="8">
        <v>8.263157894736842E-3</v>
      </c>
      <c r="N175" s="3">
        <v>7.44</v>
      </c>
      <c r="O175" s="5">
        <v>193.87864030635646</v>
      </c>
      <c r="P175" s="3">
        <v>0.19</v>
      </c>
      <c r="Q175" s="12">
        <f t="shared" si="6"/>
        <v>9.6939320153178229E-4</v>
      </c>
      <c r="U175" s="3">
        <f>$V$2*($V$3*$F175+$V$4*$B175^$V$5*$M175^$V$6)*$Q175^$V$7</f>
        <v>0.24670693140548516</v>
      </c>
      <c r="V175" s="3">
        <f t="shared" si="7"/>
        <v>1.2984575337130797</v>
      </c>
      <c r="X175" s="3">
        <f>$Y$2*$B175^$Y$3*$Q175^$Y$4*($Y$5*$M175^$Y$6+$Y$7)</f>
        <v>0.25239910009932337</v>
      </c>
      <c r="Y175" s="3">
        <f t="shared" si="8"/>
        <v>1.3284163163122282</v>
      </c>
      <c r="AA175" s="3"/>
      <c r="AB175" s="3"/>
    </row>
    <row r="176" spans="1:28" x14ac:dyDescent="0.3">
      <c r="B176" s="4">
        <v>10</v>
      </c>
      <c r="C176" s="5">
        <v>1</v>
      </c>
      <c r="D176" s="4">
        <v>45</v>
      </c>
      <c r="E176" s="3">
        <v>2.8</v>
      </c>
      <c r="F176" s="4">
        <v>40</v>
      </c>
      <c r="G176" s="4">
        <v>45</v>
      </c>
      <c r="H176" s="1">
        <v>100</v>
      </c>
      <c r="I176" s="4">
        <v>350</v>
      </c>
      <c r="J176" s="5">
        <v>78.5</v>
      </c>
      <c r="K176" s="3">
        <v>9500</v>
      </c>
      <c r="L176" s="5">
        <v>54.13865484956586</v>
      </c>
      <c r="M176" s="8">
        <v>8.263157894736842E-3</v>
      </c>
      <c r="N176" s="3">
        <v>7.53</v>
      </c>
      <c r="O176" s="5">
        <v>200.57504376756697</v>
      </c>
      <c r="P176" s="3">
        <v>0.2</v>
      </c>
      <c r="Q176" s="12">
        <f t="shared" si="6"/>
        <v>1.0028752188378349E-3</v>
      </c>
      <c r="U176" s="3">
        <f>$V$2*($V$3*$F176+$V$4*$B176^$V$5*$M176^$V$6)*$Q176^$V$7</f>
        <v>0.25193018610652296</v>
      </c>
      <c r="V176" s="3">
        <f t="shared" si="7"/>
        <v>1.2596509305326147</v>
      </c>
      <c r="X176" s="3">
        <f>$Y$2*$B176^$Y$3*$Q176^$Y$4*($Y$5*$M176^$Y$6+$Y$7)</f>
        <v>0.25783915807458391</v>
      </c>
      <c r="Y176" s="3">
        <f t="shared" si="8"/>
        <v>1.2891957903729194</v>
      </c>
      <c r="AA176" s="3"/>
      <c r="AB176" s="3"/>
    </row>
    <row r="177" spans="1:28" x14ac:dyDescent="0.3">
      <c r="B177" s="4">
        <v>10</v>
      </c>
      <c r="C177" s="5">
        <v>1</v>
      </c>
      <c r="D177" s="4">
        <v>45</v>
      </c>
      <c r="E177" s="3">
        <v>2.8</v>
      </c>
      <c r="F177" s="4">
        <v>40</v>
      </c>
      <c r="G177" s="4">
        <v>45</v>
      </c>
      <c r="H177" s="1">
        <v>100</v>
      </c>
      <c r="I177" s="4">
        <v>350</v>
      </c>
      <c r="J177" s="5">
        <v>78.5</v>
      </c>
      <c r="K177" s="3">
        <v>9500</v>
      </c>
      <c r="L177" s="5">
        <v>54.13865484956586</v>
      </c>
      <c r="M177" s="8">
        <v>8.263157894736842E-3</v>
      </c>
      <c r="N177" s="3">
        <v>7.91</v>
      </c>
      <c r="O177" s="5">
        <v>228.84874727045536</v>
      </c>
      <c r="P177" s="3">
        <v>0.23</v>
      </c>
      <c r="Q177" s="12">
        <f t="shared" si="6"/>
        <v>1.1442437363522768E-3</v>
      </c>
      <c r="U177" s="3">
        <f>$V$2*($V$3*$F177+$V$4*$B177^$V$5*$M177^$V$6)*$Q177^$V$7</f>
        <v>0.27328563983650556</v>
      </c>
      <c r="V177" s="3">
        <f t="shared" si="7"/>
        <v>1.1881984340717633</v>
      </c>
      <c r="X177" s="3">
        <f>$Y$2*$B177^$Y$3*$Q177^$Y$4*($Y$5*$M177^$Y$6+$Y$7)</f>
        <v>0.28010152072094868</v>
      </c>
      <c r="Y177" s="3">
        <f t="shared" si="8"/>
        <v>1.2178326987867334</v>
      </c>
      <c r="AA177" s="3"/>
      <c r="AB177" s="3"/>
    </row>
    <row r="178" spans="1:28" x14ac:dyDescent="0.3">
      <c r="B178" s="4">
        <v>10</v>
      </c>
      <c r="C178" s="5">
        <v>1</v>
      </c>
      <c r="D178" s="4">
        <v>45</v>
      </c>
      <c r="E178" s="3">
        <v>2.8</v>
      </c>
      <c r="F178" s="4">
        <v>40</v>
      </c>
      <c r="G178" s="4">
        <v>45</v>
      </c>
      <c r="H178" s="1">
        <v>100</v>
      </c>
      <c r="I178" s="4">
        <v>350</v>
      </c>
      <c r="J178" s="5">
        <v>78.5</v>
      </c>
      <c r="K178" s="3">
        <v>9500</v>
      </c>
      <c r="L178" s="5">
        <v>54.13865484956586</v>
      </c>
      <c r="M178" s="8">
        <v>8.263157894736842E-3</v>
      </c>
      <c r="N178" s="3">
        <v>8.17</v>
      </c>
      <c r="O178" s="5">
        <v>248.19391282506325</v>
      </c>
      <c r="P178" s="3">
        <v>0.25</v>
      </c>
      <c r="Q178" s="12">
        <f t="shared" si="6"/>
        <v>1.2409695641253163E-3</v>
      </c>
      <c r="U178" s="3">
        <f>$V$2*($V$3*$F178+$V$4*$B178^$V$5*$M178^$V$6)*$Q178^$V$7</f>
        <v>0.28731710875647182</v>
      </c>
      <c r="V178" s="3">
        <f t="shared" si="7"/>
        <v>1.1492684350258873</v>
      </c>
      <c r="X178" s="3">
        <f>$Y$2*$B178^$Y$3*$Q178^$Y$4*($Y$5*$M178^$Y$6+$Y$7)</f>
        <v>0.29474592600270827</v>
      </c>
      <c r="Y178" s="3">
        <f t="shared" si="8"/>
        <v>1.1789837040108331</v>
      </c>
      <c r="AA178" s="3"/>
      <c r="AB178" s="3"/>
    </row>
    <row r="179" spans="1:28" x14ac:dyDescent="0.3">
      <c r="B179" s="4">
        <v>10</v>
      </c>
      <c r="C179" s="5">
        <v>1</v>
      </c>
      <c r="D179" s="4">
        <v>45</v>
      </c>
      <c r="E179" s="3">
        <v>2.8</v>
      </c>
      <c r="F179" s="4">
        <v>40</v>
      </c>
      <c r="G179" s="4">
        <v>45</v>
      </c>
      <c r="H179" s="1">
        <v>100</v>
      </c>
      <c r="I179" s="4">
        <v>350</v>
      </c>
      <c r="J179" s="5">
        <v>78.5</v>
      </c>
      <c r="K179" s="3">
        <v>9500</v>
      </c>
      <c r="L179" s="5">
        <v>54.13865484956586</v>
      </c>
      <c r="M179" s="8">
        <v>8.263157894736842E-3</v>
      </c>
      <c r="N179" s="3">
        <v>8.4600000000000009</v>
      </c>
      <c r="O179" s="5">
        <v>269.77121286674145</v>
      </c>
      <c r="P179" s="3">
        <v>0.28000000000000003</v>
      </c>
      <c r="Q179" s="12">
        <f t="shared" si="6"/>
        <v>1.3488560643337073E-3</v>
      </c>
      <c r="U179" s="3">
        <f>$V$2*($V$3*$F179+$V$4*$B179^$V$5*$M179^$V$6)*$Q179^$V$7</f>
        <v>0.30248208005910926</v>
      </c>
      <c r="V179" s="3">
        <f t="shared" si="7"/>
        <v>1.0802931430682472</v>
      </c>
      <c r="X179" s="3">
        <f>$Y$2*$B179^$Y$3*$Q179^$Y$4*($Y$5*$M179^$Y$6+$Y$7)</f>
        <v>0.31058767918979568</v>
      </c>
      <c r="Y179" s="3">
        <f t="shared" si="8"/>
        <v>1.1092417113921273</v>
      </c>
      <c r="AA179" s="3"/>
      <c r="AB179" s="3"/>
    </row>
    <row r="180" spans="1:28" x14ac:dyDescent="0.3">
      <c r="B180" s="4">
        <v>10</v>
      </c>
      <c r="C180" s="5">
        <v>1</v>
      </c>
      <c r="D180" s="4">
        <v>45</v>
      </c>
      <c r="E180" s="3">
        <v>2.8</v>
      </c>
      <c r="F180" s="4">
        <v>40</v>
      </c>
      <c r="G180" s="4">
        <v>45</v>
      </c>
      <c r="H180" s="1">
        <v>100</v>
      </c>
      <c r="I180" s="4">
        <v>350</v>
      </c>
      <c r="J180" s="5">
        <v>78.5</v>
      </c>
      <c r="K180" s="3">
        <v>9500</v>
      </c>
      <c r="L180" s="5">
        <v>54.13865484956586</v>
      </c>
      <c r="M180" s="8">
        <v>8.263157894736842E-3</v>
      </c>
      <c r="N180" s="3">
        <v>8.7200000000000006</v>
      </c>
      <c r="O180" s="5">
        <v>289.11637842134928</v>
      </c>
      <c r="P180" s="3">
        <v>0.31</v>
      </c>
      <c r="Q180" s="12">
        <f t="shared" si="6"/>
        <v>1.4455818921067464E-3</v>
      </c>
      <c r="U180" s="3">
        <f>$V$2*($V$3*$F180+$V$4*$B180^$V$5*$M180^$V$6)*$Q180^$V$7</f>
        <v>0.31568737636236588</v>
      </c>
      <c r="V180" s="3">
        <f t="shared" si="7"/>
        <v>1.0183463753624706</v>
      </c>
      <c r="X180" s="3">
        <f>$Y$2*$B180^$Y$3*$Q180^$Y$4*($Y$5*$M180^$Y$6+$Y$7)</f>
        <v>0.32439386822318156</v>
      </c>
      <c r="Y180" s="3">
        <f t="shared" si="8"/>
        <v>1.0464318329780051</v>
      </c>
      <c r="AA180" s="3"/>
      <c r="AB180" s="3"/>
    </row>
    <row r="181" spans="1:28" x14ac:dyDescent="0.3">
      <c r="B181" s="4">
        <v>10</v>
      </c>
      <c r="C181" s="5">
        <v>1</v>
      </c>
      <c r="D181" s="4">
        <v>45</v>
      </c>
      <c r="E181" s="3">
        <v>2.8</v>
      </c>
      <c r="F181" s="4">
        <v>40</v>
      </c>
      <c r="G181" s="4">
        <v>45</v>
      </c>
      <c r="H181" s="1">
        <v>100</v>
      </c>
      <c r="I181" s="4">
        <v>350</v>
      </c>
      <c r="J181" s="5">
        <v>78.5</v>
      </c>
      <c r="K181" s="3">
        <v>9500</v>
      </c>
      <c r="L181" s="5">
        <v>54.13865484956586</v>
      </c>
      <c r="M181" s="8">
        <v>8.263157894736842E-3</v>
      </c>
      <c r="N181" s="3">
        <v>9.0299999999999994</v>
      </c>
      <c r="O181" s="5">
        <v>312.1817681210739</v>
      </c>
      <c r="P181" s="3">
        <v>0.36</v>
      </c>
      <c r="Q181" s="12">
        <f t="shared" si="6"/>
        <v>1.5609088406053696E-3</v>
      </c>
      <c r="U181" s="3">
        <f>$V$2*($V$3*$F181+$V$4*$B181^$V$5*$M181^$V$6)*$Q181^$V$7</f>
        <v>0.33099757546249825</v>
      </c>
      <c r="V181" s="3">
        <f t="shared" si="7"/>
        <v>0.91943770961805071</v>
      </c>
      <c r="X181" s="3">
        <f>$Y$2*$B181^$Y$3*$Q181^$Y$4*($Y$5*$M181^$Y$6+$Y$7)</f>
        <v>0.34041361107359203</v>
      </c>
      <c r="Y181" s="3">
        <f t="shared" si="8"/>
        <v>0.94559336409331118</v>
      </c>
      <c r="AA181" s="3"/>
      <c r="AB181" s="3"/>
    </row>
    <row r="182" spans="1:28" x14ac:dyDescent="0.3">
      <c r="A182" s="1" t="s">
        <v>42</v>
      </c>
      <c r="B182" s="4">
        <v>10</v>
      </c>
      <c r="C182" s="5">
        <v>1</v>
      </c>
      <c r="D182" s="4">
        <v>45</v>
      </c>
      <c r="E182" s="3">
        <v>2.8</v>
      </c>
      <c r="F182" s="4">
        <v>40</v>
      </c>
      <c r="G182" s="4">
        <v>45</v>
      </c>
      <c r="H182" s="1">
        <v>100</v>
      </c>
      <c r="I182" s="4">
        <v>350</v>
      </c>
      <c r="J182" s="5">
        <v>78.5</v>
      </c>
      <c r="K182" s="3">
        <v>9500</v>
      </c>
      <c r="L182" s="5">
        <v>54.13865484956586</v>
      </c>
      <c r="M182" s="8">
        <v>8.263157894736842E-3</v>
      </c>
      <c r="N182" s="3">
        <v>6.96</v>
      </c>
      <c r="O182" s="5">
        <v>158.1644885132342</v>
      </c>
      <c r="P182" s="3">
        <v>0.16</v>
      </c>
      <c r="Q182" s="12">
        <f t="shared" si="6"/>
        <v>7.9082244256617105E-4</v>
      </c>
      <c r="U182" s="3">
        <f>$V$2*($V$3*$F182+$V$4*$B182^$V$5*$M182^$V$6)*$Q182^$V$7</f>
        <v>0.21758332257089508</v>
      </c>
      <c r="V182" s="3">
        <f t="shared" si="7"/>
        <v>1.3598957660680941</v>
      </c>
      <c r="X182" s="3">
        <f>$Y$2*$B182^$Y$3*$Q182^$Y$4*($Y$5*$M182^$Y$6+$Y$7)</f>
        <v>0.22210555678011754</v>
      </c>
      <c r="Y182" s="3">
        <f t="shared" si="8"/>
        <v>1.3881597298757347</v>
      </c>
      <c r="AA182" s="3"/>
      <c r="AB182" s="3"/>
    </row>
    <row r="183" spans="1:28" x14ac:dyDescent="0.3">
      <c r="B183" s="4">
        <v>10</v>
      </c>
      <c r="C183" s="5">
        <v>1</v>
      </c>
      <c r="D183" s="4">
        <v>45</v>
      </c>
      <c r="E183" s="3">
        <v>2.8</v>
      </c>
      <c r="F183" s="4">
        <v>40</v>
      </c>
      <c r="G183" s="4">
        <v>45</v>
      </c>
      <c r="H183" s="1">
        <v>100</v>
      </c>
      <c r="I183" s="4">
        <v>350</v>
      </c>
      <c r="J183" s="5">
        <v>78.5</v>
      </c>
      <c r="K183" s="3">
        <v>9500</v>
      </c>
      <c r="L183" s="5">
        <v>54.13865484956586</v>
      </c>
      <c r="M183" s="8">
        <v>8.263157894736842E-3</v>
      </c>
      <c r="N183" s="3">
        <v>7.26</v>
      </c>
      <c r="O183" s="5">
        <v>180.48583338393567</v>
      </c>
      <c r="P183" s="3">
        <v>0.18</v>
      </c>
      <c r="Q183" s="12">
        <f t="shared" si="6"/>
        <v>9.0242916691967833E-4</v>
      </c>
      <c r="U183" s="3">
        <f>$V$2*($V$3*$F183+$V$4*$B183^$V$5*$M183^$V$6)*$Q183^$V$7</f>
        <v>0.23604824040447084</v>
      </c>
      <c r="V183" s="3">
        <f t="shared" si="7"/>
        <v>1.3113791133581714</v>
      </c>
      <c r="X183" s="3">
        <f>$Y$2*$B183^$Y$3*$Q183^$Y$4*($Y$5*$M183^$Y$6+$Y$7)</f>
        <v>0.24130441207915473</v>
      </c>
      <c r="Y183" s="3">
        <f t="shared" si="8"/>
        <v>1.3405800671064152</v>
      </c>
      <c r="AA183" s="3"/>
      <c r="AB183" s="3"/>
    </row>
    <row r="184" spans="1:28" x14ac:dyDescent="0.3">
      <c r="B184" s="4">
        <v>10</v>
      </c>
      <c r="C184" s="5">
        <v>1</v>
      </c>
      <c r="D184" s="4">
        <v>45</v>
      </c>
      <c r="E184" s="3">
        <v>2.8</v>
      </c>
      <c r="F184" s="4">
        <v>40</v>
      </c>
      <c r="G184" s="4">
        <v>45</v>
      </c>
      <c r="H184" s="1">
        <v>100</v>
      </c>
      <c r="I184" s="4">
        <v>350</v>
      </c>
      <c r="J184" s="5">
        <v>78.5</v>
      </c>
      <c r="K184" s="3">
        <v>9500</v>
      </c>
      <c r="L184" s="5">
        <v>54.13865484956586</v>
      </c>
      <c r="M184" s="8">
        <v>8.263157894736842E-3</v>
      </c>
      <c r="N184" s="3">
        <v>7.54</v>
      </c>
      <c r="O184" s="5">
        <v>201.31908859659035</v>
      </c>
      <c r="P184" s="3">
        <v>0.2</v>
      </c>
      <c r="Q184" s="12">
        <f t="shared" si="6"/>
        <v>1.0065954429829516E-3</v>
      </c>
      <c r="U184" s="3">
        <f>$V$2*($V$3*$F184+$V$4*$B184^$V$5*$M184^$V$6)*$Q184^$V$7</f>
        <v>0.2525063943690124</v>
      </c>
      <c r="V184" s="3">
        <f t="shared" si="7"/>
        <v>1.2625319718450618</v>
      </c>
      <c r="X184" s="3">
        <f>$Y$2*$B184^$Y$3*$Q184^$Y$4*($Y$5*$M184^$Y$6+$Y$7)</f>
        <v>0.25843940711694968</v>
      </c>
      <c r="Y184" s="3">
        <f t="shared" si="8"/>
        <v>1.2921970355847483</v>
      </c>
      <c r="AA184" s="3"/>
      <c r="AB184" s="3"/>
    </row>
    <row r="185" spans="1:28" x14ac:dyDescent="0.3">
      <c r="B185" s="4">
        <v>10</v>
      </c>
      <c r="C185" s="5">
        <v>1</v>
      </c>
      <c r="D185" s="4">
        <v>45</v>
      </c>
      <c r="E185" s="3">
        <v>2.8</v>
      </c>
      <c r="F185" s="4">
        <v>40</v>
      </c>
      <c r="G185" s="4">
        <v>45</v>
      </c>
      <c r="H185" s="1">
        <v>100</v>
      </c>
      <c r="I185" s="4">
        <v>350</v>
      </c>
      <c r="J185" s="5">
        <v>78.5</v>
      </c>
      <c r="K185" s="3">
        <v>9500</v>
      </c>
      <c r="L185" s="5">
        <v>54.13865484956586</v>
      </c>
      <c r="M185" s="8">
        <v>8.263157894736842E-3</v>
      </c>
      <c r="N185" s="3">
        <v>7.83</v>
      </c>
      <c r="O185" s="5">
        <v>222.89638863826832</v>
      </c>
      <c r="P185" s="3">
        <v>0.23</v>
      </c>
      <c r="Q185" s="12">
        <f t="shared" si="6"/>
        <v>1.1144819431913415E-3</v>
      </c>
      <c r="U185" s="3">
        <f>$V$2*($V$3*$F185+$V$4*$B185^$V$5*$M185^$V$6)*$Q185^$V$7</f>
        <v>0.26887779237219955</v>
      </c>
      <c r="V185" s="3">
        <f t="shared" si="7"/>
        <v>1.1690338798791284</v>
      </c>
      <c r="X185" s="3">
        <f>$Y$2*$B185^$Y$3*$Q185^$Y$4*($Y$5*$M185^$Y$6+$Y$7)</f>
        <v>0.27550386006561917</v>
      </c>
      <c r="Y185" s="3">
        <f t="shared" si="8"/>
        <v>1.1978428698505181</v>
      </c>
      <c r="AA185" s="3"/>
      <c r="AB185" s="3"/>
    </row>
    <row r="186" spans="1:28" x14ac:dyDescent="0.3">
      <c r="B186" s="4">
        <v>10</v>
      </c>
      <c r="C186" s="5">
        <v>1</v>
      </c>
      <c r="D186" s="4">
        <v>45</v>
      </c>
      <c r="E186" s="3">
        <v>2.8</v>
      </c>
      <c r="F186" s="4">
        <v>40</v>
      </c>
      <c r="G186" s="4">
        <v>45</v>
      </c>
      <c r="H186" s="1">
        <v>100</v>
      </c>
      <c r="I186" s="4">
        <v>350</v>
      </c>
      <c r="J186" s="5">
        <v>78.5</v>
      </c>
      <c r="K186" s="3">
        <v>9500</v>
      </c>
      <c r="L186" s="5">
        <v>54.13865484956586</v>
      </c>
      <c r="M186" s="8">
        <v>8.263157894736842E-3</v>
      </c>
      <c r="N186" s="3">
        <v>8.14</v>
      </c>
      <c r="O186" s="5">
        <v>245.96177833799325</v>
      </c>
      <c r="P186" s="3">
        <v>0.24</v>
      </c>
      <c r="Q186" s="12">
        <f t="shared" si="6"/>
        <v>1.2298088916899662E-3</v>
      </c>
      <c r="U186" s="3">
        <f>$V$2*($V$3*$F186+$V$4*$B186^$V$5*$M186^$V$6)*$Q186^$V$7</f>
        <v>0.28572003005107927</v>
      </c>
      <c r="V186" s="3">
        <f t="shared" si="7"/>
        <v>1.1905001252128302</v>
      </c>
      <c r="X186" s="3">
        <f>$Y$2*$B186^$Y$3*$Q186^$Y$4*($Y$5*$M186^$Y$6+$Y$7)</f>
        <v>0.29307842707551618</v>
      </c>
      <c r="Y186" s="3">
        <f t="shared" si="8"/>
        <v>1.2211601128146508</v>
      </c>
      <c r="AA186" s="3"/>
      <c r="AB186" s="3"/>
    </row>
    <row r="187" spans="1:28" x14ac:dyDescent="0.3">
      <c r="B187" s="4">
        <v>10</v>
      </c>
      <c r="C187" s="5">
        <v>1</v>
      </c>
      <c r="D187" s="4">
        <v>45</v>
      </c>
      <c r="E187" s="3">
        <v>2.8</v>
      </c>
      <c r="F187" s="4">
        <v>40</v>
      </c>
      <c r="G187" s="4">
        <v>45</v>
      </c>
      <c r="H187" s="1">
        <v>100</v>
      </c>
      <c r="I187" s="4">
        <v>350</v>
      </c>
      <c r="J187" s="5">
        <v>78.5</v>
      </c>
      <c r="K187" s="3">
        <v>9500</v>
      </c>
      <c r="L187" s="5">
        <v>54.13865484956586</v>
      </c>
      <c r="M187" s="8">
        <v>8.263157894736842E-3</v>
      </c>
      <c r="N187" s="3">
        <v>8.4600000000000009</v>
      </c>
      <c r="O187" s="5">
        <v>269.77121286674145</v>
      </c>
      <c r="P187" s="3">
        <v>0.25</v>
      </c>
      <c r="Q187" s="12">
        <f t="shared" si="6"/>
        <v>1.3488560643337073E-3</v>
      </c>
      <c r="U187" s="3">
        <f>$V$2*($V$3*$F187+$V$4*$B187^$V$5*$M187^$V$6)*$Q187^$V$7</f>
        <v>0.30248208005910926</v>
      </c>
      <c r="V187" s="3">
        <f t="shared" si="7"/>
        <v>1.209928320236437</v>
      </c>
      <c r="X187" s="3">
        <f>$Y$2*$B187^$Y$3*$Q187^$Y$4*($Y$5*$M187^$Y$6+$Y$7)</f>
        <v>0.31058767918979568</v>
      </c>
      <c r="Y187" s="3">
        <f t="shared" si="8"/>
        <v>1.2423507167591827</v>
      </c>
      <c r="AA187" s="3"/>
      <c r="AB187" s="3"/>
    </row>
    <row r="188" spans="1:28" x14ac:dyDescent="0.3">
      <c r="B188" s="4">
        <v>10</v>
      </c>
      <c r="C188" s="5">
        <v>1</v>
      </c>
      <c r="D188" s="4">
        <v>45</v>
      </c>
      <c r="E188" s="3">
        <v>2.8</v>
      </c>
      <c r="F188" s="4">
        <v>40</v>
      </c>
      <c r="G188" s="4">
        <v>45</v>
      </c>
      <c r="H188" s="1">
        <v>100</v>
      </c>
      <c r="I188" s="4">
        <v>350</v>
      </c>
      <c r="J188" s="5">
        <v>78.5</v>
      </c>
      <c r="K188" s="3">
        <v>9500</v>
      </c>
      <c r="L188" s="5">
        <v>54.13865484956586</v>
      </c>
      <c r="M188" s="8">
        <v>8.263157894736842E-3</v>
      </c>
      <c r="N188" s="3">
        <v>8.75</v>
      </c>
      <c r="O188" s="5">
        <v>291.34851290841937</v>
      </c>
      <c r="P188" s="3">
        <v>0.27</v>
      </c>
      <c r="Q188" s="12">
        <f t="shared" si="6"/>
        <v>1.4567425645420969E-3</v>
      </c>
      <c r="U188" s="3">
        <f>$V$2*($V$3*$F188+$V$4*$B188^$V$5*$M188^$V$6)*$Q188^$V$7</f>
        <v>0.31718896076363551</v>
      </c>
      <c r="V188" s="3">
        <f t="shared" si="7"/>
        <v>1.1747739287542056</v>
      </c>
      <c r="X188" s="3">
        <f>$Y$2*$B188^$Y$3*$Q188^$Y$4*($Y$5*$M188^$Y$6+$Y$7)</f>
        <v>0.325964440885536</v>
      </c>
      <c r="Y188" s="3">
        <f t="shared" si="8"/>
        <v>1.2072757069834665</v>
      </c>
      <c r="AA188" s="3"/>
      <c r="AB188" s="3"/>
    </row>
    <row r="189" spans="1:28" x14ac:dyDescent="0.3">
      <c r="B189" s="4">
        <v>10</v>
      </c>
      <c r="C189" s="5">
        <v>1</v>
      </c>
      <c r="D189" s="4">
        <v>45</v>
      </c>
      <c r="E189" s="3">
        <v>2.8</v>
      </c>
      <c r="F189" s="4">
        <v>40</v>
      </c>
      <c r="G189" s="4">
        <v>45</v>
      </c>
      <c r="H189" s="1">
        <v>100</v>
      </c>
      <c r="I189" s="4">
        <v>350</v>
      </c>
      <c r="J189" s="5">
        <v>78.5</v>
      </c>
      <c r="K189" s="3">
        <v>9500</v>
      </c>
      <c r="L189" s="5">
        <v>54.13865484956586</v>
      </c>
      <c r="M189" s="8">
        <v>8.263157894736842E-3</v>
      </c>
      <c r="N189" s="3">
        <v>9.01</v>
      </c>
      <c r="O189" s="5">
        <v>310.69367846302725</v>
      </c>
      <c r="P189" s="3">
        <v>0.28999999999999998</v>
      </c>
      <c r="Q189" s="12">
        <f t="shared" si="6"/>
        <v>1.5534683923151362E-3</v>
      </c>
      <c r="U189" s="3">
        <f>$V$2*($V$3*$F189+$V$4*$B189^$V$5*$M189^$V$6)*$Q189^$V$7</f>
        <v>0.33002319477286318</v>
      </c>
      <c r="V189" s="3">
        <f t="shared" si="7"/>
        <v>1.1380110164581489</v>
      </c>
      <c r="X189" s="3">
        <f>$Y$2*$B189^$Y$3*$Q189^$Y$4*($Y$5*$M189^$Y$6+$Y$7)</f>
        <v>0.33939367290454914</v>
      </c>
      <c r="Y189" s="3">
        <f t="shared" si="8"/>
        <v>1.1703230100156867</v>
      </c>
      <c r="AA189" s="3"/>
      <c r="AB189" s="3"/>
    </row>
    <row r="190" spans="1:28" x14ac:dyDescent="0.3">
      <c r="A190" s="1" t="s">
        <v>43</v>
      </c>
      <c r="B190" s="4">
        <v>10</v>
      </c>
      <c r="C190" s="5">
        <v>1</v>
      </c>
      <c r="D190" s="4">
        <v>45</v>
      </c>
      <c r="E190" s="3">
        <v>2.8</v>
      </c>
      <c r="F190" s="4">
        <v>40</v>
      </c>
      <c r="G190" s="4">
        <v>45</v>
      </c>
      <c r="H190" s="1">
        <v>100</v>
      </c>
      <c r="I190" s="4">
        <v>350</v>
      </c>
      <c r="J190" s="5">
        <v>78.5</v>
      </c>
      <c r="K190" s="3">
        <v>9500</v>
      </c>
      <c r="L190" s="5">
        <v>54.13865484956586</v>
      </c>
      <c r="M190" s="8">
        <v>8.263157894736842E-3</v>
      </c>
      <c r="N190" s="3">
        <v>7.29</v>
      </c>
      <c r="O190" s="5">
        <v>182.71796787100584</v>
      </c>
      <c r="P190" s="3">
        <v>0.15</v>
      </c>
      <c r="Q190" s="12">
        <f t="shared" si="6"/>
        <v>9.1358983935502919E-4</v>
      </c>
      <c r="U190" s="3">
        <f>$V$2*($V$3*$F190+$V$4*$B190^$V$5*$M190^$V$6)*$Q190^$V$7</f>
        <v>0.23784520377014459</v>
      </c>
      <c r="V190" s="3">
        <f t="shared" si="7"/>
        <v>1.5856346918009641</v>
      </c>
      <c r="X190" s="3">
        <f>$Y$2*$B190^$Y$3*$Q190^$Y$4*($Y$5*$M190^$Y$6+$Y$7)</f>
        <v>0.24317426563941091</v>
      </c>
      <c r="Y190" s="3">
        <f t="shared" si="8"/>
        <v>1.6211617709294062</v>
      </c>
      <c r="AA190" s="3"/>
      <c r="AB190" s="3"/>
    </row>
    <row r="191" spans="1:28" x14ac:dyDescent="0.3">
      <c r="B191" s="4">
        <v>10</v>
      </c>
      <c r="C191" s="5">
        <v>1</v>
      </c>
      <c r="D191" s="4">
        <v>45</v>
      </c>
      <c r="E191" s="3">
        <v>2.8</v>
      </c>
      <c r="F191" s="4">
        <v>40</v>
      </c>
      <c r="G191" s="4">
        <v>45</v>
      </c>
      <c r="H191" s="1">
        <v>100</v>
      </c>
      <c r="I191" s="4">
        <v>350</v>
      </c>
      <c r="J191" s="5">
        <v>78.5</v>
      </c>
      <c r="K191" s="3">
        <v>9500</v>
      </c>
      <c r="L191" s="5">
        <v>54.13865484956586</v>
      </c>
      <c r="M191" s="8">
        <v>8.263157894736842E-3</v>
      </c>
      <c r="N191" s="3">
        <v>7.58</v>
      </c>
      <c r="O191" s="5">
        <v>204.29526791268381</v>
      </c>
      <c r="P191" s="3">
        <v>0.16</v>
      </c>
      <c r="Q191" s="12">
        <f t="shared" si="6"/>
        <v>1.0214763395634192E-3</v>
      </c>
      <c r="U191" s="3">
        <f>$V$2*($V$3*$F191+$V$4*$B191^$V$5*$M191^$V$6)*$Q191^$V$7</f>
        <v>0.25480311817872747</v>
      </c>
      <c r="V191" s="3">
        <f t="shared" si="7"/>
        <v>1.5925194886170466</v>
      </c>
      <c r="X191" s="3">
        <f>$Y$2*$B191^$Y$3*$Q191^$Y$4*($Y$5*$M191^$Y$6+$Y$7)</f>
        <v>0.26083219783175282</v>
      </c>
      <c r="Y191" s="3">
        <f t="shared" si="8"/>
        <v>1.630201236448455</v>
      </c>
      <c r="AA191" s="3"/>
      <c r="AB191" s="3"/>
    </row>
    <row r="192" spans="1:28" x14ac:dyDescent="0.3">
      <c r="B192" s="4">
        <v>10</v>
      </c>
      <c r="C192" s="5">
        <v>1</v>
      </c>
      <c r="D192" s="4">
        <v>45</v>
      </c>
      <c r="E192" s="3">
        <v>2.8</v>
      </c>
      <c r="F192" s="4">
        <v>40</v>
      </c>
      <c r="G192" s="4">
        <v>45</v>
      </c>
      <c r="H192" s="1">
        <v>100</v>
      </c>
      <c r="I192" s="4">
        <v>350</v>
      </c>
      <c r="J192" s="5">
        <v>78.5</v>
      </c>
      <c r="K192" s="3">
        <v>9500</v>
      </c>
      <c r="L192" s="5">
        <v>54.13865484956586</v>
      </c>
      <c r="M192" s="8">
        <v>8.263157894736842E-3</v>
      </c>
      <c r="N192" s="3">
        <v>7.99</v>
      </c>
      <c r="O192" s="5">
        <v>234.80110590264246</v>
      </c>
      <c r="P192" s="3">
        <v>0.18</v>
      </c>
      <c r="Q192" s="12">
        <f t="shared" si="6"/>
        <v>1.1740055295132122E-3</v>
      </c>
      <c r="U192" s="3">
        <f>$V$2*($V$3*$F192+$V$4*$B192^$V$5*$M192^$V$6)*$Q192^$V$7</f>
        <v>0.27764978920004102</v>
      </c>
      <c r="V192" s="3">
        <f t="shared" si="7"/>
        <v>1.5424988288891168</v>
      </c>
      <c r="X192" s="3">
        <f>$Y$2*$B192^$Y$3*$Q192^$Y$4*($Y$5*$M192^$Y$6+$Y$7)</f>
        <v>0.28465490430864632</v>
      </c>
      <c r="Y192" s="3">
        <f t="shared" si="8"/>
        <v>1.5814161350480351</v>
      </c>
      <c r="AA192" s="3"/>
      <c r="AB192" s="3"/>
    </row>
    <row r="193" spans="1:28" x14ac:dyDescent="0.3">
      <c r="B193" s="4">
        <v>10</v>
      </c>
      <c r="C193" s="5">
        <v>1</v>
      </c>
      <c r="D193" s="4">
        <v>45</v>
      </c>
      <c r="E193" s="3">
        <v>2.8</v>
      </c>
      <c r="F193" s="4">
        <v>40</v>
      </c>
      <c r="G193" s="4">
        <v>45</v>
      </c>
      <c r="H193" s="1">
        <v>100</v>
      </c>
      <c r="I193" s="4">
        <v>350</v>
      </c>
      <c r="J193" s="5">
        <v>78.5</v>
      </c>
      <c r="K193" s="3">
        <v>9500</v>
      </c>
      <c r="L193" s="5">
        <v>54.13865484956586</v>
      </c>
      <c r="M193" s="8">
        <v>8.263157894736842E-3</v>
      </c>
      <c r="N193" s="3">
        <v>8.23</v>
      </c>
      <c r="O193" s="5">
        <v>252.65818179920353</v>
      </c>
      <c r="P193" s="3">
        <v>0.18</v>
      </c>
      <c r="Q193" s="12">
        <f t="shared" si="6"/>
        <v>1.2632909089960176E-3</v>
      </c>
      <c r="U193" s="3">
        <f>$V$2*($V$3*$F193+$V$4*$B193^$V$5*$M193^$V$6)*$Q193^$V$7</f>
        <v>0.29049485839636791</v>
      </c>
      <c r="V193" s="3">
        <f t="shared" si="7"/>
        <v>1.6138603244242662</v>
      </c>
      <c r="X193" s="3">
        <f>$Y$2*$B193^$Y$3*$Q193^$Y$4*($Y$5*$M193^$Y$6+$Y$7)</f>
        <v>0.2980642832727633</v>
      </c>
      <c r="Y193" s="3">
        <f t="shared" si="8"/>
        <v>1.6559126848486851</v>
      </c>
      <c r="AA193" s="3"/>
      <c r="AB193" s="3"/>
    </row>
    <row r="194" spans="1:28" x14ac:dyDescent="0.3">
      <c r="B194" s="4">
        <v>10</v>
      </c>
      <c r="C194" s="5">
        <v>1</v>
      </c>
      <c r="D194" s="4">
        <v>45</v>
      </c>
      <c r="E194" s="3">
        <v>2.8</v>
      </c>
      <c r="F194" s="4">
        <v>40</v>
      </c>
      <c r="G194" s="4">
        <v>45</v>
      </c>
      <c r="H194" s="1">
        <v>100</v>
      </c>
      <c r="I194" s="4">
        <v>350</v>
      </c>
      <c r="J194" s="5">
        <v>78.5</v>
      </c>
      <c r="K194" s="3">
        <v>9500</v>
      </c>
      <c r="L194" s="5">
        <v>54.13865484956586</v>
      </c>
      <c r="M194" s="8">
        <v>8.263157894736842E-3</v>
      </c>
      <c r="N194" s="3">
        <v>8.4600000000000009</v>
      </c>
      <c r="O194" s="5">
        <v>269.77121286674145</v>
      </c>
      <c r="P194" s="3">
        <v>0.19</v>
      </c>
      <c r="Q194" s="12">
        <f t="shared" si="6"/>
        <v>1.3488560643337073E-3</v>
      </c>
      <c r="U194" s="3">
        <f>$V$2*($V$3*$F194+$V$4*$B194^$V$5*$M194^$V$6)*$Q194^$V$7</f>
        <v>0.30248208005910926</v>
      </c>
      <c r="V194" s="3">
        <f t="shared" si="7"/>
        <v>1.5920109476795223</v>
      </c>
      <c r="X194" s="3">
        <f>$Y$2*$B194^$Y$3*$Q194^$Y$4*($Y$5*$M194^$Y$6+$Y$7)</f>
        <v>0.31058767918979568</v>
      </c>
      <c r="Y194" s="3">
        <f t="shared" si="8"/>
        <v>1.6346719957357667</v>
      </c>
      <c r="AA194" s="3"/>
      <c r="AB194" s="3"/>
    </row>
    <row r="195" spans="1:28" x14ac:dyDescent="0.3">
      <c r="B195" s="4">
        <v>10</v>
      </c>
      <c r="C195" s="5">
        <v>1</v>
      </c>
      <c r="D195" s="4">
        <v>45</v>
      </c>
      <c r="E195" s="3">
        <v>2.8</v>
      </c>
      <c r="F195" s="4">
        <v>40</v>
      </c>
      <c r="G195" s="4">
        <v>45</v>
      </c>
      <c r="H195" s="1">
        <v>100</v>
      </c>
      <c r="I195" s="4">
        <v>350</v>
      </c>
      <c r="J195" s="5">
        <v>78.5</v>
      </c>
      <c r="K195" s="3">
        <v>9500</v>
      </c>
      <c r="L195" s="5">
        <v>54.13865484956586</v>
      </c>
      <c r="M195" s="8">
        <v>8.263157894736842E-3</v>
      </c>
      <c r="N195" s="3">
        <v>8.7100000000000009</v>
      </c>
      <c r="O195" s="5">
        <v>288.37233359232596</v>
      </c>
      <c r="P195" s="3">
        <v>0.2</v>
      </c>
      <c r="Q195" s="12">
        <f t="shared" si="6"/>
        <v>1.4418616679616298E-3</v>
      </c>
      <c r="U195" s="3">
        <f>$V$2*($V$3*$F195+$V$4*$B195^$V$5*$M195^$V$6)*$Q195^$V$7</f>
        <v>0.31518586240827823</v>
      </c>
      <c r="V195" s="3">
        <f t="shared" si="7"/>
        <v>1.5759293120413911</v>
      </c>
      <c r="X195" s="3">
        <f>$Y$2*$B195^$Y$3*$Q195^$Y$4*($Y$5*$M195^$Y$6+$Y$7)</f>
        <v>0.32386934252769439</v>
      </c>
      <c r="Y195" s="3">
        <f t="shared" si="8"/>
        <v>1.619346712638472</v>
      </c>
      <c r="AA195" s="3"/>
      <c r="AB195" s="3"/>
    </row>
    <row r="196" spans="1:28" x14ac:dyDescent="0.3">
      <c r="B196" s="4">
        <v>10</v>
      </c>
      <c r="C196" s="5">
        <v>1</v>
      </c>
      <c r="D196" s="4">
        <v>45</v>
      </c>
      <c r="E196" s="3">
        <v>2.8</v>
      </c>
      <c r="F196" s="4">
        <v>40</v>
      </c>
      <c r="G196" s="4">
        <v>45</v>
      </c>
      <c r="H196" s="1">
        <v>100</v>
      </c>
      <c r="I196" s="4">
        <v>350</v>
      </c>
      <c r="J196" s="5">
        <v>78.5</v>
      </c>
      <c r="K196" s="3">
        <v>9500</v>
      </c>
      <c r="L196" s="5">
        <v>54.13865484956586</v>
      </c>
      <c r="M196" s="8">
        <v>8.263157894736842E-3</v>
      </c>
      <c r="N196" s="3">
        <v>9.0399999999999991</v>
      </c>
      <c r="O196" s="5">
        <v>312.92581295009751</v>
      </c>
      <c r="P196" s="3">
        <v>0.22</v>
      </c>
      <c r="Q196" s="12">
        <f t="shared" si="6"/>
        <v>1.5646290647504876E-3</v>
      </c>
      <c r="U196" s="3">
        <f>$V$2*($V$3*$F196+$V$4*$B196^$V$5*$M196^$V$6)*$Q196^$V$7</f>
        <v>0.33148409859801603</v>
      </c>
      <c r="V196" s="3">
        <f t="shared" si="7"/>
        <v>1.5067459027182546</v>
      </c>
      <c r="X196" s="3">
        <f>$Y$2*$B196^$Y$3*$Q196^$Y$4*($Y$5*$M196^$Y$6+$Y$7)</f>
        <v>0.34092290179999957</v>
      </c>
      <c r="Y196" s="3">
        <f t="shared" si="8"/>
        <v>1.5496495536363617</v>
      </c>
      <c r="AA196" s="3"/>
      <c r="AB196" s="3"/>
    </row>
    <row r="197" spans="1:28" x14ac:dyDescent="0.3">
      <c r="A197" s="1" t="s">
        <v>44</v>
      </c>
      <c r="B197" s="4">
        <v>20</v>
      </c>
      <c r="C197" s="5">
        <v>1</v>
      </c>
      <c r="D197" s="4">
        <v>40</v>
      </c>
      <c r="E197" s="3">
        <v>2.8</v>
      </c>
      <c r="F197" s="4">
        <v>40</v>
      </c>
      <c r="G197" s="4">
        <v>50</v>
      </c>
      <c r="H197" s="1">
        <v>100</v>
      </c>
      <c r="I197" s="4">
        <v>350</v>
      </c>
      <c r="J197" s="5">
        <v>315</v>
      </c>
      <c r="K197" s="3">
        <v>15000</v>
      </c>
      <c r="L197" s="5">
        <v>96.386921369125758</v>
      </c>
      <c r="M197" s="8">
        <v>2.1000000000000001E-2</v>
      </c>
      <c r="N197" s="3">
        <v>18.98</v>
      </c>
      <c r="O197" s="5">
        <v>138.0526533066888</v>
      </c>
      <c r="P197" s="3">
        <v>0.16</v>
      </c>
      <c r="Q197" s="12">
        <f t="shared" si="6"/>
        <v>6.9026326653344396E-4</v>
      </c>
      <c r="U197" s="3">
        <f>$V$2*($V$3*$F197+$V$4*$B197^$V$5*$M197^$V$6)*$Q197^$V$7</f>
        <v>0.21608382806532644</v>
      </c>
      <c r="V197" s="3">
        <f t="shared" si="7"/>
        <v>1.3505239254082901</v>
      </c>
      <c r="X197" s="3">
        <f>$Y$2*$B197^$Y$3*$Q197^$Y$4*($Y$5*$M197^$Y$6+$Y$7)</f>
        <v>0.21359212452444751</v>
      </c>
      <c r="Y197" s="3">
        <f t="shared" si="8"/>
        <v>1.334950778277797</v>
      </c>
      <c r="AA197" s="3"/>
      <c r="AB197" s="3"/>
    </row>
    <row r="198" spans="1:28" x14ac:dyDescent="0.3">
      <c r="B198" s="4">
        <v>20</v>
      </c>
      <c r="C198" s="5">
        <v>1</v>
      </c>
      <c r="D198" s="4">
        <v>40</v>
      </c>
      <c r="E198" s="3">
        <v>2.8</v>
      </c>
      <c r="F198" s="4">
        <v>40</v>
      </c>
      <c r="G198" s="4">
        <v>50</v>
      </c>
      <c r="H198" s="1">
        <v>100</v>
      </c>
      <c r="I198" s="4">
        <v>350</v>
      </c>
      <c r="J198" s="5">
        <v>315</v>
      </c>
      <c r="K198" s="3">
        <v>15000</v>
      </c>
      <c r="L198" s="5">
        <v>96.386921369125758</v>
      </c>
      <c r="M198" s="8">
        <v>2.1000000000000001E-2</v>
      </c>
      <c r="N198" s="3">
        <v>21.93</v>
      </c>
      <c r="O198" s="5">
        <v>183.38520949225352</v>
      </c>
      <c r="P198" s="3">
        <v>0.2</v>
      </c>
      <c r="Q198" s="12">
        <f t="shared" si="6"/>
        <v>9.1692604746126765E-4</v>
      </c>
      <c r="U198" s="3">
        <f>$V$2*($V$3*$F198+$V$4*$B198^$V$5*$M198^$V$6)*$Q198^$V$7</f>
        <v>0.25746039191501857</v>
      </c>
      <c r="V198" s="3">
        <f t="shared" si="7"/>
        <v>1.2873019595750927</v>
      </c>
      <c r="X198" s="3">
        <f>$Y$2*$B198^$Y$3*$Q198^$Y$4*($Y$5*$M198^$Y$6+$Y$7)</f>
        <v>0.25528771229993324</v>
      </c>
      <c r="Y198" s="3">
        <f t="shared" si="8"/>
        <v>1.2764385614996661</v>
      </c>
      <c r="AA198" s="3"/>
      <c r="AB198" s="3"/>
    </row>
    <row r="199" spans="1:28" x14ac:dyDescent="0.3">
      <c r="B199" s="4">
        <v>20</v>
      </c>
      <c r="C199" s="5">
        <v>1</v>
      </c>
      <c r="D199" s="4">
        <v>40</v>
      </c>
      <c r="E199" s="3">
        <v>2.8</v>
      </c>
      <c r="F199" s="4">
        <v>40</v>
      </c>
      <c r="G199" s="4">
        <v>50</v>
      </c>
      <c r="H199" s="1">
        <v>100</v>
      </c>
      <c r="I199" s="4">
        <v>350</v>
      </c>
      <c r="J199" s="5">
        <v>315</v>
      </c>
      <c r="K199" s="3">
        <v>15000</v>
      </c>
      <c r="L199" s="5">
        <v>96.386921369125758</v>
      </c>
      <c r="M199" s="8">
        <v>2.1000000000000001E-2</v>
      </c>
      <c r="N199" s="3">
        <v>24.87</v>
      </c>
      <c r="O199" s="5">
        <v>228.56409599583338</v>
      </c>
      <c r="P199" s="3">
        <v>0.23</v>
      </c>
      <c r="Q199" s="12">
        <f t="shared" si="6"/>
        <v>1.142820479979167E-3</v>
      </c>
      <c r="U199" s="3">
        <f>$V$2*($V$3*$F199+$V$4*$B199^$V$5*$M199^$V$6)*$Q199^$V$7</f>
        <v>0.29493247253367594</v>
      </c>
      <c r="V199" s="3">
        <f t="shared" si="7"/>
        <v>1.282315097972504</v>
      </c>
      <c r="X199" s="3">
        <f>$Y$2*$B199^$Y$3*$Q199^$Y$4*($Y$5*$M199^$Y$6+$Y$7)</f>
        <v>0.29315287514101002</v>
      </c>
      <c r="Y199" s="3">
        <f t="shared" si="8"/>
        <v>1.2745777180043913</v>
      </c>
      <c r="AA199" s="3"/>
      <c r="AB199" s="3"/>
    </row>
    <row r="200" spans="1:28" x14ac:dyDescent="0.3">
      <c r="A200" s="1" t="s">
        <v>45</v>
      </c>
      <c r="B200" s="4">
        <v>20</v>
      </c>
      <c r="C200" s="5">
        <v>1</v>
      </c>
      <c r="D200" s="4">
        <v>40</v>
      </c>
      <c r="E200" s="3">
        <v>2.8</v>
      </c>
      <c r="F200" s="4">
        <v>40</v>
      </c>
      <c r="G200" s="4">
        <v>50</v>
      </c>
      <c r="H200" s="1">
        <v>100</v>
      </c>
      <c r="I200" s="4">
        <v>350</v>
      </c>
      <c r="J200" s="5">
        <v>315</v>
      </c>
      <c r="K200" s="3">
        <v>15000</v>
      </c>
      <c r="L200" s="5">
        <v>96.386921369125758</v>
      </c>
      <c r="M200" s="8">
        <v>2.1000000000000001E-2</v>
      </c>
      <c r="N200" s="3">
        <v>18.98</v>
      </c>
      <c r="O200" s="5">
        <v>152.45029192516247</v>
      </c>
      <c r="P200" s="3">
        <v>0.14000000000000001</v>
      </c>
      <c r="Q200" s="12">
        <f t="shared" si="6"/>
        <v>7.6225145962581238E-4</v>
      </c>
      <c r="U200" s="3">
        <f>$V$2*($V$3*$F200+$V$4*$B200^$V$5*$M200^$V$6)*$Q200^$V$7</f>
        <v>0.22972316228986381</v>
      </c>
      <c r="V200" s="3">
        <f t="shared" si="7"/>
        <v>1.6408797306418841</v>
      </c>
      <c r="X200" s="3">
        <f>$Y$2*$B200^$Y$3*$Q200^$Y$4*($Y$5*$M200^$Y$6+$Y$7)</f>
        <v>0.22732210816672616</v>
      </c>
      <c r="Y200" s="3">
        <f t="shared" si="8"/>
        <v>1.6237293440480438</v>
      </c>
      <c r="AA200" s="3"/>
      <c r="AB200" s="3"/>
    </row>
    <row r="201" spans="1:28" x14ac:dyDescent="0.3">
      <c r="B201" s="4">
        <v>20</v>
      </c>
      <c r="C201" s="5">
        <v>1</v>
      </c>
      <c r="D201" s="4">
        <v>40</v>
      </c>
      <c r="E201" s="3">
        <v>2.8</v>
      </c>
      <c r="F201" s="4">
        <v>40</v>
      </c>
      <c r="G201" s="4">
        <v>50</v>
      </c>
      <c r="H201" s="1">
        <v>100</v>
      </c>
      <c r="I201" s="4">
        <v>350</v>
      </c>
      <c r="J201" s="5">
        <v>315</v>
      </c>
      <c r="K201" s="3">
        <v>15000</v>
      </c>
      <c r="L201" s="5">
        <v>96.386921369125758</v>
      </c>
      <c r="M201" s="8">
        <v>2.1000000000000001E-2</v>
      </c>
      <c r="N201" s="3">
        <v>21.89</v>
      </c>
      <c r="O201" s="5">
        <v>195.55434276626852</v>
      </c>
      <c r="P201" s="3">
        <v>0.17</v>
      </c>
      <c r="Q201" s="12">
        <f t="shared" si="6"/>
        <v>9.7777171383134267E-4</v>
      </c>
      <c r="U201" s="3">
        <f>$V$2*($V$3*$F201+$V$4*$B201^$V$5*$M201^$V$6)*$Q201^$V$7</f>
        <v>0.26787160217618017</v>
      </c>
      <c r="V201" s="3">
        <f t="shared" si="7"/>
        <v>1.5757153069187066</v>
      </c>
      <c r="X201" s="3">
        <f>$Y$2*$B201^$Y$3*$Q201^$Y$4*($Y$5*$M201^$Y$6+$Y$7)</f>
        <v>0.26579884872746268</v>
      </c>
      <c r="Y201" s="3">
        <f t="shared" si="8"/>
        <v>1.5635226395733097</v>
      </c>
      <c r="AA201" s="3"/>
      <c r="AB201" s="3"/>
    </row>
    <row r="202" spans="1:28" x14ac:dyDescent="0.3">
      <c r="B202" s="4">
        <v>20</v>
      </c>
      <c r="C202" s="5">
        <v>1</v>
      </c>
      <c r="D202" s="4">
        <v>40</v>
      </c>
      <c r="E202" s="3">
        <v>2.8</v>
      </c>
      <c r="F202" s="4">
        <v>40</v>
      </c>
      <c r="G202" s="4">
        <v>50</v>
      </c>
      <c r="H202" s="1">
        <v>100</v>
      </c>
      <c r="I202" s="4">
        <v>350</v>
      </c>
      <c r="J202" s="5">
        <v>315</v>
      </c>
      <c r="K202" s="3">
        <v>15000</v>
      </c>
      <c r="L202" s="5">
        <v>96.386921369125758</v>
      </c>
      <c r="M202" s="8">
        <v>2.1000000000000001E-2</v>
      </c>
      <c r="N202" s="3">
        <v>24.82</v>
      </c>
      <c r="O202" s="5">
        <v>237.91998936708421</v>
      </c>
      <c r="P202" s="3">
        <v>0.21</v>
      </c>
      <c r="Q202" s="12">
        <f t="shared" si="6"/>
        <v>1.189599946835421E-3</v>
      </c>
      <c r="U202" s="3">
        <f>$V$2*($V$3*$F202+$V$4*$B202^$V$5*$M202^$V$6)*$Q202^$V$7</f>
        <v>0.30232393682699743</v>
      </c>
      <c r="V202" s="3">
        <f t="shared" si="7"/>
        <v>1.4396377944142735</v>
      </c>
      <c r="X202" s="3">
        <f>$Y$2*$B202^$Y$3*$Q202^$Y$4*($Y$5*$M202^$Y$6+$Y$7)</f>
        <v>0.30063237837208479</v>
      </c>
      <c r="Y202" s="3">
        <f t="shared" si="8"/>
        <v>1.4315827541527848</v>
      </c>
      <c r="AA202" s="3"/>
      <c r="AB202" s="3"/>
    </row>
    <row r="203" spans="1:28" x14ac:dyDescent="0.3">
      <c r="A203" s="1" t="s">
        <v>46</v>
      </c>
      <c r="B203" s="4">
        <v>20</v>
      </c>
      <c r="C203" s="5">
        <v>1</v>
      </c>
      <c r="D203" s="4">
        <v>40</v>
      </c>
      <c r="E203" s="3">
        <v>2.8</v>
      </c>
      <c r="F203" s="4">
        <v>40</v>
      </c>
      <c r="G203" s="4">
        <v>50</v>
      </c>
      <c r="H203" s="1">
        <v>100</v>
      </c>
      <c r="I203" s="4">
        <v>350</v>
      </c>
      <c r="J203" s="5">
        <v>315</v>
      </c>
      <c r="K203" s="3">
        <v>15000</v>
      </c>
      <c r="L203" s="5">
        <v>96.386921369125758</v>
      </c>
      <c r="M203" s="8">
        <v>2.1000000000000001E-2</v>
      </c>
      <c r="N203" s="3">
        <v>13.02</v>
      </c>
      <c r="O203" s="5">
        <v>62.135671537415831</v>
      </c>
      <c r="P203" s="3">
        <v>0.21</v>
      </c>
      <c r="Q203" s="12">
        <f t="shared" si="6"/>
        <v>3.1067835768707917E-4</v>
      </c>
      <c r="U203" s="3">
        <f>$V$2*($V$3*$F203+$V$4*$B203^$V$5*$M203^$V$6)*$Q203^$V$7</f>
        <v>0.13204016067669311</v>
      </c>
      <c r="V203" s="3">
        <f t="shared" si="7"/>
        <v>0.62876266988901486</v>
      </c>
      <c r="X203" s="3">
        <f>$Y$2*$B203^$Y$3*$Q203^$Y$4*($Y$5*$M203^$Y$6+$Y$7)</f>
        <v>0.12937646281393275</v>
      </c>
      <c r="Y203" s="3">
        <f t="shared" si="8"/>
        <v>0.6160783943520608</v>
      </c>
      <c r="AA203" s="3"/>
      <c r="AB203" s="3"/>
    </row>
    <row r="204" spans="1:28" x14ac:dyDescent="0.3">
      <c r="B204" s="4">
        <v>20</v>
      </c>
      <c r="C204" s="5">
        <v>1</v>
      </c>
      <c r="D204" s="4">
        <v>40</v>
      </c>
      <c r="E204" s="3">
        <v>2.8</v>
      </c>
      <c r="F204" s="4">
        <v>40</v>
      </c>
      <c r="G204" s="4">
        <v>50</v>
      </c>
      <c r="H204" s="1">
        <v>100</v>
      </c>
      <c r="I204" s="4">
        <v>350</v>
      </c>
      <c r="J204" s="5">
        <v>315</v>
      </c>
      <c r="K204" s="3">
        <v>15000</v>
      </c>
      <c r="L204" s="5">
        <v>96.386921369125758</v>
      </c>
      <c r="M204" s="8">
        <v>2.1000000000000001E-2</v>
      </c>
      <c r="N204" s="3">
        <v>16.059999999999999</v>
      </c>
      <c r="O204" s="5">
        <v>98.163433805431069</v>
      </c>
      <c r="P204" s="3">
        <v>0.25</v>
      </c>
      <c r="Q204" s="12">
        <f t="shared" ref="Q204:Q267" si="9">O204/200000</f>
        <v>4.9081716902715539E-4</v>
      </c>
      <c r="U204" s="3">
        <f>$V$2*($V$3*$F204+$V$4*$B204^$V$5*$M204^$V$6)*$Q204^$V$7</f>
        <v>0.17508447573556057</v>
      </c>
      <c r="V204" s="3">
        <f t="shared" ref="V204:V267" si="10">U204/$P204</f>
        <v>0.7003379029422423</v>
      </c>
      <c r="X204" s="3">
        <f>$Y$2*$B204^$Y$3*$Q204^$Y$4*($Y$5*$M204^$Y$6+$Y$7)</f>
        <v>0.17241758802124679</v>
      </c>
      <c r="Y204" s="3">
        <f t="shared" ref="Y204:Y267" si="11">X204/$P204</f>
        <v>0.68967035208498717</v>
      </c>
      <c r="AA204" s="3"/>
      <c r="AB204" s="3"/>
    </row>
    <row r="205" spans="1:28" x14ac:dyDescent="0.3">
      <c r="B205" s="4">
        <v>20</v>
      </c>
      <c r="C205" s="5">
        <v>1</v>
      </c>
      <c r="D205" s="4">
        <v>40</v>
      </c>
      <c r="E205" s="3">
        <v>2.8</v>
      </c>
      <c r="F205" s="4">
        <v>40</v>
      </c>
      <c r="G205" s="4">
        <v>50</v>
      </c>
      <c r="H205" s="1">
        <v>100</v>
      </c>
      <c r="I205" s="4">
        <v>350</v>
      </c>
      <c r="J205" s="5">
        <v>315</v>
      </c>
      <c r="K205" s="3">
        <v>15000</v>
      </c>
      <c r="L205" s="5">
        <v>96.386921369125758</v>
      </c>
      <c r="M205" s="8">
        <v>2.1000000000000001E-2</v>
      </c>
      <c r="N205" s="3">
        <v>18.93</v>
      </c>
      <c r="O205" s="5">
        <v>137.28430489676396</v>
      </c>
      <c r="P205" s="3">
        <v>0.28999999999999998</v>
      </c>
      <c r="Q205" s="12">
        <f t="shared" si="9"/>
        <v>6.8642152448381976E-4</v>
      </c>
      <c r="U205" s="3">
        <f>$V$2*($V$3*$F205+$V$4*$B205^$V$5*$M205^$V$6)*$Q205^$V$7</f>
        <v>0.21534100618148491</v>
      </c>
      <c r="V205" s="3">
        <f t="shared" si="10"/>
        <v>0.74255519372925838</v>
      </c>
      <c r="X205" s="3">
        <f>$Y$2*$B205^$Y$3*$Q205^$Y$4*($Y$5*$M205^$Y$6+$Y$7)</f>
        <v>0.21284480071939674</v>
      </c>
      <c r="Y205" s="3">
        <f t="shared" si="11"/>
        <v>0.73394758868757504</v>
      </c>
      <c r="AA205" s="3"/>
      <c r="AB205" s="3"/>
    </row>
    <row r="206" spans="1:28" x14ac:dyDescent="0.3">
      <c r="B206" s="4">
        <v>20</v>
      </c>
      <c r="C206" s="5">
        <v>1</v>
      </c>
      <c r="D206" s="4">
        <v>40</v>
      </c>
      <c r="E206" s="3">
        <v>2.8</v>
      </c>
      <c r="F206" s="4">
        <v>40</v>
      </c>
      <c r="G206" s="4">
        <v>50</v>
      </c>
      <c r="H206" s="1">
        <v>100</v>
      </c>
      <c r="I206" s="4">
        <v>350</v>
      </c>
      <c r="J206" s="5">
        <v>315</v>
      </c>
      <c r="K206" s="3">
        <v>15000</v>
      </c>
      <c r="L206" s="5">
        <v>96.386921369125758</v>
      </c>
      <c r="M206" s="8">
        <v>2.1000000000000001E-2</v>
      </c>
      <c r="N206" s="3">
        <v>21.81</v>
      </c>
      <c r="O206" s="5">
        <v>181.54117330843388</v>
      </c>
      <c r="P206" s="3">
        <v>0.33</v>
      </c>
      <c r="Q206" s="12">
        <f t="shared" si="9"/>
        <v>9.0770586654216937E-4</v>
      </c>
      <c r="U206" s="3">
        <f>$V$2*($V$3*$F206+$V$4*$B206^$V$5*$M206^$V$6)*$Q206^$V$7</f>
        <v>0.25585994931102518</v>
      </c>
      <c r="V206" s="3">
        <f t="shared" si="10"/>
        <v>0.7753331797303793</v>
      </c>
      <c r="X206" s="3">
        <f>$Y$2*$B206^$Y$3*$Q206^$Y$4*($Y$5*$M206^$Y$6+$Y$7)</f>
        <v>0.25367257311409347</v>
      </c>
      <c r="Y206" s="3">
        <f t="shared" si="11"/>
        <v>0.76870476701240442</v>
      </c>
      <c r="AA206" s="3"/>
      <c r="AB206" s="3"/>
    </row>
    <row r="207" spans="1:28" x14ac:dyDescent="0.3">
      <c r="B207" s="4">
        <v>20</v>
      </c>
      <c r="C207" s="5">
        <v>1</v>
      </c>
      <c r="D207" s="4">
        <v>40</v>
      </c>
      <c r="E207" s="3">
        <v>2.8</v>
      </c>
      <c r="F207" s="4">
        <v>40</v>
      </c>
      <c r="G207" s="4">
        <v>50</v>
      </c>
      <c r="H207" s="1">
        <v>100</v>
      </c>
      <c r="I207" s="4">
        <v>350</v>
      </c>
      <c r="J207" s="5">
        <v>315</v>
      </c>
      <c r="K207" s="3">
        <v>15000</v>
      </c>
      <c r="L207" s="5">
        <v>96.386921369125758</v>
      </c>
      <c r="M207" s="8">
        <v>2.1000000000000001E-2</v>
      </c>
      <c r="N207" s="3">
        <v>25.88</v>
      </c>
      <c r="O207" s="5">
        <v>244.0847338763148</v>
      </c>
      <c r="P207" s="3">
        <v>0.37</v>
      </c>
      <c r="Q207" s="12">
        <f t="shared" si="9"/>
        <v>1.220423669381574E-3</v>
      </c>
      <c r="U207" s="3">
        <f>$V$2*($V$3*$F207+$V$4*$B207^$V$5*$M207^$V$6)*$Q207^$V$7</f>
        <v>0.30713351525090044</v>
      </c>
      <c r="V207" s="3">
        <f t="shared" si="10"/>
        <v>0.83009058175919037</v>
      </c>
      <c r="X207" s="3">
        <f>$Y$2*$B207^$Y$3*$Q207^$Y$4*($Y$5*$M207^$Y$6+$Y$7)</f>
        <v>0.305500999441146</v>
      </c>
      <c r="Y207" s="3">
        <f t="shared" si="11"/>
        <v>0.82567837686796219</v>
      </c>
      <c r="AA207" s="3"/>
      <c r="AB207" s="3"/>
    </row>
    <row r="208" spans="1:28" x14ac:dyDescent="0.3">
      <c r="A208" s="1" t="s">
        <v>47</v>
      </c>
      <c r="B208" s="4">
        <v>20</v>
      </c>
      <c r="C208" s="5">
        <v>6</v>
      </c>
      <c r="D208" s="4">
        <v>84</v>
      </c>
      <c r="E208" s="3">
        <v>3.5088212858554391</v>
      </c>
      <c r="F208" s="4">
        <v>50</v>
      </c>
      <c r="G208" s="4">
        <v>64</v>
      </c>
      <c r="H208" s="1">
        <v>600</v>
      </c>
      <c r="I208" s="4">
        <v>400</v>
      </c>
      <c r="J208" s="5">
        <v>1884</v>
      </c>
      <c r="K208" s="3">
        <v>98400</v>
      </c>
      <c r="L208" s="5">
        <v>96.251010941284974</v>
      </c>
      <c r="M208" s="8">
        <v>1.9146341463414634E-2</v>
      </c>
      <c r="N208" s="3">
        <v>103</v>
      </c>
      <c r="O208" s="5">
        <v>56.975991001675538</v>
      </c>
      <c r="P208" s="3">
        <v>0.15</v>
      </c>
      <c r="Q208" s="12">
        <f t="shared" si="9"/>
        <v>2.848799550083777E-4</v>
      </c>
      <c r="U208" s="3">
        <f>$V$2*($V$3*$F208+$V$4*$B208^$V$5*$M208^$V$6)*$Q208^$V$7</f>
        <v>0.13003286424572211</v>
      </c>
      <c r="V208" s="3">
        <f t="shared" si="10"/>
        <v>0.86688576163814746</v>
      </c>
      <c r="X208" s="3">
        <f>$Y$2*$B208^$Y$3*$Q208^$Y$4*($Y$5*$M208^$Y$6+$Y$7)</f>
        <v>0.12758924904879271</v>
      </c>
      <c r="Y208" s="3">
        <f t="shared" si="11"/>
        <v>0.85059499365861813</v>
      </c>
      <c r="AA208" s="3"/>
      <c r="AB208" s="3"/>
    </row>
    <row r="209" spans="1:28" x14ac:dyDescent="0.3">
      <c r="B209" s="4">
        <v>20</v>
      </c>
      <c r="C209" s="5">
        <v>6</v>
      </c>
      <c r="D209" s="4">
        <v>84</v>
      </c>
      <c r="E209" s="3">
        <v>3.5088212858554391</v>
      </c>
      <c r="F209" s="4">
        <v>50</v>
      </c>
      <c r="G209" s="4">
        <v>64</v>
      </c>
      <c r="H209" s="1">
        <v>600</v>
      </c>
      <c r="I209" s="4">
        <v>400</v>
      </c>
      <c r="J209" s="5">
        <v>1884</v>
      </c>
      <c r="K209" s="3">
        <v>98400</v>
      </c>
      <c r="L209" s="5">
        <v>96.251010941284974</v>
      </c>
      <c r="M209" s="8">
        <v>1.9146341463414634E-2</v>
      </c>
      <c r="N209" s="3">
        <v>129</v>
      </c>
      <c r="O209" s="5">
        <v>112.96861695658205</v>
      </c>
      <c r="P209" s="3">
        <v>0.23</v>
      </c>
      <c r="Q209" s="12">
        <f t="shared" si="9"/>
        <v>5.6484308478291028E-4</v>
      </c>
      <c r="U209" s="3">
        <f>$V$2*($V$3*$F209+$V$4*$B209^$V$5*$M209^$V$6)*$Q209^$V$7</f>
        <v>0.19836552867210624</v>
      </c>
      <c r="V209" s="3">
        <f t="shared" si="10"/>
        <v>0.8624588203135054</v>
      </c>
      <c r="X209" s="3">
        <f>$Y$2*$B209^$Y$3*$Q209^$Y$4*($Y$5*$M209^$Y$6+$Y$7)</f>
        <v>0.19610879974205334</v>
      </c>
      <c r="Y209" s="3">
        <f t="shared" si="11"/>
        <v>0.85264695540023183</v>
      </c>
      <c r="AA209" s="3"/>
      <c r="AB209" s="3"/>
    </row>
    <row r="210" spans="1:28" x14ac:dyDescent="0.3">
      <c r="B210" s="4">
        <v>20</v>
      </c>
      <c r="C210" s="5">
        <v>6</v>
      </c>
      <c r="D210" s="4">
        <v>84</v>
      </c>
      <c r="E210" s="3">
        <v>3.5088212858554391</v>
      </c>
      <c r="F210" s="4">
        <v>50</v>
      </c>
      <c r="G210" s="4">
        <v>64</v>
      </c>
      <c r="H210" s="1">
        <v>600</v>
      </c>
      <c r="I210" s="4">
        <v>400</v>
      </c>
      <c r="J210" s="5">
        <v>1884</v>
      </c>
      <c r="K210" s="3">
        <v>98400</v>
      </c>
      <c r="L210" s="5">
        <v>96.251010941284974</v>
      </c>
      <c r="M210" s="8">
        <v>1.9146341463414634E-2</v>
      </c>
      <c r="N210" s="3">
        <v>155</v>
      </c>
      <c r="O210" s="5">
        <v>177.0257707720337</v>
      </c>
      <c r="P210" s="3">
        <v>0.28000000000000003</v>
      </c>
      <c r="Q210" s="12">
        <f t="shared" si="9"/>
        <v>8.8512885386016844E-4</v>
      </c>
      <c r="U210" s="3">
        <f>$V$2*($V$3*$F210+$V$4*$B210^$V$5*$M210^$V$6)*$Q210^$V$7</f>
        <v>0.26171568477890533</v>
      </c>
      <c r="V210" s="3">
        <f t="shared" si="10"/>
        <v>0.93469887421037612</v>
      </c>
      <c r="X210" s="3">
        <f>$Y$2*$B210^$Y$3*$Q210^$Y$4*($Y$5*$M210^$Y$6+$Y$7)</f>
        <v>0.26001984438396802</v>
      </c>
      <c r="Y210" s="3">
        <f t="shared" si="11"/>
        <v>0.92864230137131432</v>
      </c>
      <c r="AA210" s="3"/>
      <c r="AB210" s="3"/>
    </row>
    <row r="211" spans="1:28" x14ac:dyDescent="0.3">
      <c r="A211" s="1" t="s">
        <v>48</v>
      </c>
      <c r="B211" s="4">
        <v>20</v>
      </c>
      <c r="C211" s="5">
        <v>9</v>
      </c>
      <c r="D211" s="4">
        <v>45</v>
      </c>
      <c r="E211" s="3">
        <v>3.5088212858554391</v>
      </c>
      <c r="F211" s="4">
        <v>50</v>
      </c>
      <c r="G211" s="4">
        <v>64</v>
      </c>
      <c r="H211" s="1">
        <v>600</v>
      </c>
      <c r="I211" s="4">
        <v>400</v>
      </c>
      <c r="J211" s="5">
        <v>2826</v>
      </c>
      <c r="K211" s="3">
        <v>98400</v>
      </c>
      <c r="L211" s="5">
        <v>113.55033398296069</v>
      </c>
      <c r="M211" s="8">
        <v>2.8719512195121952E-2</v>
      </c>
      <c r="N211" s="3">
        <v>149</v>
      </c>
      <c r="O211" s="5">
        <v>90.580179942323298</v>
      </c>
      <c r="P211" s="3">
        <v>0.18</v>
      </c>
      <c r="Q211" s="12">
        <f t="shared" si="9"/>
        <v>4.5290089971161646E-4</v>
      </c>
      <c r="U211" s="3">
        <f>$V$2*($V$3*$F211+$V$4*$B211^$V$5*$M211^$V$6)*$Q211^$V$7</f>
        <v>0.14610892262337707</v>
      </c>
      <c r="V211" s="3">
        <f t="shared" si="10"/>
        <v>0.81171623679653937</v>
      </c>
      <c r="X211" s="3">
        <f>$Y$2*$B211^$Y$3*$Q211^$Y$4*($Y$5*$M211^$Y$6+$Y$7)</f>
        <v>0.1436860845770021</v>
      </c>
      <c r="Y211" s="3">
        <f t="shared" si="11"/>
        <v>0.79825602542778951</v>
      </c>
      <c r="AA211" s="3"/>
      <c r="AB211" s="3"/>
    </row>
    <row r="212" spans="1:28" x14ac:dyDescent="0.3">
      <c r="B212" s="4">
        <v>20</v>
      </c>
      <c r="C212" s="5">
        <v>9</v>
      </c>
      <c r="D212" s="4">
        <v>45</v>
      </c>
      <c r="E212" s="3">
        <v>3.5088212858554391</v>
      </c>
      <c r="F212" s="4">
        <v>50</v>
      </c>
      <c r="G212" s="4">
        <v>64</v>
      </c>
      <c r="H212" s="1">
        <v>600</v>
      </c>
      <c r="I212" s="4">
        <v>400</v>
      </c>
      <c r="J212" s="5">
        <v>2826</v>
      </c>
      <c r="K212" s="3">
        <v>98400</v>
      </c>
      <c r="L212" s="5">
        <v>113.55033398296069</v>
      </c>
      <c r="M212" s="8">
        <v>2.8719512195121952E-2</v>
      </c>
      <c r="N212" s="3">
        <v>186</v>
      </c>
      <c r="O212" s="5">
        <v>140.61155696676525</v>
      </c>
      <c r="P212" s="3">
        <v>0.26</v>
      </c>
      <c r="Q212" s="12">
        <f t="shared" si="9"/>
        <v>7.0305778483382628E-4</v>
      </c>
      <c r="U212" s="3">
        <f>$V$2*($V$3*$F212+$V$4*$B212^$V$5*$M212^$V$6)*$Q212^$V$7</f>
        <v>0.19165327036371074</v>
      </c>
      <c r="V212" s="3">
        <f t="shared" si="10"/>
        <v>0.73712796293734895</v>
      </c>
      <c r="X212" s="3">
        <f>$Y$2*$B212^$Y$3*$Q212^$Y$4*($Y$5*$M212^$Y$6+$Y$7)</f>
        <v>0.18938914035541635</v>
      </c>
      <c r="Y212" s="3">
        <f t="shared" si="11"/>
        <v>0.7284197705977552</v>
      </c>
      <c r="AA212" s="3"/>
      <c r="AB212" s="3"/>
    </row>
    <row r="213" spans="1:28" x14ac:dyDescent="0.3">
      <c r="B213" s="4">
        <v>20</v>
      </c>
      <c r="C213" s="5">
        <v>9</v>
      </c>
      <c r="D213" s="4">
        <v>45</v>
      </c>
      <c r="E213" s="3">
        <v>3.5088212858554391</v>
      </c>
      <c r="F213" s="4">
        <v>50</v>
      </c>
      <c r="G213" s="4">
        <v>64</v>
      </c>
      <c r="H213" s="1">
        <v>600</v>
      </c>
      <c r="I213" s="4">
        <v>400</v>
      </c>
      <c r="J213" s="5">
        <v>2826</v>
      </c>
      <c r="K213" s="3">
        <v>98400</v>
      </c>
      <c r="L213" s="5">
        <v>113.55033398296069</v>
      </c>
      <c r="M213" s="8">
        <v>2.8719512195121952E-2</v>
      </c>
      <c r="N213" s="3">
        <v>223</v>
      </c>
      <c r="O213" s="5">
        <v>197.18121767408158</v>
      </c>
      <c r="P213" s="3">
        <v>0.34</v>
      </c>
      <c r="Q213" s="12">
        <f t="shared" si="9"/>
        <v>9.8590608837040793E-4</v>
      </c>
      <c r="U213" s="3">
        <f>$V$2*($V$3*$F213+$V$4*$B213^$V$5*$M213^$V$6)*$Q213^$V$7</f>
        <v>0.23611267834764585</v>
      </c>
      <c r="V213" s="3">
        <f t="shared" si="10"/>
        <v>0.69444905396366419</v>
      </c>
      <c r="X213" s="3">
        <f>$Y$2*$B213^$Y$3*$Q213^$Y$4*($Y$5*$M213^$Y$6+$Y$7)</f>
        <v>0.23419274432514348</v>
      </c>
      <c r="Y213" s="3">
        <f t="shared" si="11"/>
        <v>0.68880218919159841</v>
      </c>
      <c r="AA213" s="3"/>
      <c r="AB213" s="3"/>
    </row>
    <row r="214" spans="1:28" x14ac:dyDescent="0.3">
      <c r="A214" s="1" t="s">
        <v>49</v>
      </c>
      <c r="B214" s="4">
        <v>16</v>
      </c>
      <c r="C214" s="5">
        <v>2</v>
      </c>
      <c r="D214" s="4">
        <v>52</v>
      </c>
      <c r="E214" s="3">
        <v>3.42</v>
      </c>
      <c r="F214" s="4">
        <v>27</v>
      </c>
      <c r="G214" s="4">
        <v>35</v>
      </c>
      <c r="H214" s="1">
        <v>150</v>
      </c>
      <c r="I214" s="4">
        <v>235</v>
      </c>
      <c r="J214" s="5">
        <v>402</v>
      </c>
      <c r="K214" s="3">
        <v>17250</v>
      </c>
      <c r="L214" s="5">
        <v>69.840426640711158</v>
      </c>
      <c r="M214" s="8">
        <v>2.3304347826086955E-2</v>
      </c>
      <c r="N214" s="3">
        <v>16.674999999999997</v>
      </c>
      <c r="O214" s="5">
        <v>148.38140865244287</v>
      </c>
      <c r="P214" s="3">
        <v>0.15</v>
      </c>
      <c r="Q214" s="12">
        <f t="shared" si="9"/>
        <v>7.4190704326221432E-4</v>
      </c>
      <c r="U214" s="3">
        <f>$V$2*($V$3*$F214+$V$4*$B214^$V$5*$M214^$V$6)*$Q214^$V$7</f>
        <v>0.18625951722514394</v>
      </c>
      <c r="V214" s="3">
        <f t="shared" si="10"/>
        <v>1.241730114834293</v>
      </c>
      <c r="X214" s="3">
        <f>$Y$2*$B214^$Y$3*$Q214^$Y$4*($Y$5*$M214^$Y$6+$Y$7)</f>
        <v>0.18275811270502046</v>
      </c>
      <c r="Y214" s="3">
        <f t="shared" si="11"/>
        <v>1.2183874180334697</v>
      </c>
      <c r="AA214" s="3"/>
      <c r="AB214" s="3"/>
    </row>
    <row r="215" spans="1:28" x14ac:dyDescent="0.3">
      <c r="B215" s="4">
        <v>16</v>
      </c>
      <c r="C215" s="5">
        <v>2</v>
      </c>
      <c r="D215" s="4">
        <v>52</v>
      </c>
      <c r="E215" s="3">
        <v>3.42</v>
      </c>
      <c r="F215" s="4">
        <v>27</v>
      </c>
      <c r="G215" s="4">
        <v>35</v>
      </c>
      <c r="H215" s="1">
        <v>150</v>
      </c>
      <c r="I215" s="4">
        <v>235</v>
      </c>
      <c r="J215" s="5">
        <v>402</v>
      </c>
      <c r="K215" s="3">
        <v>17250</v>
      </c>
      <c r="L215" s="5">
        <v>69.840426640711158</v>
      </c>
      <c r="M215" s="8">
        <v>2.3304347826086955E-2</v>
      </c>
      <c r="N215" s="3">
        <v>22.424999999999997</v>
      </c>
      <c r="O215" s="5">
        <v>258.39734230896727</v>
      </c>
      <c r="P215" s="3">
        <v>0.19</v>
      </c>
      <c r="Q215" s="12">
        <f t="shared" si="9"/>
        <v>1.2919867115448362E-3</v>
      </c>
      <c r="U215" s="3">
        <f>$V$2*($V$3*$F215+$V$4*$B215^$V$5*$M215^$V$6)*$Q215^$V$7</f>
        <v>0.26227630101819754</v>
      </c>
      <c r="V215" s="3">
        <f t="shared" si="10"/>
        <v>1.3804015843063029</v>
      </c>
      <c r="X215" s="3">
        <f>$Y$2*$B215^$Y$3*$Q215^$Y$4*($Y$5*$M215^$Y$6+$Y$7)</f>
        <v>0.25892097617370696</v>
      </c>
      <c r="Y215" s="3">
        <f t="shared" si="11"/>
        <v>1.3627419798616156</v>
      </c>
      <c r="AA215" s="3"/>
      <c r="AB215" s="3"/>
    </row>
    <row r="216" spans="1:28" x14ac:dyDescent="0.3">
      <c r="B216" s="4">
        <v>16</v>
      </c>
      <c r="C216" s="5">
        <v>2</v>
      </c>
      <c r="D216" s="4">
        <v>52</v>
      </c>
      <c r="E216" s="3">
        <v>3.42</v>
      </c>
      <c r="F216" s="4">
        <v>27</v>
      </c>
      <c r="G216" s="4">
        <v>35</v>
      </c>
      <c r="H216" s="1">
        <v>150</v>
      </c>
      <c r="I216" s="4">
        <v>235</v>
      </c>
      <c r="J216" s="5">
        <v>402</v>
      </c>
      <c r="K216" s="3">
        <v>17250</v>
      </c>
      <c r="L216" s="5">
        <v>69.840426640711158</v>
      </c>
      <c r="M216" s="8">
        <v>2.3304347826086955E-2</v>
      </c>
      <c r="N216" s="3">
        <v>25.874999999999996</v>
      </c>
      <c r="O216" s="5">
        <v>324.40690250288185</v>
      </c>
      <c r="P216" s="3">
        <v>0.22</v>
      </c>
      <c r="Q216" s="12">
        <f t="shared" si="9"/>
        <v>1.6220345125144092E-3</v>
      </c>
      <c r="U216" s="3">
        <f>$V$2*($V$3*$F216+$V$4*$B216^$V$5*$M216^$V$6)*$Q216^$V$7</f>
        <v>0.30180046946898154</v>
      </c>
      <c r="V216" s="3">
        <f t="shared" si="10"/>
        <v>1.3718203157680979</v>
      </c>
      <c r="X216" s="3">
        <f>$Y$2*$B216^$Y$3*$Q216^$Y$4*($Y$5*$M216^$Y$6+$Y$7)</f>
        <v>0.29868603599567517</v>
      </c>
      <c r="Y216" s="3">
        <f t="shared" si="11"/>
        <v>1.3576637999803416</v>
      </c>
      <c r="AA216" s="3"/>
      <c r="AB216" s="3"/>
    </row>
    <row r="217" spans="1:28" x14ac:dyDescent="0.3">
      <c r="B217" s="4">
        <v>16</v>
      </c>
      <c r="C217" s="5">
        <v>2</v>
      </c>
      <c r="D217" s="4">
        <v>52</v>
      </c>
      <c r="E217" s="3">
        <v>3.42</v>
      </c>
      <c r="F217" s="4">
        <v>27</v>
      </c>
      <c r="G217" s="4">
        <v>35</v>
      </c>
      <c r="H217" s="1">
        <v>150</v>
      </c>
      <c r="I217" s="4">
        <v>235</v>
      </c>
      <c r="J217" s="5">
        <v>402</v>
      </c>
      <c r="K217" s="3">
        <v>17250</v>
      </c>
      <c r="L217" s="5">
        <v>69.840426640711158</v>
      </c>
      <c r="M217" s="8">
        <v>2.3304347826086955E-2</v>
      </c>
      <c r="N217" s="3">
        <v>28.749999999999996</v>
      </c>
      <c r="O217" s="5">
        <v>379.41486933114396</v>
      </c>
      <c r="P217" s="3">
        <v>0.22</v>
      </c>
      <c r="Q217" s="12">
        <f t="shared" si="9"/>
        <v>1.8970743466557199E-3</v>
      </c>
      <c r="U217" s="3">
        <f>$V$2*($V$3*$F217+$V$4*$B217^$V$5*$M217^$V$6)*$Q217^$V$7</f>
        <v>0.33242285865135529</v>
      </c>
      <c r="V217" s="3">
        <f t="shared" si="10"/>
        <v>1.5110129938697967</v>
      </c>
      <c r="X217" s="3">
        <f>$Y$2*$B217^$Y$3*$Q217^$Y$4*($Y$5*$M217^$Y$6+$Y$7)</f>
        <v>0.32955974254221693</v>
      </c>
      <c r="Y217" s="3">
        <f t="shared" si="11"/>
        <v>1.4979988297373497</v>
      </c>
      <c r="AA217" s="3"/>
      <c r="AB217" s="3"/>
    </row>
    <row r="218" spans="1:28" x14ac:dyDescent="0.3">
      <c r="B218" s="4">
        <v>16</v>
      </c>
      <c r="C218" s="5">
        <v>2</v>
      </c>
      <c r="D218" s="4">
        <v>52</v>
      </c>
      <c r="E218" s="3">
        <v>3.42</v>
      </c>
      <c r="F218" s="4">
        <v>27</v>
      </c>
      <c r="G218" s="4">
        <v>35</v>
      </c>
      <c r="H218" s="1">
        <v>150</v>
      </c>
      <c r="I218" s="4">
        <v>235</v>
      </c>
      <c r="J218" s="5">
        <v>402</v>
      </c>
      <c r="K218" s="3">
        <v>17250</v>
      </c>
      <c r="L218" s="5">
        <v>69.840426640711158</v>
      </c>
      <c r="M218" s="8">
        <v>2.3304347826086955E-2</v>
      </c>
      <c r="N218" s="3">
        <v>33.349999999999994</v>
      </c>
      <c r="O218" s="5">
        <v>467.42761625636342</v>
      </c>
      <c r="P218" s="3">
        <v>0.25</v>
      </c>
      <c r="Q218" s="12">
        <f t="shared" si="9"/>
        <v>2.3371380812818171E-3</v>
      </c>
      <c r="U218" s="3">
        <f>$V$2*($V$3*$F218+$V$4*$B218^$V$5*$M218^$V$6)*$Q218^$V$7</f>
        <v>0.37808643199384773</v>
      </c>
      <c r="V218" s="3">
        <f t="shared" si="10"/>
        <v>1.5123457279753909</v>
      </c>
      <c r="X218" s="3">
        <f>$Y$2*$B218^$Y$3*$Q218^$Y$4*($Y$5*$M218^$Y$6+$Y$7)</f>
        <v>0.37569115270818138</v>
      </c>
      <c r="Y218" s="3">
        <f t="shared" si="11"/>
        <v>1.5027646108327255</v>
      </c>
      <c r="AA218" s="3"/>
      <c r="AB218" s="3"/>
    </row>
    <row r="219" spans="1:28" x14ac:dyDescent="0.3">
      <c r="B219" s="4">
        <v>16</v>
      </c>
      <c r="C219" s="5">
        <v>2</v>
      </c>
      <c r="D219" s="4">
        <v>52</v>
      </c>
      <c r="E219" s="3">
        <v>3.42</v>
      </c>
      <c r="F219" s="4">
        <v>27</v>
      </c>
      <c r="G219" s="4">
        <v>35</v>
      </c>
      <c r="H219" s="1">
        <v>150</v>
      </c>
      <c r="I219" s="4">
        <v>235</v>
      </c>
      <c r="J219" s="5">
        <v>402</v>
      </c>
      <c r="K219" s="3">
        <v>17250</v>
      </c>
      <c r="L219" s="5">
        <v>69.840426640711158</v>
      </c>
      <c r="M219" s="8">
        <v>2.3304347826086955E-2</v>
      </c>
      <c r="N219" s="3">
        <v>37.375</v>
      </c>
      <c r="O219" s="5">
        <v>526.10180870720353</v>
      </c>
      <c r="P219" s="3">
        <v>0.28999999999999998</v>
      </c>
      <c r="Q219" s="12">
        <f t="shared" si="9"/>
        <v>2.6305090435360177E-3</v>
      </c>
      <c r="U219" s="3">
        <f>$V$2*($V$3*$F219+$V$4*$B219^$V$5*$M219^$V$6)*$Q219^$V$7</f>
        <v>0.40670301432119355</v>
      </c>
      <c r="V219" s="3">
        <f t="shared" si="10"/>
        <v>1.4024241873144605</v>
      </c>
      <c r="X219" s="3">
        <f>$Y$2*$B219^$Y$3*$Q219^$Y$4*($Y$5*$M219^$Y$6+$Y$7)</f>
        <v>0.40465245185870541</v>
      </c>
      <c r="Y219" s="3">
        <f t="shared" si="11"/>
        <v>1.3953532822713981</v>
      </c>
      <c r="AA219" s="3"/>
      <c r="AB219" s="3"/>
    </row>
    <row r="220" spans="1:28" x14ac:dyDescent="0.3">
      <c r="A220" s="1" t="s">
        <v>50</v>
      </c>
      <c r="B220" s="4">
        <v>20</v>
      </c>
      <c r="C220" s="5">
        <v>2</v>
      </c>
      <c r="D220" s="4">
        <v>44</v>
      </c>
      <c r="E220" s="3">
        <v>3.42</v>
      </c>
      <c r="F220" s="4">
        <v>25</v>
      </c>
      <c r="G220" s="4">
        <v>35</v>
      </c>
      <c r="H220" s="1">
        <v>150</v>
      </c>
      <c r="I220" s="4">
        <v>235</v>
      </c>
      <c r="J220" s="5">
        <v>628</v>
      </c>
      <c r="K220" s="3">
        <v>18375</v>
      </c>
      <c r="L220" s="5">
        <v>82.823824444556394</v>
      </c>
      <c r="M220" s="8">
        <v>3.4176870748299316E-2</v>
      </c>
      <c r="N220" s="3">
        <v>29.324999999999999</v>
      </c>
      <c r="O220" s="5">
        <v>217.58179225653259</v>
      </c>
      <c r="P220" s="3">
        <v>0.17</v>
      </c>
      <c r="Q220" s="12">
        <f t="shared" si="9"/>
        <v>1.0879089612826629E-3</v>
      </c>
      <c r="U220" s="3">
        <f>$V$2*($V$3*$F220+$V$4*$B220^$V$5*$M220^$V$6)*$Q220^$V$7</f>
        <v>0.23362030019985419</v>
      </c>
      <c r="V220" s="3">
        <f t="shared" si="10"/>
        <v>1.3742370599991423</v>
      </c>
      <c r="X220" s="3">
        <f>$Y$2*$B220^$Y$3*$Q220^$Y$4*($Y$5*$M220^$Y$6+$Y$7)</f>
        <v>0.23242191950299912</v>
      </c>
      <c r="Y220" s="3">
        <f t="shared" si="11"/>
        <v>1.3671877617823476</v>
      </c>
      <c r="AA220" s="3"/>
      <c r="AB220" s="3"/>
    </row>
    <row r="221" spans="1:28" x14ac:dyDescent="0.3">
      <c r="B221" s="4">
        <v>20</v>
      </c>
      <c r="C221" s="5">
        <v>2</v>
      </c>
      <c r="D221" s="4">
        <v>44</v>
      </c>
      <c r="E221" s="3">
        <v>3.42</v>
      </c>
      <c r="F221" s="4">
        <v>25</v>
      </c>
      <c r="G221" s="4">
        <v>35</v>
      </c>
      <c r="H221" s="1">
        <v>150</v>
      </c>
      <c r="I221" s="4">
        <v>235</v>
      </c>
      <c r="J221" s="5">
        <v>628</v>
      </c>
      <c r="K221" s="3">
        <v>18375</v>
      </c>
      <c r="L221" s="5">
        <v>82.823824444556394</v>
      </c>
      <c r="M221" s="8">
        <v>3.4176870748299316E-2</v>
      </c>
      <c r="N221" s="3">
        <v>33.349999999999994</v>
      </c>
      <c r="O221" s="5">
        <v>264.4626500049194</v>
      </c>
      <c r="P221" s="3">
        <v>0.19</v>
      </c>
      <c r="Q221" s="12">
        <f t="shared" si="9"/>
        <v>1.322313250024597E-3</v>
      </c>
      <c r="U221" s="3">
        <f>$V$2*($V$3*$F221+$V$4*$B221^$V$5*$M221^$V$6)*$Q221^$V$7</f>
        <v>0.26350949308895494</v>
      </c>
      <c r="V221" s="3">
        <f t="shared" si="10"/>
        <v>1.3868920688892366</v>
      </c>
      <c r="X221" s="3">
        <f>$Y$2*$B221^$Y$3*$Q221^$Y$4*($Y$5*$M221^$Y$6+$Y$7)</f>
        <v>0.2627210863311753</v>
      </c>
      <c r="Y221" s="3">
        <f t="shared" si="11"/>
        <v>1.3827425596377647</v>
      </c>
      <c r="AA221" s="3"/>
      <c r="AB221" s="3"/>
    </row>
    <row r="222" spans="1:28" x14ac:dyDescent="0.3">
      <c r="B222" s="4">
        <v>20</v>
      </c>
      <c r="C222" s="5">
        <v>2</v>
      </c>
      <c r="D222" s="4">
        <v>44</v>
      </c>
      <c r="E222" s="3">
        <v>3.42</v>
      </c>
      <c r="F222" s="4">
        <v>25</v>
      </c>
      <c r="G222" s="4">
        <v>35</v>
      </c>
      <c r="H222" s="1">
        <v>150</v>
      </c>
      <c r="I222" s="4">
        <v>235</v>
      </c>
      <c r="J222" s="5">
        <v>628</v>
      </c>
      <c r="K222" s="3">
        <v>18375</v>
      </c>
      <c r="L222" s="5">
        <v>82.823824444556394</v>
      </c>
      <c r="M222" s="8">
        <v>3.4176870748299316E-2</v>
      </c>
      <c r="N222" s="3">
        <v>38.524999999999999</v>
      </c>
      <c r="O222" s="5">
        <v>324.73803853855986</v>
      </c>
      <c r="P222" s="3">
        <v>0.21</v>
      </c>
      <c r="Q222" s="12">
        <f t="shared" si="9"/>
        <v>1.6236901926927993E-3</v>
      </c>
      <c r="U222" s="3">
        <f>$V$2*($V$3*$F222+$V$4*$B222^$V$5*$M222^$V$6)*$Q222^$V$7</f>
        <v>0.29909794290332026</v>
      </c>
      <c r="V222" s="3">
        <f t="shared" si="10"/>
        <v>1.4242759185872393</v>
      </c>
      <c r="X222" s="3">
        <f>$Y$2*$B222^$Y$3*$Q222^$Y$4*($Y$5*$M222^$Y$6+$Y$7)</f>
        <v>0.29887731206612067</v>
      </c>
      <c r="Y222" s="3">
        <f t="shared" si="11"/>
        <v>1.4232252955529556</v>
      </c>
      <c r="AA222" s="3"/>
      <c r="AB222" s="3"/>
    </row>
    <row r="223" spans="1:28" x14ac:dyDescent="0.3">
      <c r="B223" s="4">
        <v>20</v>
      </c>
      <c r="C223" s="5">
        <v>2</v>
      </c>
      <c r="D223" s="4">
        <v>44</v>
      </c>
      <c r="E223" s="3">
        <v>3.42</v>
      </c>
      <c r="F223" s="4">
        <v>25</v>
      </c>
      <c r="G223" s="4">
        <v>35</v>
      </c>
      <c r="H223" s="1">
        <v>150</v>
      </c>
      <c r="I223" s="4">
        <v>235</v>
      </c>
      <c r="J223" s="5">
        <v>628</v>
      </c>
      <c r="K223" s="3">
        <v>18375</v>
      </c>
      <c r="L223" s="5">
        <v>82.823824444556394</v>
      </c>
      <c r="M223" s="8">
        <v>3.4176870748299316E-2</v>
      </c>
      <c r="N223" s="3">
        <v>40.824999999999996</v>
      </c>
      <c r="O223" s="5">
        <v>351.52710010906668</v>
      </c>
      <c r="P223" s="3">
        <v>0.23</v>
      </c>
      <c r="Q223" s="12">
        <f t="shared" si="9"/>
        <v>1.7576355005453335E-3</v>
      </c>
      <c r="U223" s="3">
        <f>$V$2*($V$3*$F223+$V$4*$B223^$V$5*$M223^$V$6)*$Q223^$V$7</f>
        <v>0.31408995775659643</v>
      </c>
      <c r="V223" s="3">
        <f t="shared" si="10"/>
        <v>1.3656085119852017</v>
      </c>
      <c r="X223" s="3">
        <f>$Y$2*$B223^$Y$3*$Q223^$Y$4*($Y$5*$M223^$Y$6+$Y$7)</f>
        <v>0.31413205538054811</v>
      </c>
      <c r="Y223" s="3">
        <f t="shared" si="11"/>
        <v>1.3657915451328178</v>
      </c>
      <c r="AA223" s="3"/>
      <c r="AB223" s="3"/>
    </row>
    <row r="224" spans="1:28" x14ac:dyDescent="0.3">
      <c r="B224" s="4">
        <v>20</v>
      </c>
      <c r="C224" s="5">
        <v>2</v>
      </c>
      <c r="D224" s="4">
        <v>44</v>
      </c>
      <c r="E224" s="3">
        <v>3.42</v>
      </c>
      <c r="F224" s="4">
        <v>25</v>
      </c>
      <c r="G224" s="4">
        <v>35</v>
      </c>
      <c r="H224" s="1">
        <v>150</v>
      </c>
      <c r="I224" s="4">
        <v>235</v>
      </c>
      <c r="J224" s="5">
        <v>628</v>
      </c>
      <c r="K224" s="3">
        <v>18375</v>
      </c>
      <c r="L224" s="5">
        <v>82.823824444556394</v>
      </c>
      <c r="M224" s="8">
        <v>3.4176870748299316E-2</v>
      </c>
      <c r="N224" s="3">
        <v>46</v>
      </c>
      <c r="O224" s="5">
        <v>411.80248864270709</v>
      </c>
      <c r="P224" s="3">
        <v>0.25</v>
      </c>
      <c r="Q224" s="12">
        <f t="shared" si="9"/>
        <v>2.0590124432135356E-3</v>
      </c>
      <c r="U224" s="3">
        <f>$V$2*($V$3*$F224+$V$4*$B224^$V$5*$M224^$V$6)*$Q224^$V$7</f>
        <v>0.34630643132463557</v>
      </c>
      <c r="V224" s="3">
        <f t="shared" si="10"/>
        <v>1.3852257252985423</v>
      </c>
      <c r="X224" s="3">
        <f>$Y$2*$B224^$Y$3*$Q224^$Y$4*($Y$5*$M224^$Y$6+$Y$7)</f>
        <v>0.34695631255614168</v>
      </c>
      <c r="Y224" s="3">
        <f t="shared" si="11"/>
        <v>1.3878252502245667</v>
      </c>
      <c r="AA224" s="3"/>
      <c r="AB224" s="3"/>
    </row>
    <row r="225" spans="1:28" x14ac:dyDescent="0.3">
      <c r="B225" s="4">
        <v>20</v>
      </c>
      <c r="C225" s="5">
        <v>2</v>
      </c>
      <c r="D225" s="4">
        <v>44</v>
      </c>
      <c r="E225" s="3">
        <v>3.42</v>
      </c>
      <c r="F225" s="4">
        <v>25</v>
      </c>
      <c r="G225" s="4">
        <v>35</v>
      </c>
      <c r="H225" s="1">
        <v>150</v>
      </c>
      <c r="I225" s="4">
        <v>235</v>
      </c>
      <c r="J225" s="5">
        <v>628</v>
      </c>
      <c r="K225" s="3">
        <v>18375</v>
      </c>
      <c r="L225" s="5">
        <v>82.823824444556394</v>
      </c>
      <c r="M225" s="8">
        <v>3.4176870748299316E-2</v>
      </c>
      <c r="N225" s="3">
        <v>56.924999999999997</v>
      </c>
      <c r="O225" s="5">
        <v>525.80672936787971</v>
      </c>
      <c r="P225" s="3">
        <v>0.25</v>
      </c>
      <c r="Q225" s="12">
        <f t="shared" si="9"/>
        <v>2.6290336468393987E-3</v>
      </c>
      <c r="U225" s="3">
        <f>$V$2*($V$3*$F225+$V$4*$B225^$V$5*$M225^$V$6)*$Q225^$V$7</f>
        <v>0.40266806971119901</v>
      </c>
      <c r="V225" s="3">
        <f t="shared" si="10"/>
        <v>1.610672278844796</v>
      </c>
      <c r="X225" s="3">
        <f>$Y$2*$B225^$Y$3*$Q225^$Y$4*($Y$5*$M225^$Y$6+$Y$7)</f>
        <v>0.40450969805738524</v>
      </c>
      <c r="Y225" s="3">
        <f t="shared" si="11"/>
        <v>1.6180387922295409</v>
      </c>
      <c r="AA225" s="3"/>
      <c r="AB225" s="3"/>
    </row>
    <row r="226" spans="1:28" x14ac:dyDescent="0.3">
      <c r="A226" s="1" t="s">
        <v>51</v>
      </c>
      <c r="B226" s="4">
        <v>20</v>
      </c>
      <c r="C226" s="5">
        <v>3</v>
      </c>
      <c r="D226" s="4">
        <v>12</v>
      </c>
      <c r="E226" s="3">
        <v>3.42</v>
      </c>
      <c r="F226" s="4">
        <v>25</v>
      </c>
      <c r="G226" s="4">
        <v>35</v>
      </c>
      <c r="H226" s="1">
        <v>150</v>
      </c>
      <c r="I226" s="4">
        <v>235</v>
      </c>
      <c r="J226" s="5">
        <v>942</v>
      </c>
      <c r="K226" s="3">
        <v>18375</v>
      </c>
      <c r="L226" s="5">
        <v>95.701732145716321</v>
      </c>
      <c r="M226" s="8">
        <v>5.1265306122448978E-2</v>
      </c>
      <c r="N226" s="3">
        <v>39.099999999999994</v>
      </c>
      <c r="O226" s="5">
        <v>203.40215798464635</v>
      </c>
      <c r="P226" s="3">
        <v>0.18</v>
      </c>
      <c r="Q226" s="12">
        <f t="shared" si="9"/>
        <v>1.0170107899232317E-3</v>
      </c>
      <c r="U226" s="3">
        <f>$V$2*($V$3*$F226+$V$4*$B226^$V$5*$M226^$V$6)*$Q226^$V$7</f>
        <v>0.18919609149957287</v>
      </c>
      <c r="V226" s="3">
        <f t="shared" si="10"/>
        <v>1.0510893972198494</v>
      </c>
      <c r="X226" s="3">
        <f>$Y$2*$B226^$Y$3*$Q226^$Y$4*($Y$5*$M226^$Y$6+$Y$7)</f>
        <v>0.19163258688014842</v>
      </c>
      <c r="Y226" s="3">
        <f t="shared" si="11"/>
        <v>1.0646254826674912</v>
      </c>
      <c r="AA226" s="3"/>
      <c r="AB226" s="3"/>
    </row>
    <row r="227" spans="1:28" x14ac:dyDescent="0.3">
      <c r="B227" s="4">
        <v>20</v>
      </c>
      <c r="C227" s="5">
        <v>3</v>
      </c>
      <c r="D227" s="4">
        <v>12</v>
      </c>
      <c r="E227" s="3">
        <v>3.42</v>
      </c>
      <c r="F227" s="4">
        <v>25</v>
      </c>
      <c r="G227" s="4">
        <v>35</v>
      </c>
      <c r="H227" s="1">
        <v>150</v>
      </c>
      <c r="I227" s="4">
        <v>235</v>
      </c>
      <c r="J227" s="5">
        <v>942</v>
      </c>
      <c r="K227" s="3">
        <v>18375</v>
      </c>
      <c r="L227" s="5">
        <v>95.701732145716321</v>
      </c>
      <c r="M227" s="8">
        <v>5.1265306122448978E-2</v>
      </c>
      <c r="N227" s="3">
        <v>44.849999999999994</v>
      </c>
      <c r="O227" s="5">
        <v>246.64112990116564</v>
      </c>
      <c r="P227" s="3">
        <v>0.19</v>
      </c>
      <c r="Q227" s="12">
        <f t="shared" si="9"/>
        <v>1.2332056495058283E-3</v>
      </c>
      <c r="U227" s="3">
        <f>$V$2*($V$3*$F227+$V$4*$B227^$V$5*$M227^$V$6)*$Q227^$V$7</f>
        <v>0.2130890810050326</v>
      </c>
      <c r="V227" s="3">
        <f t="shared" si="10"/>
        <v>1.1215214789738557</v>
      </c>
      <c r="X227" s="3">
        <f>$Y$2*$B227^$Y$3*$Q227^$Y$4*($Y$5*$M227^$Y$6+$Y$7)</f>
        <v>0.21629137809883828</v>
      </c>
      <c r="Y227" s="3">
        <f t="shared" si="11"/>
        <v>1.138375674204412</v>
      </c>
      <c r="AA227" s="3"/>
      <c r="AB227" s="3"/>
    </row>
    <row r="228" spans="1:28" x14ac:dyDescent="0.3">
      <c r="B228" s="4">
        <v>20</v>
      </c>
      <c r="C228" s="5">
        <v>3</v>
      </c>
      <c r="D228" s="4">
        <v>12</v>
      </c>
      <c r="E228" s="3">
        <v>3.42</v>
      </c>
      <c r="F228" s="4">
        <v>25</v>
      </c>
      <c r="G228" s="4">
        <v>35</v>
      </c>
      <c r="H228" s="1">
        <v>150</v>
      </c>
      <c r="I228" s="4">
        <v>235</v>
      </c>
      <c r="J228" s="5">
        <v>942</v>
      </c>
      <c r="K228" s="3">
        <v>18375</v>
      </c>
      <c r="L228" s="5">
        <v>95.701732145716321</v>
      </c>
      <c r="M228" s="8">
        <v>5.1265306122448978E-2</v>
      </c>
      <c r="N228" s="3">
        <v>50.024999999999999</v>
      </c>
      <c r="O228" s="5">
        <v>285.55620462603298</v>
      </c>
      <c r="P228" s="3">
        <v>0.21</v>
      </c>
      <c r="Q228" s="12">
        <f t="shared" si="9"/>
        <v>1.4277810231301648E-3</v>
      </c>
      <c r="U228" s="3">
        <f>$V$2*($V$3*$F228+$V$4*$B228^$V$5*$M228^$V$6)*$Q228^$V$7</f>
        <v>0.23324830688474291</v>
      </c>
      <c r="V228" s="3">
        <f t="shared" si="10"/>
        <v>1.1107062232606806</v>
      </c>
      <c r="X228" s="3">
        <f>$Y$2*$B228^$Y$3*$Q228^$Y$4*($Y$5*$M228^$Y$6+$Y$7)</f>
        <v>0.23713540399265404</v>
      </c>
      <c r="Y228" s="3">
        <f t="shared" si="11"/>
        <v>1.1292162094888287</v>
      </c>
      <c r="AA228" s="3"/>
      <c r="AB228" s="3"/>
    </row>
    <row r="229" spans="1:28" x14ac:dyDescent="0.3">
      <c r="B229" s="4">
        <v>20</v>
      </c>
      <c r="C229" s="5">
        <v>3</v>
      </c>
      <c r="D229" s="4">
        <v>12</v>
      </c>
      <c r="E229" s="3">
        <v>3.42</v>
      </c>
      <c r="F229" s="4">
        <v>25</v>
      </c>
      <c r="G229" s="4">
        <v>35</v>
      </c>
      <c r="H229" s="1">
        <v>150</v>
      </c>
      <c r="I229" s="4">
        <v>235</v>
      </c>
      <c r="J229" s="5">
        <v>942</v>
      </c>
      <c r="K229" s="3">
        <v>18375</v>
      </c>
      <c r="L229" s="5">
        <v>95.701732145716321</v>
      </c>
      <c r="M229" s="8">
        <v>5.1265306122448978E-2</v>
      </c>
      <c r="N229" s="3">
        <v>56.349999999999994</v>
      </c>
      <c r="O229" s="5">
        <v>333.11907373420411</v>
      </c>
      <c r="P229" s="3">
        <v>0.23</v>
      </c>
      <c r="Q229" s="12">
        <f t="shared" si="9"/>
        <v>1.6655953686710205E-3</v>
      </c>
      <c r="U229" s="3">
        <f>$V$2*($V$3*$F229+$V$4*$B229^$V$5*$M229^$V$6)*$Q229^$V$7</f>
        <v>0.25650785781651031</v>
      </c>
      <c r="V229" s="3">
        <f t="shared" si="10"/>
        <v>1.1152515557239577</v>
      </c>
      <c r="X229" s="3">
        <f>$Y$2*$B229^$Y$3*$Q229^$Y$4*($Y$5*$M229^$Y$6+$Y$7)</f>
        <v>0.26122489247513225</v>
      </c>
      <c r="Y229" s="3">
        <f t="shared" si="11"/>
        <v>1.1357604020657923</v>
      </c>
      <c r="AA229" s="3"/>
      <c r="AB229" s="3"/>
    </row>
    <row r="230" spans="1:28" x14ac:dyDescent="0.3">
      <c r="B230" s="4">
        <v>20</v>
      </c>
      <c r="C230" s="5">
        <v>3</v>
      </c>
      <c r="D230" s="4">
        <v>12</v>
      </c>
      <c r="E230" s="3">
        <v>3.42</v>
      </c>
      <c r="F230" s="4">
        <v>25</v>
      </c>
      <c r="G230" s="4">
        <v>35</v>
      </c>
      <c r="H230" s="1">
        <v>150</v>
      </c>
      <c r="I230" s="4">
        <v>235</v>
      </c>
      <c r="J230" s="5">
        <v>942</v>
      </c>
      <c r="K230" s="3">
        <v>18375</v>
      </c>
      <c r="L230" s="5">
        <v>95.701732145716321</v>
      </c>
      <c r="M230" s="8">
        <v>5.1265306122448978E-2</v>
      </c>
      <c r="N230" s="3">
        <v>62.674999999999997</v>
      </c>
      <c r="O230" s="5">
        <v>380.68194284237535</v>
      </c>
      <c r="P230" s="3">
        <v>0.25</v>
      </c>
      <c r="Q230" s="12">
        <f t="shared" si="9"/>
        <v>1.9034097142118767E-3</v>
      </c>
      <c r="U230" s="3">
        <f>$V$2*($V$3*$F230+$V$4*$B230^$V$5*$M230^$V$6)*$Q230^$V$7</f>
        <v>0.27852469484067688</v>
      </c>
      <c r="V230" s="3">
        <f t="shared" si="10"/>
        <v>1.1140987793627075</v>
      </c>
      <c r="X230" s="3">
        <f>$Y$2*$B230^$Y$3*$Q230^$Y$4*($Y$5*$M230^$Y$6+$Y$7)</f>
        <v>0.28406333594905098</v>
      </c>
      <c r="Y230" s="3">
        <f t="shared" si="11"/>
        <v>1.1362533437962039</v>
      </c>
      <c r="AA230" s="3"/>
      <c r="AB230" s="3"/>
    </row>
    <row r="231" spans="1:28" x14ac:dyDescent="0.3">
      <c r="B231" s="4">
        <v>20</v>
      </c>
      <c r="C231" s="5">
        <v>3</v>
      </c>
      <c r="D231" s="4">
        <v>12</v>
      </c>
      <c r="E231" s="3">
        <v>3.42</v>
      </c>
      <c r="F231" s="4">
        <v>25</v>
      </c>
      <c r="G231" s="4">
        <v>35</v>
      </c>
      <c r="H231" s="1">
        <v>150</v>
      </c>
      <c r="I231" s="4">
        <v>235</v>
      </c>
      <c r="J231" s="5">
        <v>942</v>
      </c>
      <c r="K231" s="3">
        <v>18375</v>
      </c>
      <c r="L231" s="5">
        <v>95.701732145716321</v>
      </c>
      <c r="M231" s="8">
        <v>5.1265306122448978E-2</v>
      </c>
      <c r="N231" s="3">
        <v>68.424999999999997</v>
      </c>
      <c r="O231" s="5">
        <v>423.92091475889458</v>
      </c>
      <c r="P231" s="3">
        <v>0.28999999999999998</v>
      </c>
      <c r="Q231" s="12">
        <f t="shared" si="9"/>
        <v>2.1196045737944731E-3</v>
      </c>
      <c r="U231" s="3">
        <f>$V$2*($V$3*$F231+$V$4*$B231^$V$5*$M231^$V$6)*$Q231^$V$7</f>
        <v>0.29764016089866291</v>
      </c>
      <c r="V231" s="3">
        <f t="shared" si="10"/>
        <v>1.0263453824091826</v>
      </c>
      <c r="X231" s="3">
        <f>$Y$2*$B231^$Y$3*$Q231^$Y$4*($Y$5*$M231^$Y$6+$Y$7)</f>
        <v>0.30391837240716807</v>
      </c>
      <c r="Y231" s="3">
        <f t="shared" si="11"/>
        <v>1.0479943876109243</v>
      </c>
      <c r="AA231" s="3"/>
      <c r="AB231" s="3"/>
    </row>
    <row r="232" spans="1:28" x14ac:dyDescent="0.3">
      <c r="B232" s="4">
        <v>20</v>
      </c>
      <c r="C232" s="5">
        <v>3</v>
      </c>
      <c r="D232" s="4">
        <v>12</v>
      </c>
      <c r="E232" s="3">
        <v>3.42</v>
      </c>
      <c r="F232" s="4">
        <v>25</v>
      </c>
      <c r="G232" s="4">
        <v>35</v>
      </c>
      <c r="H232" s="1">
        <v>150</v>
      </c>
      <c r="I232" s="4">
        <v>235</v>
      </c>
      <c r="J232" s="5">
        <v>942</v>
      </c>
      <c r="K232" s="3">
        <v>18375</v>
      </c>
      <c r="L232" s="5">
        <v>95.701732145716321</v>
      </c>
      <c r="M232" s="8">
        <v>5.1265306122448978E-2</v>
      </c>
      <c r="N232" s="3">
        <v>74.174999999999997</v>
      </c>
      <c r="O232" s="5">
        <v>467.15988667541376</v>
      </c>
      <c r="P232" s="3">
        <v>0.31</v>
      </c>
      <c r="Q232" s="12">
        <f t="shared" si="9"/>
        <v>2.335799433377069E-3</v>
      </c>
      <c r="U232" s="3">
        <f>$V$2*($V$3*$F232+$V$4*$B232^$V$5*$M232^$V$6)*$Q232^$V$7</f>
        <v>0.31602178588390983</v>
      </c>
      <c r="V232" s="3">
        <f t="shared" si="10"/>
        <v>1.0194251157545478</v>
      </c>
      <c r="X232" s="3">
        <f>$Y$2*$B232^$Y$3*$Q232^$Y$4*($Y$5*$M232^$Y$6+$Y$7)</f>
        <v>0.32303266091137955</v>
      </c>
      <c r="Y232" s="3">
        <f t="shared" si="11"/>
        <v>1.0420408416496114</v>
      </c>
      <c r="AA232" s="3"/>
      <c r="AB232" s="3"/>
    </row>
    <row r="233" spans="1:28" x14ac:dyDescent="0.3">
      <c r="B233" s="4">
        <v>20</v>
      </c>
      <c r="C233" s="5">
        <v>3</v>
      </c>
      <c r="D233" s="4">
        <v>12</v>
      </c>
      <c r="E233" s="3">
        <v>3.42</v>
      </c>
      <c r="F233" s="4">
        <v>25</v>
      </c>
      <c r="G233" s="4">
        <v>35</v>
      </c>
      <c r="H233" s="1">
        <v>150</v>
      </c>
      <c r="I233" s="4">
        <v>235</v>
      </c>
      <c r="J233" s="5">
        <v>942</v>
      </c>
      <c r="K233" s="3">
        <v>18375</v>
      </c>
      <c r="L233" s="5">
        <v>95.701732145716321</v>
      </c>
      <c r="M233" s="8">
        <v>5.1265306122448978E-2</v>
      </c>
      <c r="N233" s="3">
        <v>79.349999999999994</v>
      </c>
      <c r="O233" s="5">
        <v>501.10623509507292</v>
      </c>
      <c r="P233" s="3">
        <v>0.37</v>
      </c>
      <c r="Q233" s="12">
        <f t="shared" si="9"/>
        <v>2.5055311754753648E-3</v>
      </c>
      <c r="U233" s="3">
        <f>$V$2*($V$3*$F233+$V$4*$B233^$V$5*$M233^$V$6)*$Q233^$V$7</f>
        <v>0.32999964505085183</v>
      </c>
      <c r="V233" s="3">
        <f t="shared" si="10"/>
        <v>0.89189093256986984</v>
      </c>
      <c r="X233" s="3">
        <f>$Y$2*$B233^$Y$3*$Q233^$Y$4*($Y$5*$M233^$Y$6+$Y$7)</f>
        <v>0.3375809969807318</v>
      </c>
      <c r="Y233" s="3">
        <f t="shared" si="11"/>
        <v>0.91238107292089676</v>
      </c>
      <c r="AA233" s="3"/>
      <c r="AB233" s="3"/>
    </row>
    <row r="234" spans="1:28" x14ac:dyDescent="0.3">
      <c r="A234" s="1" t="s">
        <v>52</v>
      </c>
      <c r="B234" s="4">
        <v>16</v>
      </c>
      <c r="C234" s="5">
        <v>2</v>
      </c>
      <c r="D234" s="4">
        <v>52</v>
      </c>
      <c r="E234" s="3">
        <v>2.98</v>
      </c>
      <c r="F234" s="4">
        <v>27</v>
      </c>
      <c r="G234" s="4">
        <v>35</v>
      </c>
      <c r="H234" s="1">
        <v>150</v>
      </c>
      <c r="I234" s="4">
        <v>235</v>
      </c>
      <c r="J234" s="5">
        <v>402</v>
      </c>
      <c r="K234" s="3">
        <v>17250</v>
      </c>
      <c r="L234" s="5">
        <v>67.594050734713008</v>
      </c>
      <c r="M234" s="8">
        <v>2.3304347826086955E-2</v>
      </c>
      <c r="N234" s="3">
        <v>26.45</v>
      </c>
      <c r="O234" s="5">
        <v>338.45671348122494</v>
      </c>
      <c r="P234" s="3">
        <v>0.16</v>
      </c>
      <c r="Q234" s="12">
        <f t="shared" si="9"/>
        <v>1.6922835674061246E-3</v>
      </c>
      <c r="U234" s="3">
        <f>$V$2*($V$3*$F234+$V$4*$B234^$V$5*$M234^$V$6)*$Q234^$V$7</f>
        <v>0.30979953449565484</v>
      </c>
      <c r="V234" s="3">
        <f t="shared" si="10"/>
        <v>1.9362470905978426</v>
      </c>
      <c r="X234" s="3">
        <f>$Y$2*$B234^$Y$3*$Q234^$Y$4*($Y$5*$M234^$Y$6+$Y$7)</f>
        <v>0.30674557928676371</v>
      </c>
      <c r="Y234" s="3">
        <f t="shared" si="11"/>
        <v>1.9171598705422732</v>
      </c>
      <c r="AA234" s="3"/>
      <c r="AB234" s="3"/>
    </row>
    <row r="235" spans="1:28" x14ac:dyDescent="0.3">
      <c r="B235" s="4">
        <v>16</v>
      </c>
      <c r="C235" s="5">
        <v>2</v>
      </c>
      <c r="D235" s="4">
        <v>52</v>
      </c>
      <c r="E235" s="3">
        <v>2.98</v>
      </c>
      <c r="F235" s="4">
        <v>27</v>
      </c>
      <c r="G235" s="4">
        <v>35</v>
      </c>
      <c r="H235" s="1">
        <v>150</v>
      </c>
      <c r="I235" s="4">
        <v>235</v>
      </c>
      <c r="J235" s="5">
        <v>402</v>
      </c>
      <c r="K235" s="3">
        <v>17250</v>
      </c>
      <c r="L235" s="5">
        <v>67.594050734713008</v>
      </c>
      <c r="M235" s="8">
        <v>2.3304347826086955E-2</v>
      </c>
      <c r="N235" s="3">
        <v>31.624999999999996</v>
      </c>
      <c r="O235" s="5">
        <v>433.44874130170848</v>
      </c>
      <c r="P235" s="3">
        <v>0.2</v>
      </c>
      <c r="Q235" s="12">
        <f t="shared" si="9"/>
        <v>2.1672437065085423E-3</v>
      </c>
      <c r="U235" s="3">
        <f>$V$2*($V$3*$F235+$V$4*$B235^$V$5*$M235^$V$6)*$Q235^$V$7</f>
        <v>0.36088424045635997</v>
      </c>
      <c r="V235" s="3">
        <f t="shared" si="10"/>
        <v>1.8044212022817998</v>
      </c>
      <c r="X235" s="3">
        <f>$Y$2*$B235^$Y$3*$Q235^$Y$4*($Y$5*$M235^$Y$6+$Y$7)</f>
        <v>0.35830036418237415</v>
      </c>
      <c r="Y235" s="3">
        <f t="shared" si="11"/>
        <v>1.7915018209118707</v>
      </c>
      <c r="AA235" s="3"/>
      <c r="AB235" s="3"/>
    </row>
    <row r="236" spans="1:28" x14ac:dyDescent="0.3">
      <c r="B236" s="4">
        <v>16</v>
      </c>
      <c r="C236" s="5">
        <v>2</v>
      </c>
      <c r="D236" s="4">
        <v>52</v>
      </c>
      <c r="E236" s="3">
        <v>2.98</v>
      </c>
      <c r="F236" s="4">
        <v>27</v>
      </c>
      <c r="G236" s="4">
        <v>35</v>
      </c>
      <c r="H236" s="1">
        <v>150</v>
      </c>
      <c r="I236" s="4">
        <v>235</v>
      </c>
      <c r="J236" s="5">
        <v>402</v>
      </c>
      <c r="K236" s="3">
        <v>17250</v>
      </c>
      <c r="L236" s="5">
        <v>67.594050734713008</v>
      </c>
      <c r="M236" s="8">
        <v>2.3304347826086955E-2</v>
      </c>
      <c r="N236" s="3">
        <v>37.375</v>
      </c>
      <c r="O236" s="5">
        <v>523.88203180799201</v>
      </c>
      <c r="P236" s="3">
        <v>0.26</v>
      </c>
      <c r="Q236" s="12">
        <f t="shared" si="9"/>
        <v>2.61941015903996E-3</v>
      </c>
      <c r="U236" s="3">
        <f>$V$2*($V$3*$F236+$V$4*$B236^$V$5*$M236^$V$6)*$Q236^$V$7</f>
        <v>0.40564338604884759</v>
      </c>
      <c r="V236" s="3">
        <f t="shared" si="10"/>
        <v>1.5601668694186446</v>
      </c>
      <c r="X236" s="3">
        <f>$Y$2*$B236^$Y$3*$Q236^$Y$4*($Y$5*$M236^$Y$6+$Y$7)</f>
        <v>0.40357939506904322</v>
      </c>
      <c r="Y236" s="3">
        <f t="shared" si="11"/>
        <v>1.5522284425732431</v>
      </c>
      <c r="AA236" s="3"/>
      <c r="AB236" s="3"/>
    </row>
    <row r="237" spans="1:28" x14ac:dyDescent="0.3">
      <c r="A237" s="1" t="s">
        <v>53</v>
      </c>
      <c r="B237" s="4">
        <v>20</v>
      </c>
      <c r="C237" s="5">
        <v>2</v>
      </c>
      <c r="D237" s="4">
        <v>44</v>
      </c>
      <c r="E237" s="3">
        <v>2.98</v>
      </c>
      <c r="F237" s="4">
        <v>25</v>
      </c>
      <c r="G237" s="4">
        <v>35</v>
      </c>
      <c r="H237" s="1">
        <v>150</v>
      </c>
      <c r="I237" s="4">
        <v>235</v>
      </c>
      <c r="J237" s="5">
        <v>628</v>
      </c>
      <c r="K237" s="3">
        <v>18375</v>
      </c>
      <c r="L237" s="5">
        <v>80.321192218194966</v>
      </c>
      <c r="M237" s="8">
        <v>3.4176870748299316E-2</v>
      </c>
      <c r="N237" s="3">
        <v>28.749999999999996</v>
      </c>
      <c r="O237" s="5">
        <v>217.08100493447304</v>
      </c>
      <c r="P237" s="3">
        <v>0.17</v>
      </c>
      <c r="Q237" s="12">
        <f t="shared" si="9"/>
        <v>1.0854050246723653E-3</v>
      </c>
      <c r="U237" s="3">
        <f>$V$2*($V$3*$F237+$V$4*$B237^$V$5*$M237^$V$6)*$Q237^$V$7</f>
        <v>0.23328839191182635</v>
      </c>
      <c r="V237" s="3">
        <f t="shared" si="10"/>
        <v>1.3722846583048607</v>
      </c>
      <c r="X237" s="3">
        <f>$Y$2*$B237^$Y$3*$Q237^$Y$4*($Y$5*$M237^$Y$6+$Y$7)</f>
        <v>0.23208583105888297</v>
      </c>
      <c r="Y237" s="3">
        <f t="shared" si="11"/>
        <v>1.3652107709346055</v>
      </c>
      <c r="AA237" s="3"/>
      <c r="AB237" s="3"/>
    </row>
    <row r="238" spans="1:28" x14ac:dyDescent="0.3">
      <c r="B238" s="4">
        <v>20</v>
      </c>
      <c r="C238" s="5">
        <v>2</v>
      </c>
      <c r="D238" s="4">
        <v>44</v>
      </c>
      <c r="E238" s="3">
        <v>2.98</v>
      </c>
      <c r="F238" s="4">
        <v>25</v>
      </c>
      <c r="G238" s="4">
        <v>35</v>
      </c>
      <c r="H238" s="1">
        <v>150</v>
      </c>
      <c r="I238" s="4">
        <v>235</v>
      </c>
      <c r="J238" s="5">
        <v>628</v>
      </c>
      <c r="K238" s="3">
        <v>18375</v>
      </c>
      <c r="L238" s="5">
        <v>80.321192218194966</v>
      </c>
      <c r="M238" s="8">
        <v>3.4176870748299316E-2</v>
      </c>
      <c r="N238" s="3">
        <v>32.774999999999999</v>
      </c>
      <c r="O238" s="5">
        <v>262.36532615965365</v>
      </c>
      <c r="P238" s="3">
        <v>0.19</v>
      </c>
      <c r="Q238" s="12">
        <f t="shared" si="9"/>
        <v>1.3118266307982683E-3</v>
      </c>
      <c r="U238" s="3">
        <f>$V$2*($V$3*$F238+$V$4*$B238^$V$5*$M238^$V$6)*$Q238^$V$7</f>
        <v>0.26221814281981792</v>
      </c>
      <c r="V238" s="3">
        <f t="shared" si="10"/>
        <v>1.3800954885253576</v>
      </c>
      <c r="X238" s="3">
        <f>$Y$2*$B238^$Y$3*$Q238^$Y$4*($Y$5*$M238^$Y$6+$Y$7)</f>
        <v>0.26141070348275586</v>
      </c>
      <c r="Y238" s="3">
        <f t="shared" si="11"/>
        <v>1.3758458078039781</v>
      </c>
      <c r="AA238" s="3"/>
      <c r="AB238" s="3"/>
    </row>
    <row r="239" spans="1:28" x14ac:dyDescent="0.3">
      <c r="B239" s="4">
        <v>20</v>
      </c>
      <c r="C239" s="5">
        <v>2</v>
      </c>
      <c r="D239" s="4">
        <v>44</v>
      </c>
      <c r="E239" s="3">
        <v>2.98</v>
      </c>
      <c r="F239" s="4">
        <v>25</v>
      </c>
      <c r="G239" s="4">
        <v>35</v>
      </c>
      <c r="H239" s="1">
        <v>150</v>
      </c>
      <c r="I239" s="4">
        <v>235</v>
      </c>
      <c r="J239" s="5">
        <v>628</v>
      </c>
      <c r="K239" s="3">
        <v>18375</v>
      </c>
      <c r="L239" s="5">
        <v>80.321192218194966</v>
      </c>
      <c r="M239" s="8">
        <v>3.4176870748299316E-2</v>
      </c>
      <c r="N239" s="3">
        <v>37.949999999999996</v>
      </c>
      <c r="O239" s="5">
        <v>320.58802487774301</v>
      </c>
      <c r="P239" s="3">
        <v>0.23</v>
      </c>
      <c r="Q239" s="12">
        <f t="shared" si="9"/>
        <v>1.602940124388715E-3</v>
      </c>
      <c r="U239" s="3">
        <f>$V$2*($V$3*$F239+$V$4*$B239^$V$5*$M239^$V$6)*$Q239^$V$7</f>
        <v>0.29673375063373536</v>
      </c>
      <c r="V239" s="3">
        <f t="shared" si="10"/>
        <v>1.2901467418858059</v>
      </c>
      <c r="X239" s="3">
        <f>$Y$2*$B239^$Y$3*$Q239^$Y$4*($Y$5*$M239^$Y$6+$Y$7)</f>
        <v>0.29647291541703491</v>
      </c>
      <c r="Y239" s="3">
        <f t="shared" si="11"/>
        <v>1.2890126757262388</v>
      </c>
      <c r="AA239" s="3"/>
      <c r="AB239" s="3"/>
    </row>
    <row r="240" spans="1:28" x14ac:dyDescent="0.3">
      <c r="B240" s="4">
        <v>20</v>
      </c>
      <c r="C240" s="5">
        <v>2</v>
      </c>
      <c r="D240" s="4">
        <v>44</v>
      </c>
      <c r="E240" s="3">
        <v>2.98</v>
      </c>
      <c r="F240" s="4">
        <v>25</v>
      </c>
      <c r="G240" s="4">
        <v>35</v>
      </c>
      <c r="H240" s="1">
        <v>150</v>
      </c>
      <c r="I240" s="4">
        <v>235</v>
      </c>
      <c r="J240" s="5">
        <v>628</v>
      </c>
      <c r="K240" s="3">
        <v>18375</v>
      </c>
      <c r="L240" s="5">
        <v>80.321192218194966</v>
      </c>
      <c r="M240" s="8">
        <v>3.4176870748299316E-2</v>
      </c>
      <c r="N240" s="3">
        <v>40.25</v>
      </c>
      <c r="O240" s="5">
        <v>346.46477986356052</v>
      </c>
      <c r="P240" s="3">
        <v>0.25</v>
      </c>
      <c r="Q240" s="12">
        <f t="shared" si="9"/>
        <v>1.7323238993178025E-3</v>
      </c>
      <c r="U240" s="3">
        <f>$V$2*($V$3*$F240+$V$4*$B240^$V$5*$M240^$V$6)*$Q240^$V$7</f>
        <v>0.31129140139898437</v>
      </c>
      <c r="V240" s="3">
        <f t="shared" si="10"/>
        <v>1.2451656055959375</v>
      </c>
      <c r="X240" s="3">
        <f>$Y$2*$B240^$Y$3*$Q240^$Y$4*($Y$5*$M240^$Y$6+$Y$7)</f>
        <v>0.31128345095029153</v>
      </c>
      <c r="Y240" s="3">
        <f t="shared" si="11"/>
        <v>1.2451338038011661</v>
      </c>
      <c r="AA240" s="3"/>
      <c r="AB240" s="3"/>
    </row>
    <row r="241" spans="1:28" x14ac:dyDescent="0.3">
      <c r="B241" s="4">
        <v>20</v>
      </c>
      <c r="C241" s="5">
        <v>2</v>
      </c>
      <c r="D241" s="4">
        <v>44</v>
      </c>
      <c r="E241" s="3">
        <v>2.98</v>
      </c>
      <c r="F241" s="4">
        <v>25</v>
      </c>
      <c r="G241" s="4">
        <v>35</v>
      </c>
      <c r="H241" s="1">
        <v>150</v>
      </c>
      <c r="I241" s="4">
        <v>235</v>
      </c>
      <c r="J241" s="5">
        <v>628</v>
      </c>
      <c r="K241" s="3">
        <v>18375</v>
      </c>
      <c r="L241" s="5">
        <v>80.321192218194966</v>
      </c>
      <c r="M241" s="8">
        <v>3.4176870748299316E-2</v>
      </c>
      <c r="N241" s="3">
        <v>43.699999999999996</v>
      </c>
      <c r="O241" s="5">
        <v>385.27991234228682</v>
      </c>
      <c r="P241" s="3">
        <v>0.3</v>
      </c>
      <c r="Q241" s="12">
        <f t="shared" si="9"/>
        <v>1.9263995617114342E-3</v>
      </c>
      <c r="U241" s="3">
        <f>$V$2*($V$3*$F241+$V$4*$B241^$V$5*$M241^$V$6)*$Q241^$V$7</f>
        <v>0.33236974395730384</v>
      </c>
      <c r="V241" s="3">
        <f t="shared" si="10"/>
        <v>1.1078991465243462</v>
      </c>
      <c r="X241" s="3">
        <f>$Y$2*$B241^$Y$3*$Q241^$Y$4*($Y$5*$M241^$Y$6+$Y$7)</f>
        <v>0.33274970599882869</v>
      </c>
      <c r="Y241" s="3">
        <f t="shared" si="11"/>
        <v>1.1091656866627624</v>
      </c>
      <c r="AA241" s="3"/>
      <c r="AB241" s="3"/>
    </row>
    <row r="242" spans="1:28" x14ac:dyDescent="0.3">
      <c r="B242" s="4">
        <v>20</v>
      </c>
      <c r="C242" s="5">
        <v>2</v>
      </c>
      <c r="D242" s="4">
        <v>44</v>
      </c>
      <c r="E242" s="3">
        <v>2.98</v>
      </c>
      <c r="F242" s="4">
        <v>25</v>
      </c>
      <c r="G242" s="4">
        <v>35</v>
      </c>
      <c r="H242" s="1">
        <v>150</v>
      </c>
      <c r="I242" s="4">
        <v>235</v>
      </c>
      <c r="J242" s="5">
        <v>628</v>
      </c>
      <c r="K242" s="3">
        <v>18375</v>
      </c>
      <c r="L242" s="5">
        <v>80.321192218194966</v>
      </c>
      <c r="M242" s="8">
        <v>3.4176870748299316E-2</v>
      </c>
      <c r="N242" s="3">
        <v>46</v>
      </c>
      <c r="O242" s="5">
        <v>411.15666732810439</v>
      </c>
      <c r="P242" s="3">
        <v>0.32</v>
      </c>
      <c r="Q242" s="12">
        <f t="shared" si="9"/>
        <v>2.0557833366405221E-3</v>
      </c>
      <c r="U242" s="3">
        <f>$V$2*($V$3*$F242+$V$4*$B242^$V$5*$M242^$V$6)*$Q242^$V$7</f>
        <v>0.34597123470290214</v>
      </c>
      <c r="V242" s="3">
        <f t="shared" si="10"/>
        <v>1.0811601084465692</v>
      </c>
      <c r="X242" s="3">
        <f>$Y$2*$B242^$Y$3*$Q242^$Y$4*($Y$5*$M242^$Y$6+$Y$7)</f>
        <v>0.34661450268481309</v>
      </c>
      <c r="Y242" s="3">
        <f t="shared" si="11"/>
        <v>1.0831703208900409</v>
      </c>
      <c r="AA242" s="3"/>
      <c r="AB242" s="3"/>
    </row>
    <row r="243" spans="1:28" x14ac:dyDescent="0.3">
      <c r="B243" s="4">
        <v>20</v>
      </c>
      <c r="C243" s="5">
        <v>2</v>
      </c>
      <c r="D243" s="4">
        <v>44</v>
      </c>
      <c r="E243" s="3">
        <v>2.98</v>
      </c>
      <c r="F243" s="4">
        <v>25</v>
      </c>
      <c r="G243" s="4">
        <v>35</v>
      </c>
      <c r="H243" s="1">
        <v>150</v>
      </c>
      <c r="I243" s="4">
        <v>235</v>
      </c>
      <c r="J243" s="5">
        <v>628</v>
      </c>
      <c r="K243" s="3">
        <v>18375</v>
      </c>
      <c r="L243" s="5">
        <v>80.321192218194966</v>
      </c>
      <c r="M243" s="8">
        <v>3.4176870748299316E-2</v>
      </c>
      <c r="N243" s="3">
        <v>51.634999999999991</v>
      </c>
      <c r="O243" s="5">
        <v>474.55471704335713</v>
      </c>
      <c r="P243" s="3">
        <v>0.36</v>
      </c>
      <c r="Q243" s="12">
        <f t="shared" si="9"/>
        <v>2.3727735852167855E-3</v>
      </c>
      <c r="U243" s="3">
        <f>$V$2*($V$3*$F243+$V$4*$B243^$V$5*$M243^$V$6)*$Q243^$V$7</f>
        <v>0.37797763926211486</v>
      </c>
      <c r="V243" s="3">
        <f t="shared" si="10"/>
        <v>1.049937886839208</v>
      </c>
      <c r="X243" s="3">
        <f>$Y$2*$B243^$Y$3*$Q243^$Y$4*($Y$5*$M243^$Y$6+$Y$7)</f>
        <v>0.37927822978650871</v>
      </c>
      <c r="Y243" s="3">
        <f t="shared" si="11"/>
        <v>1.0535506382958575</v>
      </c>
      <c r="AA243" s="3"/>
      <c r="AB243" s="3"/>
    </row>
    <row r="244" spans="1:28" x14ac:dyDescent="0.3">
      <c r="B244" s="4">
        <v>20</v>
      </c>
      <c r="C244" s="5">
        <v>2</v>
      </c>
      <c r="D244" s="4">
        <v>44</v>
      </c>
      <c r="E244" s="3">
        <v>2.98</v>
      </c>
      <c r="F244" s="4">
        <v>25</v>
      </c>
      <c r="G244" s="4">
        <v>35</v>
      </c>
      <c r="H244" s="1">
        <v>150</v>
      </c>
      <c r="I244" s="4">
        <v>235</v>
      </c>
      <c r="J244" s="5">
        <v>628</v>
      </c>
      <c r="K244" s="3">
        <v>18375</v>
      </c>
      <c r="L244" s="5">
        <v>80.321192218194966</v>
      </c>
      <c r="M244" s="8">
        <v>3.4176870748299316E-2</v>
      </c>
      <c r="N244" s="3">
        <v>57.269999999999989</v>
      </c>
      <c r="O244" s="5">
        <v>526.44594786447112</v>
      </c>
      <c r="P244" s="3">
        <v>0.47</v>
      </c>
      <c r="Q244" s="12">
        <f t="shared" si="9"/>
        <v>2.6322297393223558E-3</v>
      </c>
      <c r="U244" s="3">
        <f>$V$2*($V$3*$F244+$V$4*$B244^$V$5*$M244^$V$6)*$Q244^$V$7</f>
        <v>0.40297003323808545</v>
      </c>
      <c r="V244" s="3">
        <f t="shared" si="10"/>
        <v>0.85738304944273502</v>
      </c>
      <c r="X244" s="3">
        <f>$Y$2*$B244^$Y$3*$Q244^$Y$4*($Y$5*$M244^$Y$6+$Y$7)</f>
        <v>0.40481845278540696</v>
      </c>
      <c r="Y244" s="3">
        <f t="shared" si="11"/>
        <v>0.86131585699022761</v>
      </c>
      <c r="AA244" s="3"/>
      <c r="AB244" s="3"/>
    </row>
    <row r="245" spans="1:28" x14ac:dyDescent="0.3">
      <c r="A245" s="1" t="s">
        <v>54</v>
      </c>
      <c r="B245" s="4">
        <v>20</v>
      </c>
      <c r="C245" s="5">
        <v>3</v>
      </c>
      <c r="D245" s="4">
        <v>12</v>
      </c>
      <c r="E245" s="3">
        <v>2.98</v>
      </c>
      <c r="F245" s="4">
        <v>25</v>
      </c>
      <c r="G245" s="4">
        <v>35</v>
      </c>
      <c r="H245" s="1">
        <v>150</v>
      </c>
      <c r="I245" s="4">
        <v>235</v>
      </c>
      <c r="J245" s="5">
        <v>942</v>
      </c>
      <c r="K245" s="3">
        <v>18375</v>
      </c>
      <c r="L245" s="5">
        <v>93.01135812514184</v>
      </c>
      <c r="M245" s="8">
        <v>5.1265306122448978E-2</v>
      </c>
      <c r="N245" s="3">
        <v>48.3</v>
      </c>
      <c r="O245" s="5">
        <v>275.46613457337332</v>
      </c>
      <c r="P245" s="3">
        <v>0.16</v>
      </c>
      <c r="Q245" s="12">
        <f t="shared" si="9"/>
        <v>1.3773306728668666E-3</v>
      </c>
      <c r="U245" s="3">
        <f>$V$2*($V$3*$F245+$V$4*$B245^$V$5*$M245^$V$6)*$Q245^$V$7</f>
        <v>0.22812814585457575</v>
      </c>
      <c r="V245" s="3">
        <f t="shared" si="10"/>
        <v>1.4258009115910983</v>
      </c>
      <c r="X245" s="3">
        <f>$Y$2*$B245^$Y$3*$Q245^$Y$4*($Y$5*$M245^$Y$6+$Y$7)</f>
        <v>0.23183815496311816</v>
      </c>
      <c r="Y245" s="3">
        <f t="shared" si="11"/>
        <v>1.4489884685194885</v>
      </c>
      <c r="AA245" s="3"/>
      <c r="AB245" s="3"/>
    </row>
    <row r="246" spans="1:28" x14ac:dyDescent="0.3">
      <c r="B246" s="4">
        <v>20</v>
      </c>
      <c r="C246" s="5">
        <v>3</v>
      </c>
      <c r="D246" s="4">
        <v>12</v>
      </c>
      <c r="E246" s="3">
        <v>2.98</v>
      </c>
      <c r="F246" s="4">
        <v>25</v>
      </c>
      <c r="G246" s="4">
        <v>35</v>
      </c>
      <c r="H246" s="1">
        <v>150</v>
      </c>
      <c r="I246" s="4">
        <v>235</v>
      </c>
      <c r="J246" s="5">
        <v>942</v>
      </c>
      <c r="K246" s="3">
        <v>18375</v>
      </c>
      <c r="L246" s="5">
        <v>93.01135812514184</v>
      </c>
      <c r="M246" s="8">
        <v>5.1265306122448978E-2</v>
      </c>
      <c r="N246" s="3">
        <v>50.599999999999994</v>
      </c>
      <c r="O246" s="5">
        <v>292.26518583602842</v>
      </c>
      <c r="P246" s="3">
        <v>0.18</v>
      </c>
      <c r="Q246" s="12">
        <f t="shared" si="9"/>
        <v>1.4613259291801422E-3</v>
      </c>
      <c r="U246" s="3">
        <f>$V$2*($V$3*$F246+$V$4*$B246^$V$5*$M246^$V$6)*$Q246^$V$7</f>
        <v>0.2366144395197943</v>
      </c>
      <c r="V246" s="3">
        <f t="shared" si="10"/>
        <v>1.3145246639988573</v>
      </c>
      <c r="X246" s="3">
        <f>$Y$2*$B246^$Y$3*$Q246^$Y$4*($Y$5*$M246^$Y$6+$Y$7)</f>
        <v>0.24061909162210721</v>
      </c>
      <c r="Y246" s="3">
        <f t="shared" si="11"/>
        <v>1.336772731233929</v>
      </c>
      <c r="AA246" s="3"/>
      <c r="AB246" s="3"/>
    </row>
    <row r="247" spans="1:28" x14ac:dyDescent="0.3">
      <c r="B247" s="4">
        <v>20</v>
      </c>
      <c r="C247" s="5">
        <v>3</v>
      </c>
      <c r="D247" s="4">
        <v>12</v>
      </c>
      <c r="E247" s="3">
        <v>2.98</v>
      </c>
      <c r="F247" s="4">
        <v>25</v>
      </c>
      <c r="G247" s="4">
        <v>35</v>
      </c>
      <c r="H247" s="1">
        <v>150</v>
      </c>
      <c r="I247" s="4">
        <v>235</v>
      </c>
      <c r="J247" s="5">
        <v>942</v>
      </c>
      <c r="K247" s="3">
        <v>18375</v>
      </c>
      <c r="L247" s="5">
        <v>93.01135812514184</v>
      </c>
      <c r="M247" s="8">
        <v>5.1265306122448978E-2</v>
      </c>
      <c r="N247" s="3">
        <v>56.349999999999994</v>
      </c>
      <c r="O247" s="5">
        <v>334.26281399266657</v>
      </c>
      <c r="P247" s="3">
        <v>0.18</v>
      </c>
      <c r="Q247" s="12">
        <f t="shared" si="9"/>
        <v>1.6713140699633328E-3</v>
      </c>
      <c r="U247" s="3">
        <f>$V$2*($V$3*$F247+$V$4*$B247^$V$5*$M247^$V$6)*$Q247^$V$7</f>
        <v>0.25705089373172507</v>
      </c>
      <c r="V247" s="3">
        <f t="shared" si="10"/>
        <v>1.428060520731806</v>
      </c>
      <c r="X247" s="3">
        <f>$Y$2*$B247^$Y$3*$Q247^$Y$4*($Y$5*$M247^$Y$6+$Y$7)</f>
        <v>0.26178778451727441</v>
      </c>
      <c r="Y247" s="3">
        <f t="shared" si="11"/>
        <v>1.4543765806515245</v>
      </c>
      <c r="AA247" s="3"/>
      <c r="AB247" s="3"/>
    </row>
    <row r="248" spans="1:28" x14ac:dyDescent="0.3">
      <c r="B248" s="4">
        <v>20</v>
      </c>
      <c r="C248" s="5">
        <v>3</v>
      </c>
      <c r="D248" s="4">
        <v>12</v>
      </c>
      <c r="E248" s="3">
        <v>2.98</v>
      </c>
      <c r="F248" s="4">
        <v>25</v>
      </c>
      <c r="G248" s="4">
        <v>35</v>
      </c>
      <c r="H248" s="1">
        <v>150</v>
      </c>
      <c r="I248" s="4">
        <v>235</v>
      </c>
      <c r="J248" s="5">
        <v>942</v>
      </c>
      <c r="K248" s="3">
        <v>18375</v>
      </c>
      <c r="L248" s="5">
        <v>93.01135812514184</v>
      </c>
      <c r="M248" s="8">
        <v>5.1265306122448978E-2</v>
      </c>
      <c r="N248" s="3">
        <v>62.674999999999997</v>
      </c>
      <c r="O248" s="5">
        <v>380.46020496496845</v>
      </c>
      <c r="P248" s="3">
        <v>0.2</v>
      </c>
      <c r="Q248" s="12">
        <f t="shared" si="9"/>
        <v>1.9023010248248422E-3</v>
      </c>
      <c r="U248" s="3">
        <f>$V$2*($V$3*$F248+$V$4*$B248^$V$5*$M248^$V$6)*$Q248^$V$7</f>
        <v>0.27842458542345061</v>
      </c>
      <c r="V248" s="3">
        <f t="shared" si="10"/>
        <v>1.3921229271172531</v>
      </c>
      <c r="X248" s="3">
        <f>$Y$2*$B248^$Y$3*$Q248^$Y$4*($Y$5*$M248^$Y$6+$Y$7)</f>
        <v>0.28395941586312884</v>
      </c>
      <c r="Y248" s="3">
        <f t="shared" si="11"/>
        <v>1.419797079315644</v>
      </c>
      <c r="AA248" s="3"/>
      <c r="AB248" s="3"/>
    </row>
    <row r="249" spans="1:28" x14ac:dyDescent="0.3">
      <c r="B249" s="4">
        <v>20</v>
      </c>
      <c r="C249" s="5">
        <v>3</v>
      </c>
      <c r="D249" s="4">
        <v>12</v>
      </c>
      <c r="E249" s="3">
        <v>2.98</v>
      </c>
      <c r="F249" s="4">
        <v>25</v>
      </c>
      <c r="G249" s="4">
        <v>35</v>
      </c>
      <c r="H249" s="1">
        <v>150</v>
      </c>
      <c r="I249" s="4">
        <v>235</v>
      </c>
      <c r="J249" s="5">
        <v>942</v>
      </c>
      <c r="K249" s="3">
        <v>18375</v>
      </c>
      <c r="L249" s="5">
        <v>93.01135812514184</v>
      </c>
      <c r="M249" s="8">
        <v>5.1265306122448978E-2</v>
      </c>
      <c r="N249" s="3">
        <v>68.424999999999997</v>
      </c>
      <c r="O249" s="5">
        <v>422.45783312160643</v>
      </c>
      <c r="P249" s="3">
        <v>0.2</v>
      </c>
      <c r="Q249" s="12">
        <f t="shared" si="9"/>
        <v>2.1122891656080323E-3</v>
      </c>
      <c r="U249" s="3">
        <f>$V$2*($V$3*$F249+$V$4*$B249^$V$5*$M249^$V$6)*$Q249^$V$7</f>
        <v>0.29700592939663029</v>
      </c>
      <c r="V249" s="3">
        <f t="shared" si="10"/>
        <v>1.4850296469831514</v>
      </c>
      <c r="X249" s="3">
        <f>$Y$2*$B249^$Y$3*$Q249^$Y$4*($Y$5*$M249^$Y$6+$Y$7)</f>
        <v>0.30325922968973046</v>
      </c>
      <c r="Y249" s="3">
        <f t="shared" si="11"/>
        <v>1.5162961484486521</v>
      </c>
      <c r="AA249" s="3"/>
      <c r="AB249" s="3"/>
    </row>
    <row r="250" spans="1:28" x14ac:dyDescent="0.3">
      <c r="B250" s="4">
        <v>20</v>
      </c>
      <c r="C250" s="5">
        <v>3</v>
      </c>
      <c r="D250" s="4">
        <v>12</v>
      </c>
      <c r="E250" s="3">
        <v>2.98</v>
      </c>
      <c r="F250" s="4">
        <v>25</v>
      </c>
      <c r="G250" s="4">
        <v>35</v>
      </c>
      <c r="H250" s="1">
        <v>150</v>
      </c>
      <c r="I250" s="4">
        <v>235</v>
      </c>
      <c r="J250" s="5">
        <v>942</v>
      </c>
      <c r="K250" s="3">
        <v>18375</v>
      </c>
      <c r="L250" s="5">
        <v>93.01135812514184</v>
      </c>
      <c r="M250" s="8">
        <v>5.1265306122448978E-2</v>
      </c>
      <c r="N250" s="3">
        <v>73.599999999999994</v>
      </c>
      <c r="O250" s="5">
        <v>460.25569846258065</v>
      </c>
      <c r="P250" s="3">
        <v>0.2</v>
      </c>
      <c r="Q250" s="12">
        <f t="shared" si="9"/>
        <v>2.3012784923129035E-3</v>
      </c>
      <c r="U250" s="3">
        <f>$V$2*($V$3*$F250+$V$4*$B250^$V$5*$M250^$V$6)*$Q250^$V$7</f>
        <v>0.31313187074499932</v>
      </c>
      <c r="V250" s="3">
        <f t="shared" si="10"/>
        <v>1.5656593537249965</v>
      </c>
      <c r="X250" s="3">
        <f>$Y$2*$B250^$Y$3*$Q250^$Y$4*($Y$5*$M250^$Y$6+$Y$7)</f>
        <v>0.32002621446976387</v>
      </c>
      <c r="Y250" s="3">
        <f t="shared" si="11"/>
        <v>1.6001310723488193</v>
      </c>
      <c r="AA250" s="3"/>
      <c r="AB250" s="3"/>
    </row>
    <row r="251" spans="1:28" x14ac:dyDescent="0.3">
      <c r="B251" s="4">
        <v>20</v>
      </c>
      <c r="C251" s="5">
        <v>3</v>
      </c>
      <c r="D251" s="4">
        <v>12</v>
      </c>
      <c r="E251" s="3">
        <v>2.98</v>
      </c>
      <c r="F251" s="4">
        <v>25</v>
      </c>
      <c r="G251" s="4">
        <v>35</v>
      </c>
      <c r="H251" s="1">
        <v>150</v>
      </c>
      <c r="I251" s="4">
        <v>235</v>
      </c>
      <c r="J251" s="5">
        <v>942</v>
      </c>
      <c r="K251" s="3">
        <v>18375</v>
      </c>
      <c r="L251" s="5">
        <v>93.01135812514184</v>
      </c>
      <c r="M251" s="8">
        <v>5.1265306122448978E-2</v>
      </c>
      <c r="N251" s="3">
        <v>79.924999999999997</v>
      </c>
      <c r="O251" s="5">
        <v>502.05901185324399</v>
      </c>
      <c r="P251" s="3">
        <v>0.22</v>
      </c>
      <c r="Q251" s="12">
        <f t="shared" si="9"/>
        <v>2.51029505926622E-3</v>
      </c>
      <c r="U251" s="3">
        <f>$V$2*($V$3*$F251+$V$4*$B251^$V$5*$M251^$V$6)*$Q251^$V$7</f>
        <v>0.33038663703046894</v>
      </c>
      <c r="V251" s="3">
        <f t="shared" si="10"/>
        <v>1.501757441047586</v>
      </c>
      <c r="X251" s="3">
        <f>$Y$2*$B251^$Y$3*$Q251^$Y$4*($Y$5*$M251^$Y$6+$Y$7)</f>
        <v>0.33798394173006885</v>
      </c>
      <c r="Y251" s="3">
        <f t="shared" si="11"/>
        <v>1.5362906442275857</v>
      </c>
      <c r="AA251" s="3"/>
      <c r="AB251" s="3"/>
    </row>
    <row r="252" spans="1:28" x14ac:dyDescent="0.3">
      <c r="A252" s="1" t="s">
        <v>55</v>
      </c>
      <c r="B252" s="4">
        <v>28</v>
      </c>
      <c r="C252" s="5">
        <v>4</v>
      </c>
      <c r="D252" s="4">
        <v>16</v>
      </c>
      <c r="E252" s="3">
        <v>5.3084743571011064</v>
      </c>
      <c r="F252" s="4">
        <v>30</v>
      </c>
      <c r="G252" s="4">
        <v>44</v>
      </c>
      <c r="H252" s="1">
        <v>200</v>
      </c>
      <c r="I252" s="4">
        <v>300</v>
      </c>
      <c r="J252" s="5">
        <v>2463</v>
      </c>
      <c r="K252" s="3">
        <v>30800</v>
      </c>
      <c r="L252" s="5">
        <v>133.49341623498307</v>
      </c>
      <c r="M252" s="8">
        <v>7.9967532467532465E-2</v>
      </c>
      <c r="N252" s="3">
        <v>78.75</v>
      </c>
      <c r="O252" s="5">
        <v>92.531033485649147</v>
      </c>
      <c r="P252" s="3">
        <v>0.22</v>
      </c>
      <c r="Q252" s="12">
        <f t="shared" si="9"/>
        <v>4.6265516742824571E-4</v>
      </c>
      <c r="U252" s="3">
        <f>$V$2*($V$3*$F252+$V$4*$B252^$V$5*$M252^$V$6)*$Q252^$V$7</f>
        <v>0.1211789959811085</v>
      </c>
      <c r="V252" s="3">
        <f t="shared" si="10"/>
        <v>0.55081361809594775</v>
      </c>
      <c r="X252" s="3">
        <f>$Y$2*$B252^$Y$3*$Q252^$Y$4*($Y$5*$M252^$Y$6+$Y$7)</f>
        <v>0.12775770887383031</v>
      </c>
      <c r="Y252" s="3">
        <f t="shared" si="11"/>
        <v>0.58071685851741051</v>
      </c>
      <c r="AA252" s="3"/>
      <c r="AB252" s="3"/>
    </row>
    <row r="253" spans="1:28" x14ac:dyDescent="0.3">
      <c r="B253" s="4">
        <v>28</v>
      </c>
      <c r="C253" s="5">
        <v>4</v>
      </c>
      <c r="D253" s="4">
        <v>16</v>
      </c>
      <c r="E253" s="3">
        <v>5.3084743571011064</v>
      </c>
      <c r="F253" s="4">
        <v>30</v>
      </c>
      <c r="G253" s="4">
        <v>44</v>
      </c>
      <c r="H253" s="1">
        <v>200</v>
      </c>
      <c r="I253" s="4">
        <v>300</v>
      </c>
      <c r="J253" s="5">
        <v>2463</v>
      </c>
      <c r="K253" s="3">
        <v>30800</v>
      </c>
      <c r="L253" s="5">
        <v>133.49341623498307</v>
      </c>
      <c r="M253" s="8">
        <v>7.9967532467532465E-2</v>
      </c>
      <c r="N253" s="3">
        <v>105.075</v>
      </c>
      <c r="O253" s="5">
        <v>145.46919836430115</v>
      </c>
      <c r="P253" s="3">
        <v>0.25</v>
      </c>
      <c r="Q253" s="12">
        <f t="shared" si="9"/>
        <v>7.2734599182150579E-4</v>
      </c>
      <c r="U253" s="3">
        <f>$V$2*($V$3*$F253+$V$4*$B253^$V$5*$M253^$V$6)*$Q253^$V$7</f>
        <v>0.16019824398529464</v>
      </c>
      <c r="V253" s="3">
        <f t="shared" si="10"/>
        <v>0.64079297594117857</v>
      </c>
      <c r="X253" s="3">
        <f>$Y$2*$B253^$Y$3*$Q253^$Y$4*($Y$5*$M253^$Y$6+$Y$7)</f>
        <v>0.16973790445901266</v>
      </c>
      <c r="Y253" s="3">
        <f t="shared" si="11"/>
        <v>0.67895161783605062</v>
      </c>
      <c r="AA253" s="3"/>
      <c r="AB253" s="3"/>
    </row>
    <row r="254" spans="1:28" x14ac:dyDescent="0.3">
      <c r="B254" s="4">
        <v>28</v>
      </c>
      <c r="C254" s="5">
        <v>4</v>
      </c>
      <c r="D254" s="4">
        <v>16</v>
      </c>
      <c r="E254" s="3">
        <v>5.3084743571011064</v>
      </c>
      <c r="F254" s="4">
        <v>30</v>
      </c>
      <c r="G254" s="4">
        <v>44</v>
      </c>
      <c r="H254" s="1">
        <v>200</v>
      </c>
      <c r="I254" s="4">
        <v>300</v>
      </c>
      <c r="J254" s="5">
        <v>2463</v>
      </c>
      <c r="K254" s="3">
        <v>30800</v>
      </c>
      <c r="L254" s="5">
        <v>133.49341623498307</v>
      </c>
      <c r="M254" s="8">
        <v>7.9967532467532465E-2</v>
      </c>
      <c r="N254" s="3">
        <v>120.15</v>
      </c>
      <c r="O254" s="5">
        <v>180.36143433573642</v>
      </c>
      <c r="P254" s="3">
        <v>0.28999999999999998</v>
      </c>
      <c r="Q254" s="12">
        <f t="shared" si="9"/>
        <v>9.0180717167868214E-4</v>
      </c>
      <c r="U254" s="3">
        <f>$V$2*($V$3*$F254+$V$4*$B254^$V$5*$M254^$V$6)*$Q254^$V$7</f>
        <v>0.18292314808877025</v>
      </c>
      <c r="V254" s="3">
        <f t="shared" si="10"/>
        <v>0.63076947616817336</v>
      </c>
      <c r="X254" s="3">
        <f>$Y$2*$B254^$Y$3*$Q254^$Y$4*($Y$5*$M254^$Y$6+$Y$7)</f>
        <v>0.19427497012758921</v>
      </c>
      <c r="Y254" s="3">
        <f t="shared" si="11"/>
        <v>0.66991369009513524</v>
      </c>
      <c r="AA254" s="3"/>
      <c r="AB254" s="3"/>
    </row>
    <row r="255" spans="1:28" x14ac:dyDescent="0.3">
      <c r="B255" s="4">
        <v>28</v>
      </c>
      <c r="C255" s="5">
        <v>4</v>
      </c>
      <c r="D255" s="4">
        <v>16</v>
      </c>
      <c r="E255" s="3">
        <v>5.3084743571011064</v>
      </c>
      <c r="F255" s="4">
        <v>30</v>
      </c>
      <c r="G255" s="4">
        <v>44</v>
      </c>
      <c r="H255" s="1">
        <v>200</v>
      </c>
      <c r="I255" s="4">
        <v>300</v>
      </c>
      <c r="J255" s="5">
        <v>2463</v>
      </c>
      <c r="K255" s="3">
        <v>30800</v>
      </c>
      <c r="L255" s="5">
        <v>133.49341623498307</v>
      </c>
      <c r="M255" s="8">
        <v>7.9967532467532465E-2</v>
      </c>
      <c r="N255" s="3">
        <v>137.47499999999999</v>
      </c>
      <c r="O255" s="5">
        <v>220.46146672081863</v>
      </c>
      <c r="P255" s="3">
        <v>0.31</v>
      </c>
      <c r="Q255" s="12">
        <f t="shared" si="9"/>
        <v>1.1023073336040932E-3</v>
      </c>
      <c r="U255" s="3">
        <f>$V$2*($V$3*$F255+$V$4*$B255^$V$5*$M255^$V$6)*$Q255^$V$7</f>
        <v>0.2070447808517</v>
      </c>
      <c r="V255" s="3">
        <f t="shared" si="10"/>
        <v>0.66788638984419357</v>
      </c>
      <c r="X255" s="3">
        <f>$Y$2*$B255^$Y$3*$Q255^$Y$4*($Y$5*$M255^$Y$6+$Y$7)</f>
        <v>0.22037968116209336</v>
      </c>
      <c r="Y255" s="3">
        <f t="shared" si="11"/>
        <v>0.71090219729707538</v>
      </c>
      <c r="AA255" s="3"/>
      <c r="AB255" s="3"/>
    </row>
    <row r="256" spans="1:28" x14ac:dyDescent="0.3">
      <c r="B256" s="4">
        <v>28</v>
      </c>
      <c r="C256" s="5">
        <v>4</v>
      </c>
      <c r="D256" s="4">
        <v>16</v>
      </c>
      <c r="E256" s="3">
        <v>5.3084743571011064</v>
      </c>
      <c r="F256" s="4">
        <v>30</v>
      </c>
      <c r="G256" s="4">
        <v>44</v>
      </c>
      <c r="H256" s="1">
        <v>200</v>
      </c>
      <c r="I256" s="4">
        <v>300</v>
      </c>
      <c r="J256" s="5">
        <v>2463</v>
      </c>
      <c r="K256" s="3">
        <v>30800</v>
      </c>
      <c r="L256" s="5">
        <v>133.49341623498307</v>
      </c>
      <c r="M256" s="8">
        <v>7.9967532467532465E-2</v>
      </c>
      <c r="N256" s="3">
        <v>164.47499999999999</v>
      </c>
      <c r="O256" s="5">
        <v>282.95502368458324</v>
      </c>
      <c r="P256" s="3">
        <v>0.33</v>
      </c>
      <c r="Q256" s="12">
        <f t="shared" si="9"/>
        <v>1.4147751184229163E-3</v>
      </c>
      <c r="U256" s="3">
        <f>$V$2*($V$3*$F256+$V$4*$B256^$V$5*$M256^$V$6)*$Q256^$V$7</f>
        <v>0.24151141223142614</v>
      </c>
      <c r="V256" s="3">
        <f t="shared" si="10"/>
        <v>0.73185276433765489</v>
      </c>
      <c r="X256" s="3">
        <f>$Y$2*$B256^$Y$3*$Q256^$Y$4*($Y$5*$M256^$Y$6+$Y$7)</f>
        <v>0.25777283762631908</v>
      </c>
      <c r="Y256" s="3">
        <f t="shared" si="11"/>
        <v>0.78112981098884571</v>
      </c>
      <c r="AA256" s="3"/>
      <c r="AB256" s="3"/>
    </row>
    <row r="257" spans="1:28" x14ac:dyDescent="0.3">
      <c r="B257" s="4">
        <v>28</v>
      </c>
      <c r="C257" s="5">
        <v>4</v>
      </c>
      <c r="D257" s="4">
        <v>16</v>
      </c>
      <c r="E257" s="3">
        <v>5.3084743571011064</v>
      </c>
      <c r="F257" s="4">
        <v>30</v>
      </c>
      <c r="G257" s="4">
        <v>44</v>
      </c>
      <c r="H257" s="1">
        <v>200</v>
      </c>
      <c r="I257" s="4">
        <v>300</v>
      </c>
      <c r="J257" s="5">
        <v>2463</v>
      </c>
      <c r="K257" s="3">
        <v>30800</v>
      </c>
      <c r="L257" s="5">
        <v>133.49341623498307</v>
      </c>
      <c r="M257" s="8">
        <v>7.9967532467532465E-2</v>
      </c>
      <c r="N257" s="3">
        <v>178.20000000000002</v>
      </c>
      <c r="O257" s="5">
        <v>314.72258180783035</v>
      </c>
      <c r="P257" s="3">
        <v>0.34</v>
      </c>
      <c r="Q257" s="12">
        <f t="shared" si="9"/>
        <v>1.5736129090391517E-3</v>
      </c>
      <c r="U257" s="3">
        <f>$V$2*($V$3*$F257+$V$4*$B257^$V$5*$M257^$V$6)*$Q257^$V$7</f>
        <v>0.25789892608401549</v>
      </c>
      <c r="V257" s="3">
        <f t="shared" si="10"/>
        <v>0.75852625318828082</v>
      </c>
      <c r="X257" s="3">
        <f>$Y$2*$B257^$Y$3*$Q257^$Y$4*($Y$5*$M257^$Y$6+$Y$7)</f>
        <v>0.27558612235356345</v>
      </c>
      <c r="Y257" s="3">
        <f t="shared" si="11"/>
        <v>0.81054741868695124</v>
      </c>
      <c r="AA257" s="3"/>
      <c r="AB257" s="3"/>
    </row>
    <row r="258" spans="1:28" x14ac:dyDescent="0.3">
      <c r="B258" s="4">
        <v>28</v>
      </c>
      <c r="C258" s="5">
        <v>4</v>
      </c>
      <c r="D258" s="4">
        <v>16</v>
      </c>
      <c r="E258" s="3">
        <v>5.3084743571011064</v>
      </c>
      <c r="F258" s="4">
        <v>30</v>
      </c>
      <c r="G258" s="4">
        <v>44</v>
      </c>
      <c r="H258" s="1">
        <v>200</v>
      </c>
      <c r="I258" s="4">
        <v>300</v>
      </c>
      <c r="J258" s="5">
        <v>2463</v>
      </c>
      <c r="K258" s="3">
        <v>30800</v>
      </c>
      <c r="L258" s="5">
        <v>133.49341623498307</v>
      </c>
      <c r="M258" s="8">
        <v>7.9967532467532465E-2</v>
      </c>
      <c r="N258" s="3">
        <v>198.22499999999999</v>
      </c>
      <c r="O258" s="5">
        <v>361.07196988928899</v>
      </c>
      <c r="P258" s="3">
        <v>0.37</v>
      </c>
      <c r="Q258" s="12">
        <f t="shared" si="9"/>
        <v>1.8053598494464449E-3</v>
      </c>
      <c r="U258" s="3">
        <f>$V$2*($V$3*$F258+$V$4*$B258^$V$5*$M258^$V$6)*$Q258^$V$7</f>
        <v>0.2807135493833679</v>
      </c>
      <c r="V258" s="3">
        <f t="shared" si="10"/>
        <v>0.75868526860369701</v>
      </c>
      <c r="X258" s="3">
        <f>$Y$2*$B258^$Y$3*$Q258^$Y$4*($Y$5*$M258^$Y$6+$Y$7)</f>
        <v>0.30041907907959137</v>
      </c>
      <c r="Y258" s="3">
        <f t="shared" si="11"/>
        <v>0.81194345697186854</v>
      </c>
      <c r="AA258" s="3"/>
      <c r="AB258" s="3"/>
    </row>
    <row r="259" spans="1:28" x14ac:dyDescent="0.3">
      <c r="A259" s="1" t="s">
        <v>56</v>
      </c>
      <c r="B259" s="4">
        <v>15.9</v>
      </c>
      <c r="C259" s="5">
        <v>2</v>
      </c>
      <c r="D259" s="4">
        <v>46</v>
      </c>
      <c r="E259" s="3">
        <v>2.8258773978663156</v>
      </c>
      <c r="F259" s="4">
        <v>30</v>
      </c>
      <c r="G259" s="4">
        <v>38</v>
      </c>
      <c r="H259" s="1">
        <v>150</v>
      </c>
      <c r="I259" s="4">
        <v>250</v>
      </c>
      <c r="J259" s="5">
        <v>397.2</v>
      </c>
      <c r="K259" s="3">
        <v>17625</v>
      </c>
      <c r="L259" s="5">
        <v>70.061381209483116</v>
      </c>
      <c r="M259" s="8">
        <v>2.2536170212765955E-2</v>
      </c>
      <c r="N259" s="3">
        <v>27.1</v>
      </c>
      <c r="O259" s="5">
        <v>327.33566875282662</v>
      </c>
      <c r="P259" s="3">
        <v>0.2</v>
      </c>
      <c r="Q259" s="12">
        <f t="shared" si="9"/>
        <v>1.6366783437641332E-3</v>
      </c>
      <c r="U259" s="3">
        <f>$V$2*($V$3*$F259+$V$4*$B259^$V$5*$M259^$V$6)*$Q259^$V$7</f>
        <v>0.30641090591594822</v>
      </c>
      <c r="V259" s="3">
        <f t="shared" si="10"/>
        <v>1.532054529579741</v>
      </c>
      <c r="X259" s="3">
        <f>$Y$2*$B259^$Y$3*$Q259^$Y$4*($Y$5*$M259^$Y$6+$Y$7)</f>
        <v>0.30337194112556326</v>
      </c>
      <c r="Y259" s="3">
        <f t="shared" si="11"/>
        <v>1.5168597056278161</v>
      </c>
      <c r="AA259" s="3"/>
      <c r="AB259" s="3"/>
    </row>
    <row r="260" spans="1:28" x14ac:dyDescent="0.3">
      <c r="B260" s="4">
        <v>15.9</v>
      </c>
      <c r="C260" s="5">
        <v>2</v>
      </c>
      <c r="D260" s="4">
        <v>46</v>
      </c>
      <c r="E260" s="3">
        <v>2.8258773978663156</v>
      </c>
      <c r="F260" s="4">
        <v>30</v>
      </c>
      <c r="G260" s="4">
        <v>38</v>
      </c>
      <c r="H260" s="1">
        <v>150</v>
      </c>
      <c r="I260" s="4">
        <v>250</v>
      </c>
      <c r="J260" s="5">
        <v>397.2</v>
      </c>
      <c r="K260" s="3">
        <v>17625</v>
      </c>
      <c r="L260" s="5">
        <v>70.061381209483116</v>
      </c>
      <c r="M260" s="8">
        <v>2.2536170212765955E-2</v>
      </c>
      <c r="N260" s="3">
        <v>35.6</v>
      </c>
      <c r="O260" s="5">
        <v>367.24084443015647</v>
      </c>
      <c r="P260" s="3">
        <v>0.35</v>
      </c>
      <c r="Q260" s="12">
        <f t="shared" si="9"/>
        <v>1.8362042221507823E-3</v>
      </c>
      <c r="U260" s="3">
        <f>$V$2*($V$3*$F260+$V$4*$B260^$V$5*$M260^$V$6)*$Q260^$V$7</f>
        <v>0.328948633226126</v>
      </c>
      <c r="V260" s="3">
        <f t="shared" si="10"/>
        <v>0.93985323778893148</v>
      </c>
      <c r="X260" s="3">
        <f>$Y$2*$B260^$Y$3*$Q260^$Y$4*($Y$5*$M260^$Y$6+$Y$7)</f>
        <v>0.32609850810516861</v>
      </c>
      <c r="Y260" s="3">
        <f t="shared" si="11"/>
        <v>0.93171002315762463</v>
      </c>
      <c r="AA260" s="3"/>
      <c r="AB260" s="3"/>
    </row>
    <row r="261" spans="1:28" x14ac:dyDescent="0.3">
      <c r="A261" s="1" t="s">
        <v>57</v>
      </c>
      <c r="B261" s="4">
        <v>15.9</v>
      </c>
      <c r="C261" s="5">
        <v>2</v>
      </c>
      <c r="D261" s="4">
        <v>46</v>
      </c>
      <c r="E261" s="3">
        <v>2.8258773978663156</v>
      </c>
      <c r="F261" s="4">
        <v>30</v>
      </c>
      <c r="G261" s="4">
        <v>38</v>
      </c>
      <c r="H261" s="1">
        <v>150</v>
      </c>
      <c r="I261" s="4">
        <v>250</v>
      </c>
      <c r="J261" s="5">
        <v>397.2</v>
      </c>
      <c r="K261" s="3">
        <v>17625</v>
      </c>
      <c r="L261" s="5">
        <v>70.061381209483116</v>
      </c>
      <c r="M261" s="8">
        <v>2.2536170212765955E-2</v>
      </c>
      <c r="N261" s="3">
        <v>27.2</v>
      </c>
      <c r="O261" s="5">
        <v>329.07434564323017</v>
      </c>
      <c r="P261" s="3">
        <v>0.2</v>
      </c>
      <c r="Q261" s="12">
        <f t="shared" si="9"/>
        <v>1.6453717282161509E-3</v>
      </c>
      <c r="U261" s="3">
        <f>$V$2*($V$3*$F261+$V$4*$B261^$V$5*$M261^$V$6)*$Q261^$V$7</f>
        <v>0.30741407475969845</v>
      </c>
      <c r="V261" s="3">
        <f t="shared" si="10"/>
        <v>1.5370703737984921</v>
      </c>
      <c r="X261" s="3">
        <f>$Y$2*$B261^$Y$3*$Q261^$Y$4*($Y$5*$M261^$Y$6+$Y$7)</f>
        <v>0.30438289738944729</v>
      </c>
      <c r="Y261" s="3">
        <f t="shared" si="11"/>
        <v>1.5219144869472363</v>
      </c>
      <c r="AA261" s="3"/>
      <c r="AB261" s="3"/>
    </row>
    <row r="262" spans="1:28" x14ac:dyDescent="0.3">
      <c r="B262" s="4">
        <v>15.9</v>
      </c>
      <c r="C262" s="5">
        <v>2</v>
      </c>
      <c r="D262" s="4">
        <v>46</v>
      </c>
      <c r="E262" s="3">
        <v>2.8258773978663156</v>
      </c>
      <c r="F262" s="4">
        <v>30</v>
      </c>
      <c r="G262" s="4">
        <v>38</v>
      </c>
      <c r="H262" s="1">
        <v>150</v>
      </c>
      <c r="I262" s="4">
        <v>250</v>
      </c>
      <c r="J262" s="5">
        <v>397.2</v>
      </c>
      <c r="K262" s="3">
        <v>17625</v>
      </c>
      <c r="L262" s="5">
        <v>70.061381209483116</v>
      </c>
      <c r="M262" s="8">
        <v>2.2536170212765955E-2</v>
      </c>
      <c r="N262" s="3">
        <v>35.6</v>
      </c>
      <c r="O262" s="5">
        <v>367.24084443015647</v>
      </c>
      <c r="P262" s="3">
        <v>0.25</v>
      </c>
      <c r="Q262" s="12">
        <f t="shared" si="9"/>
        <v>1.8362042221507823E-3</v>
      </c>
      <c r="U262" s="3">
        <f>$V$2*($V$3*$F262+$V$4*$B262^$V$5*$M262^$V$6)*$Q262^$V$7</f>
        <v>0.328948633226126</v>
      </c>
      <c r="V262" s="3">
        <f t="shared" si="10"/>
        <v>1.315794532904504</v>
      </c>
      <c r="X262" s="3">
        <f>$Y$2*$B262^$Y$3*$Q262^$Y$4*($Y$5*$M262^$Y$6+$Y$7)</f>
        <v>0.32609850810516861</v>
      </c>
      <c r="Y262" s="3">
        <f t="shared" si="11"/>
        <v>1.3043940324206744</v>
      </c>
      <c r="AA262" s="3"/>
      <c r="AB262" s="3"/>
    </row>
    <row r="263" spans="1:28" x14ac:dyDescent="0.3">
      <c r="A263" s="1" t="s">
        <v>58</v>
      </c>
      <c r="B263" s="4">
        <v>15.9</v>
      </c>
      <c r="C263" s="5">
        <v>2</v>
      </c>
      <c r="D263" s="4">
        <v>46</v>
      </c>
      <c r="E263" s="3">
        <v>2.8258773978663156</v>
      </c>
      <c r="F263" s="4">
        <v>30</v>
      </c>
      <c r="G263" s="4">
        <v>38</v>
      </c>
      <c r="H263" s="1">
        <v>150</v>
      </c>
      <c r="I263" s="4">
        <v>250</v>
      </c>
      <c r="J263" s="5">
        <v>397.2</v>
      </c>
      <c r="K263" s="3">
        <v>17625</v>
      </c>
      <c r="L263" s="5">
        <v>70.061381209483116</v>
      </c>
      <c r="M263" s="8">
        <v>2.2536170212765955E-2</v>
      </c>
      <c r="N263" s="3">
        <v>27.2</v>
      </c>
      <c r="O263" s="5">
        <v>329.07434564323017</v>
      </c>
      <c r="P263" s="3">
        <v>0.2</v>
      </c>
      <c r="Q263" s="12">
        <f t="shared" si="9"/>
        <v>1.6453717282161509E-3</v>
      </c>
      <c r="U263" s="3">
        <f>$V$2*($V$3*$F263+$V$4*$B263^$V$5*$M263^$V$6)*$Q263^$V$7</f>
        <v>0.30741407475969845</v>
      </c>
      <c r="V263" s="3">
        <f t="shared" si="10"/>
        <v>1.5370703737984921</v>
      </c>
      <c r="X263" s="3">
        <f>$Y$2*$B263^$Y$3*$Q263^$Y$4*($Y$5*$M263^$Y$6+$Y$7)</f>
        <v>0.30438289738944729</v>
      </c>
      <c r="Y263" s="3">
        <f t="shared" si="11"/>
        <v>1.5219144869472363</v>
      </c>
      <c r="AA263" s="3"/>
      <c r="AB263" s="3"/>
    </row>
    <row r="264" spans="1:28" x14ac:dyDescent="0.3">
      <c r="B264" s="4">
        <v>15.9</v>
      </c>
      <c r="C264" s="5">
        <v>2</v>
      </c>
      <c r="D264" s="4">
        <v>46</v>
      </c>
      <c r="E264" s="3">
        <v>2.8258773978663156</v>
      </c>
      <c r="F264" s="4">
        <v>30</v>
      </c>
      <c r="G264" s="4">
        <v>38</v>
      </c>
      <c r="H264" s="1">
        <v>150</v>
      </c>
      <c r="I264" s="4">
        <v>250</v>
      </c>
      <c r="J264" s="5">
        <v>397.2</v>
      </c>
      <c r="K264" s="3">
        <v>17625</v>
      </c>
      <c r="L264" s="5">
        <v>70.061381209483116</v>
      </c>
      <c r="M264" s="8">
        <v>2.2536170212765955E-2</v>
      </c>
      <c r="N264" s="3">
        <v>35.6</v>
      </c>
      <c r="O264" s="5">
        <v>367.24084443015647</v>
      </c>
      <c r="P264" s="3">
        <v>0.25</v>
      </c>
      <c r="Q264" s="12">
        <f t="shared" si="9"/>
        <v>1.8362042221507823E-3</v>
      </c>
      <c r="U264" s="3">
        <f>$V$2*($V$3*$F264+$V$4*$B264^$V$5*$M264^$V$6)*$Q264^$V$7</f>
        <v>0.328948633226126</v>
      </c>
      <c r="V264" s="3">
        <f t="shared" si="10"/>
        <v>1.315794532904504</v>
      </c>
      <c r="X264" s="3">
        <f>$Y$2*$B264^$Y$3*$Q264^$Y$4*($Y$5*$M264^$Y$6+$Y$7)</f>
        <v>0.32609850810516861</v>
      </c>
      <c r="Y264" s="3">
        <f t="shared" si="11"/>
        <v>1.3043940324206744</v>
      </c>
      <c r="AA264" s="3"/>
      <c r="AB264" s="3"/>
    </row>
    <row r="265" spans="1:28" x14ac:dyDescent="0.3">
      <c r="A265" s="1" t="s">
        <v>59</v>
      </c>
      <c r="B265" s="4">
        <v>15.9</v>
      </c>
      <c r="C265" s="5">
        <v>2</v>
      </c>
      <c r="D265" s="4">
        <v>46</v>
      </c>
      <c r="E265" s="3">
        <v>2.8258773978663156</v>
      </c>
      <c r="F265" s="4">
        <v>30</v>
      </c>
      <c r="G265" s="4">
        <v>38</v>
      </c>
      <c r="H265" s="1">
        <v>150</v>
      </c>
      <c r="I265" s="4">
        <v>250</v>
      </c>
      <c r="J265" s="5">
        <v>397.2</v>
      </c>
      <c r="K265" s="3">
        <v>17625</v>
      </c>
      <c r="L265" s="5">
        <v>70.061381209483116</v>
      </c>
      <c r="M265" s="8">
        <v>2.2536170212765955E-2</v>
      </c>
      <c r="N265" s="3">
        <v>27.3</v>
      </c>
      <c r="O265" s="5">
        <v>330.81302253363384</v>
      </c>
      <c r="P265" s="3">
        <v>0.2</v>
      </c>
      <c r="Q265" s="12">
        <f t="shared" si="9"/>
        <v>1.6540651126681692E-3</v>
      </c>
      <c r="U265" s="3">
        <f>$V$2*($V$3*$F265+$V$4*$B265^$V$5*$M265^$V$6)*$Q265^$V$7</f>
        <v>0.30841521563718532</v>
      </c>
      <c r="V265" s="3">
        <f t="shared" si="10"/>
        <v>1.5420760781859266</v>
      </c>
      <c r="X265" s="3">
        <f>$Y$2*$B265^$Y$3*$Q265^$Y$4*($Y$5*$M265^$Y$6+$Y$7)</f>
        <v>0.30539186858331779</v>
      </c>
      <c r="Y265" s="3">
        <f t="shared" si="11"/>
        <v>1.5269593429165889</v>
      </c>
      <c r="AA265" s="3"/>
      <c r="AB265" s="3"/>
    </row>
    <row r="266" spans="1:28" x14ac:dyDescent="0.3">
      <c r="B266" s="4">
        <v>15.9</v>
      </c>
      <c r="C266" s="5">
        <v>2</v>
      </c>
      <c r="D266" s="4">
        <v>46</v>
      </c>
      <c r="E266" s="3">
        <v>2.8258773978663156</v>
      </c>
      <c r="F266" s="4">
        <v>30</v>
      </c>
      <c r="G266" s="4">
        <v>38</v>
      </c>
      <c r="H266" s="1">
        <v>150</v>
      </c>
      <c r="I266" s="4">
        <v>250</v>
      </c>
      <c r="J266" s="5">
        <v>397.2</v>
      </c>
      <c r="K266" s="3">
        <v>17625</v>
      </c>
      <c r="L266" s="5">
        <v>70.061381209483116</v>
      </c>
      <c r="M266" s="8">
        <v>2.2536170212765955E-2</v>
      </c>
      <c r="N266" s="3">
        <v>35.700000000000003</v>
      </c>
      <c r="O266" s="5">
        <v>367.24084443015647</v>
      </c>
      <c r="P266" s="3">
        <v>0.3</v>
      </c>
      <c r="Q266" s="12">
        <f t="shared" si="9"/>
        <v>1.8362042221507823E-3</v>
      </c>
      <c r="U266" s="3">
        <f>$V$2*($V$3*$F266+$V$4*$B266^$V$5*$M266^$V$6)*$Q266^$V$7</f>
        <v>0.328948633226126</v>
      </c>
      <c r="V266" s="3">
        <f t="shared" si="10"/>
        <v>1.0964954440870867</v>
      </c>
      <c r="X266" s="3">
        <f>$Y$2*$B266^$Y$3*$Q266^$Y$4*($Y$5*$M266^$Y$6+$Y$7)</f>
        <v>0.32609850810516861</v>
      </c>
      <c r="Y266" s="3">
        <f t="shared" si="11"/>
        <v>1.0869950270172288</v>
      </c>
      <c r="AA266" s="3"/>
      <c r="AB266" s="3"/>
    </row>
    <row r="267" spans="1:28" x14ac:dyDescent="0.3">
      <c r="A267" s="1" t="s">
        <v>60</v>
      </c>
      <c r="B267" s="4">
        <v>12.7</v>
      </c>
      <c r="C267" s="5">
        <v>2</v>
      </c>
      <c r="D267" s="4">
        <v>52</v>
      </c>
      <c r="E267" s="3">
        <v>2.9208758709847928</v>
      </c>
      <c r="F267" s="4">
        <v>30</v>
      </c>
      <c r="G267" s="4">
        <v>36.5</v>
      </c>
      <c r="H267" s="1">
        <v>150</v>
      </c>
      <c r="I267" s="4">
        <v>250</v>
      </c>
      <c r="J267" s="5">
        <v>253.4</v>
      </c>
      <c r="K267" s="3">
        <v>15000</v>
      </c>
      <c r="L267" s="5">
        <v>58.075942632487219</v>
      </c>
      <c r="M267" s="8">
        <v>1.6893333333333333E-2</v>
      </c>
      <c r="N267" s="3">
        <v>15.6</v>
      </c>
      <c r="O267" s="5">
        <v>253.37547675213438</v>
      </c>
      <c r="P267" s="3">
        <v>0.15</v>
      </c>
      <c r="Q267" s="12">
        <f t="shared" si="9"/>
        <v>1.2668773837606719E-3</v>
      </c>
      <c r="U267" s="3">
        <f>$V$2*($V$3*$F267+$V$4*$B267^$V$5*$M267^$V$6)*$Q267^$V$7</f>
        <v>0.25366753369805239</v>
      </c>
      <c r="V267" s="3">
        <f t="shared" si="10"/>
        <v>1.6911168913203494</v>
      </c>
      <c r="X267" s="3">
        <f>$Y$2*$B267^$Y$3*$Q267^$Y$4*($Y$5*$M267^$Y$6+$Y$7)</f>
        <v>0.25054566105320986</v>
      </c>
      <c r="Y267" s="3">
        <f t="shared" si="11"/>
        <v>1.670304407021399</v>
      </c>
      <c r="AA267" s="3"/>
      <c r="AB267" s="3"/>
    </row>
    <row r="268" spans="1:28" x14ac:dyDescent="0.3">
      <c r="B268" s="4">
        <v>12.7</v>
      </c>
      <c r="C268" s="5">
        <v>2</v>
      </c>
      <c r="D268" s="4">
        <v>52</v>
      </c>
      <c r="E268" s="3">
        <v>2.9208758709847928</v>
      </c>
      <c r="F268" s="4">
        <v>30</v>
      </c>
      <c r="G268" s="4">
        <v>36.5</v>
      </c>
      <c r="H268" s="1">
        <v>150</v>
      </c>
      <c r="I268" s="4">
        <v>250</v>
      </c>
      <c r="J268" s="5">
        <v>253.4</v>
      </c>
      <c r="K268" s="3">
        <v>15000</v>
      </c>
      <c r="L268" s="5">
        <v>58.075942632487219</v>
      </c>
      <c r="M268" s="8">
        <v>1.6893333333333333E-2</v>
      </c>
      <c r="N268" s="3">
        <v>19.600000000000001</v>
      </c>
      <c r="O268" s="5">
        <v>358.91093839498222</v>
      </c>
      <c r="P268" s="3">
        <v>0.2</v>
      </c>
      <c r="Q268" s="12">
        <f t="shared" ref="Q268:Q331" si="12">O268/200000</f>
        <v>1.794554691974911E-3</v>
      </c>
      <c r="U268" s="3">
        <f>$V$2*($V$3*$F268+$V$4*$B268^$V$5*$M268^$V$6)*$Q268^$V$7</f>
        <v>0.31446254992631384</v>
      </c>
      <c r="V268" s="3">
        <f t="shared" ref="V268:V331" si="13">U268/$P268</f>
        <v>1.5723127496315692</v>
      </c>
      <c r="X268" s="3">
        <f>$Y$2*$B268^$Y$3*$Q268^$Y$4*($Y$5*$M268^$Y$6+$Y$7)</f>
        <v>0.31178439491062332</v>
      </c>
      <c r="Y268" s="3">
        <f t="shared" ref="Y268:Y331" si="14">X268/$P268</f>
        <v>1.5589219745531164</v>
      </c>
      <c r="AA268" s="3"/>
      <c r="AB268" s="3"/>
    </row>
    <row r="269" spans="1:28" x14ac:dyDescent="0.3">
      <c r="A269" s="1" t="s">
        <v>61</v>
      </c>
      <c r="B269" s="4">
        <v>12.7</v>
      </c>
      <c r="C269" s="5">
        <v>2</v>
      </c>
      <c r="D269" s="4">
        <v>52</v>
      </c>
      <c r="E269" s="3">
        <v>2.9208758709847928</v>
      </c>
      <c r="F269" s="4">
        <v>30</v>
      </c>
      <c r="G269" s="4">
        <v>36.5</v>
      </c>
      <c r="H269" s="1">
        <v>150</v>
      </c>
      <c r="I269" s="4">
        <v>250</v>
      </c>
      <c r="J269" s="5">
        <v>253.4</v>
      </c>
      <c r="K269" s="3">
        <v>15000</v>
      </c>
      <c r="L269" s="5">
        <v>58.075942632487219</v>
      </c>
      <c r="M269" s="8">
        <v>1.6893333333333333E-2</v>
      </c>
      <c r="N269" s="3">
        <v>15.7</v>
      </c>
      <c r="O269" s="5">
        <v>256.22827785507121</v>
      </c>
      <c r="P269" s="3">
        <v>0.15</v>
      </c>
      <c r="Q269" s="12">
        <f t="shared" si="12"/>
        <v>1.2811413892753561E-3</v>
      </c>
      <c r="U269" s="3">
        <f>$V$2*($V$3*$F269+$V$4*$B269^$V$5*$M269^$V$6)*$Q269^$V$7</f>
        <v>0.25542596090969383</v>
      </c>
      <c r="V269" s="3">
        <f t="shared" si="13"/>
        <v>1.7028397393979589</v>
      </c>
      <c r="X269" s="3">
        <f>$Y$2*$B269^$Y$3*$Q269^$Y$4*($Y$5*$M269^$Y$6+$Y$7)</f>
        <v>0.25231352015900271</v>
      </c>
      <c r="Y269" s="3">
        <f t="shared" si="14"/>
        <v>1.6820901343933514</v>
      </c>
      <c r="AA269" s="3"/>
      <c r="AB269" s="3"/>
    </row>
    <row r="270" spans="1:28" x14ac:dyDescent="0.3">
      <c r="B270" s="4">
        <v>12.7</v>
      </c>
      <c r="C270" s="5">
        <v>2</v>
      </c>
      <c r="D270" s="4">
        <v>52</v>
      </c>
      <c r="E270" s="3">
        <v>2.9208758709847928</v>
      </c>
      <c r="F270" s="4">
        <v>30</v>
      </c>
      <c r="G270" s="4">
        <v>36.5</v>
      </c>
      <c r="H270" s="1">
        <v>150</v>
      </c>
      <c r="I270" s="4">
        <v>250</v>
      </c>
      <c r="J270" s="5">
        <v>253.4</v>
      </c>
      <c r="K270" s="3">
        <v>15000</v>
      </c>
      <c r="L270" s="5">
        <v>58.075942632487219</v>
      </c>
      <c r="M270" s="8">
        <v>1.6893333333333333E-2</v>
      </c>
      <c r="N270" s="3">
        <v>19.600000000000001</v>
      </c>
      <c r="O270" s="5">
        <v>358.91093839498222</v>
      </c>
      <c r="P270" s="3">
        <v>0.2</v>
      </c>
      <c r="Q270" s="12">
        <f t="shared" si="12"/>
        <v>1.794554691974911E-3</v>
      </c>
      <c r="U270" s="3">
        <f>$V$2*($V$3*$F270+$V$4*$B270^$V$5*$M270^$V$6)*$Q270^$V$7</f>
        <v>0.31446254992631384</v>
      </c>
      <c r="V270" s="3">
        <f t="shared" si="13"/>
        <v>1.5723127496315692</v>
      </c>
      <c r="X270" s="3">
        <f>$Y$2*$B270^$Y$3*$Q270^$Y$4*($Y$5*$M270^$Y$6+$Y$7)</f>
        <v>0.31178439491062332</v>
      </c>
      <c r="Y270" s="3">
        <f t="shared" si="14"/>
        <v>1.5589219745531164</v>
      </c>
      <c r="AA270" s="3"/>
      <c r="AB270" s="3"/>
    </row>
    <row r="271" spans="1:28" x14ac:dyDescent="0.3">
      <c r="A271" s="1" t="s">
        <v>62</v>
      </c>
      <c r="B271" s="4">
        <v>15.9</v>
      </c>
      <c r="C271" s="5">
        <v>2</v>
      </c>
      <c r="D271" s="4">
        <v>46</v>
      </c>
      <c r="E271" s="3">
        <v>2.9208758709847928</v>
      </c>
      <c r="F271" s="4">
        <v>30</v>
      </c>
      <c r="G271" s="4">
        <v>38</v>
      </c>
      <c r="H271" s="1">
        <v>150</v>
      </c>
      <c r="I271" s="4">
        <v>250</v>
      </c>
      <c r="J271" s="5">
        <v>397.2</v>
      </c>
      <c r="K271" s="3">
        <v>17625</v>
      </c>
      <c r="L271" s="5">
        <v>69.597967277749476</v>
      </c>
      <c r="M271" s="8">
        <v>2.2536170212765955E-2</v>
      </c>
      <c r="N271" s="3">
        <v>19.5</v>
      </c>
      <c r="O271" s="5">
        <v>192.8715534680332</v>
      </c>
      <c r="P271" s="3">
        <v>0.15</v>
      </c>
      <c r="Q271" s="12">
        <f t="shared" si="12"/>
        <v>9.6435776734016601E-4</v>
      </c>
      <c r="U271" s="3">
        <f>$V$2*($V$3*$F271+$V$4*$B271^$V$5*$M271^$V$6)*$Q271^$V$7</f>
        <v>0.22108730173482219</v>
      </c>
      <c r="V271" s="3">
        <f t="shared" si="13"/>
        <v>1.4739153448988147</v>
      </c>
      <c r="X271" s="3">
        <f>$Y$2*$B271^$Y$3*$Q271^$Y$4*($Y$5*$M271^$Y$6+$Y$7)</f>
        <v>0.21762461421257939</v>
      </c>
      <c r="Y271" s="3">
        <f t="shared" si="14"/>
        <v>1.450830761417196</v>
      </c>
      <c r="AA271" s="3"/>
      <c r="AB271" s="3"/>
    </row>
    <row r="272" spans="1:28" x14ac:dyDescent="0.3">
      <c r="B272" s="4">
        <v>15.9</v>
      </c>
      <c r="C272" s="5">
        <v>2</v>
      </c>
      <c r="D272" s="4">
        <v>46</v>
      </c>
      <c r="E272" s="3">
        <v>2.9208758709847928</v>
      </c>
      <c r="F272" s="4">
        <v>30</v>
      </c>
      <c r="G272" s="4">
        <v>38</v>
      </c>
      <c r="H272" s="1">
        <v>150</v>
      </c>
      <c r="I272" s="4">
        <v>250</v>
      </c>
      <c r="J272" s="5">
        <v>397.2</v>
      </c>
      <c r="K272" s="3">
        <v>17625</v>
      </c>
      <c r="L272" s="5">
        <v>69.597967277749476</v>
      </c>
      <c r="M272" s="8">
        <v>2.2536170212765955E-2</v>
      </c>
      <c r="N272" s="3">
        <v>27.4</v>
      </c>
      <c r="O272" s="5">
        <v>331.11762492551475</v>
      </c>
      <c r="P272" s="3">
        <v>0.25</v>
      </c>
      <c r="Q272" s="12">
        <f t="shared" si="12"/>
        <v>1.6555881246275738E-3</v>
      </c>
      <c r="U272" s="3">
        <f>$V$2*($V$3*$F272+$V$4*$B272^$V$5*$M272^$V$6)*$Q272^$V$7</f>
        <v>0.30859039991194515</v>
      </c>
      <c r="V272" s="3">
        <f t="shared" si="13"/>
        <v>1.2343615996477806</v>
      </c>
      <c r="X272" s="3">
        <f>$Y$2*$B272^$Y$3*$Q272^$Y$4*($Y$5*$M272^$Y$6+$Y$7)</f>
        <v>0.30556842905132298</v>
      </c>
      <c r="Y272" s="3">
        <f t="shared" si="14"/>
        <v>1.2222737162052919</v>
      </c>
      <c r="AA272" s="3"/>
      <c r="AB272" s="3"/>
    </row>
    <row r="273" spans="1:28" x14ac:dyDescent="0.3">
      <c r="B273" s="4">
        <v>15.9</v>
      </c>
      <c r="C273" s="5">
        <v>2</v>
      </c>
      <c r="D273" s="4">
        <v>46</v>
      </c>
      <c r="E273" s="3">
        <v>2.9208758709847928</v>
      </c>
      <c r="F273" s="4">
        <v>30</v>
      </c>
      <c r="G273" s="4">
        <v>38</v>
      </c>
      <c r="H273" s="1">
        <v>150</v>
      </c>
      <c r="I273" s="4">
        <v>250</v>
      </c>
      <c r="J273" s="5">
        <v>397.2</v>
      </c>
      <c r="K273" s="3">
        <v>17625</v>
      </c>
      <c r="L273" s="5">
        <v>69.597967277749476</v>
      </c>
      <c r="M273" s="8">
        <v>2.2536170212765955E-2</v>
      </c>
      <c r="N273" s="3">
        <v>31.3</v>
      </c>
      <c r="O273" s="5">
        <v>366.45290270331526</v>
      </c>
      <c r="P273" s="3">
        <v>0.3</v>
      </c>
      <c r="Q273" s="12">
        <f t="shared" si="12"/>
        <v>1.8322645135165764E-3</v>
      </c>
      <c r="U273" s="3">
        <f>$V$2*($V$3*$F273+$V$4*$B273^$V$5*$M273^$V$6)*$Q273^$V$7</f>
        <v>0.32851298599859846</v>
      </c>
      <c r="V273" s="3">
        <f t="shared" si="13"/>
        <v>1.095043286661995</v>
      </c>
      <c r="X273" s="3">
        <f>$Y$2*$B273^$Y$3*$Q273^$Y$4*($Y$5*$M273^$Y$6+$Y$7)</f>
        <v>0.32565894115601363</v>
      </c>
      <c r="Y273" s="3">
        <f t="shared" si="14"/>
        <v>1.0855298038533787</v>
      </c>
      <c r="AA273" s="3"/>
      <c r="AB273" s="3"/>
    </row>
    <row r="274" spans="1:28" x14ac:dyDescent="0.3">
      <c r="A274" s="1" t="s">
        <v>63</v>
      </c>
      <c r="B274" s="4">
        <v>15.9</v>
      </c>
      <c r="C274" s="5">
        <v>2</v>
      </c>
      <c r="D274" s="4">
        <v>46</v>
      </c>
      <c r="E274" s="3">
        <v>2.9208758709847928</v>
      </c>
      <c r="F274" s="4">
        <v>30</v>
      </c>
      <c r="G274" s="4">
        <v>38</v>
      </c>
      <c r="H274" s="1">
        <v>150</v>
      </c>
      <c r="I274" s="4">
        <v>250</v>
      </c>
      <c r="J274" s="5">
        <v>397.2</v>
      </c>
      <c r="K274" s="3">
        <v>17625</v>
      </c>
      <c r="L274" s="5">
        <v>69.597967277749476</v>
      </c>
      <c r="M274" s="8">
        <v>2.2536170212765955E-2</v>
      </c>
      <c r="N274" s="3">
        <v>19.600000000000001</v>
      </c>
      <c r="O274" s="5">
        <v>194.62150373964698</v>
      </c>
      <c r="P274" s="3">
        <v>0.15</v>
      </c>
      <c r="Q274" s="12">
        <f t="shared" si="12"/>
        <v>9.7310751869823494E-4</v>
      </c>
      <c r="U274" s="3">
        <f>$V$2*($V$3*$F274+$V$4*$B274^$V$5*$M274^$V$6)*$Q274^$V$7</f>
        <v>0.22232283485447357</v>
      </c>
      <c r="V274" s="3">
        <f t="shared" si="13"/>
        <v>1.4821522323631573</v>
      </c>
      <c r="X274" s="3">
        <f>$Y$2*$B274^$Y$3*$Q274^$Y$4*($Y$5*$M274^$Y$6+$Y$7)</f>
        <v>0.21886254020249207</v>
      </c>
      <c r="Y274" s="3">
        <f t="shared" si="14"/>
        <v>1.4590836013499473</v>
      </c>
      <c r="AA274" s="3"/>
      <c r="AB274" s="3"/>
    </row>
    <row r="275" spans="1:28" x14ac:dyDescent="0.3">
      <c r="B275" s="4">
        <v>15.9</v>
      </c>
      <c r="C275" s="5">
        <v>2</v>
      </c>
      <c r="D275" s="4">
        <v>46</v>
      </c>
      <c r="E275" s="3">
        <v>2.9208758709847928</v>
      </c>
      <c r="F275" s="4">
        <v>30</v>
      </c>
      <c r="G275" s="4">
        <v>38</v>
      </c>
      <c r="H275" s="1">
        <v>150</v>
      </c>
      <c r="I275" s="4">
        <v>250</v>
      </c>
      <c r="J275" s="5">
        <v>397.2</v>
      </c>
      <c r="K275" s="3">
        <v>17625</v>
      </c>
      <c r="L275" s="5">
        <v>69.597967277749476</v>
      </c>
      <c r="M275" s="8">
        <v>2.2536170212765955E-2</v>
      </c>
      <c r="N275" s="3">
        <v>27.5</v>
      </c>
      <c r="O275" s="5">
        <v>332.86757519712853</v>
      </c>
      <c r="P275" s="3">
        <v>0.25</v>
      </c>
      <c r="Q275" s="12">
        <f t="shared" si="12"/>
        <v>1.6643378759856426E-3</v>
      </c>
      <c r="U275" s="3">
        <f>$V$2*($V$3*$F275+$V$4*$B275^$V$5*$M275^$V$6)*$Q275^$V$7</f>
        <v>0.3095956457703673</v>
      </c>
      <c r="V275" s="3">
        <f t="shared" si="13"/>
        <v>1.2383825830814692</v>
      </c>
      <c r="X275" s="3">
        <f>$Y$2*$B275^$Y$3*$Q275^$Y$4*($Y$5*$M275^$Y$6+$Y$7)</f>
        <v>0.30658160632541276</v>
      </c>
      <c r="Y275" s="3">
        <f t="shared" si="14"/>
        <v>1.226326425301651</v>
      </c>
      <c r="AA275" s="3"/>
      <c r="AB275" s="3"/>
    </row>
    <row r="276" spans="1:28" x14ac:dyDescent="0.3">
      <c r="A276" s="1" t="s">
        <v>64</v>
      </c>
      <c r="B276" s="4">
        <v>19.100000000000001</v>
      </c>
      <c r="C276" s="5">
        <v>2</v>
      </c>
      <c r="D276" s="4">
        <v>40</v>
      </c>
      <c r="E276" s="3">
        <v>2.9208758709847928</v>
      </c>
      <c r="F276" s="4">
        <v>30</v>
      </c>
      <c r="G276" s="4">
        <v>39.5</v>
      </c>
      <c r="H276" s="1">
        <v>150</v>
      </c>
      <c r="I276" s="4">
        <v>250</v>
      </c>
      <c r="J276" s="5">
        <v>573</v>
      </c>
      <c r="K276" s="3">
        <v>20250</v>
      </c>
      <c r="L276" s="5">
        <v>80.017825486464005</v>
      </c>
      <c r="M276" s="8">
        <v>2.8296296296296295E-2</v>
      </c>
      <c r="N276" s="3">
        <v>19.7</v>
      </c>
      <c r="O276" s="5">
        <v>113.83469775903394</v>
      </c>
      <c r="P276" s="3">
        <v>0.15</v>
      </c>
      <c r="Q276" s="12">
        <f t="shared" si="12"/>
        <v>5.6917348879516967E-4</v>
      </c>
      <c r="U276" s="3">
        <f>$V$2*($V$3*$F276+$V$4*$B276^$V$5*$M276^$V$6)*$Q276^$V$7</f>
        <v>0.1642819501145274</v>
      </c>
      <c r="V276" s="3">
        <f t="shared" si="13"/>
        <v>1.0952130007635161</v>
      </c>
      <c r="X276" s="3">
        <f>$Y$2*$B276^$Y$3*$Q276^$Y$4*($Y$5*$M276^$Y$6+$Y$7)</f>
        <v>0.16156577752679574</v>
      </c>
      <c r="Y276" s="3">
        <f t="shared" si="14"/>
        <v>1.0771051835119716</v>
      </c>
      <c r="AA276" s="3"/>
      <c r="AB276" s="3"/>
    </row>
    <row r="277" spans="1:28" x14ac:dyDescent="0.3">
      <c r="B277" s="4">
        <v>19.100000000000001</v>
      </c>
      <c r="C277" s="5">
        <v>2</v>
      </c>
      <c r="D277" s="4">
        <v>40</v>
      </c>
      <c r="E277" s="3">
        <v>2.9208758709847928</v>
      </c>
      <c r="F277" s="4">
        <v>30</v>
      </c>
      <c r="G277" s="4">
        <v>39.5</v>
      </c>
      <c r="H277" s="1">
        <v>150</v>
      </c>
      <c r="I277" s="4">
        <v>250</v>
      </c>
      <c r="J277" s="5">
        <v>573</v>
      </c>
      <c r="K277" s="3">
        <v>20250</v>
      </c>
      <c r="L277" s="5">
        <v>80.017825486464005</v>
      </c>
      <c r="M277" s="8">
        <v>2.8296296296296295E-2</v>
      </c>
      <c r="N277" s="3">
        <v>27.5</v>
      </c>
      <c r="O277" s="5">
        <v>206.13033083780331</v>
      </c>
      <c r="P277" s="3">
        <v>0.2</v>
      </c>
      <c r="Q277" s="12">
        <f t="shared" si="12"/>
        <v>1.0306516541890166E-3</v>
      </c>
      <c r="U277" s="3">
        <f>$V$2*($V$3*$F277+$V$4*$B277^$V$5*$M277^$V$6)*$Q277^$V$7</f>
        <v>0.23697031046265582</v>
      </c>
      <c r="V277" s="3">
        <f t="shared" si="13"/>
        <v>1.184851552313279</v>
      </c>
      <c r="X277" s="3">
        <f>$Y$2*$B277^$Y$3*$Q277^$Y$4*($Y$5*$M277^$Y$6+$Y$7)</f>
        <v>0.23457947103456772</v>
      </c>
      <c r="Y277" s="3">
        <f t="shared" si="14"/>
        <v>1.1728973551728386</v>
      </c>
      <c r="AA277" s="3"/>
      <c r="AB277" s="3"/>
    </row>
    <row r="278" spans="1:28" x14ac:dyDescent="0.3">
      <c r="B278" s="4">
        <v>19.100000000000001</v>
      </c>
      <c r="C278" s="5">
        <v>2</v>
      </c>
      <c r="D278" s="4">
        <v>40</v>
      </c>
      <c r="E278" s="3">
        <v>2.9208758709847928</v>
      </c>
      <c r="F278" s="4">
        <v>30</v>
      </c>
      <c r="G278" s="4">
        <v>39.5</v>
      </c>
      <c r="H278" s="1">
        <v>150</v>
      </c>
      <c r="I278" s="4">
        <v>250</v>
      </c>
      <c r="J278" s="5">
        <v>573</v>
      </c>
      <c r="K278" s="3">
        <v>20250</v>
      </c>
      <c r="L278" s="5">
        <v>80.017825486464005</v>
      </c>
      <c r="M278" s="8">
        <v>2.8296296296296295E-2</v>
      </c>
      <c r="N278" s="3">
        <v>35.4</v>
      </c>
      <c r="O278" s="5">
        <v>300.38893655306191</v>
      </c>
      <c r="P278" s="3">
        <v>0.3</v>
      </c>
      <c r="Q278" s="12">
        <f t="shared" si="12"/>
        <v>1.5019446827653096E-3</v>
      </c>
      <c r="U278" s="3">
        <f>$V$2*($V$3*$F278+$V$4*$B278^$V$5*$M278^$V$6)*$Q278^$V$7</f>
        <v>0.29895056045143625</v>
      </c>
      <c r="V278" s="3">
        <f t="shared" si="13"/>
        <v>0.99650186817145425</v>
      </c>
      <c r="X278" s="3">
        <f>$Y$2*$B278^$Y$3*$Q278^$Y$4*($Y$5*$M278^$Y$6+$Y$7)</f>
        <v>0.29716277098894417</v>
      </c>
      <c r="Y278" s="3">
        <f t="shared" si="14"/>
        <v>0.99054256996314727</v>
      </c>
      <c r="AA278" s="3"/>
      <c r="AB278" s="3"/>
    </row>
    <row r="279" spans="1:28" x14ac:dyDescent="0.3">
      <c r="B279" s="4">
        <v>19.100000000000001</v>
      </c>
      <c r="C279" s="5">
        <v>2</v>
      </c>
      <c r="D279" s="4">
        <v>40</v>
      </c>
      <c r="E279" s="3">
        <v>2.9208758709847928</v>
      </c>
      <c r="F279" s="4">
        <v>30</v>
      </c>
      <c r="G279" s="4">
        <v>39.5</v>
      </c>
      <c r="H279" s="1">
        <v>150</v>
      </c>
      <c r="I279" s="4">
        <v>250</v>
      </c>
      <c r="J279" s="5">
        <v>573</v>
      </c>
      <c r="K279" s="3">
        <v>20250</v>
      </c>
      <c r="L279" s="5">
        <v>80.017825486464005</v>
      </c>
      <c r="M279" s="8">
        <v>2.8296296296296295E-2</v>
      </c>
      <c r="N279" s="3">
        <v>43.3</v>
      </c>
      <c r="O279" s="5">
        <v>371.0491641412724</v>
      </c>
      <c r="P279" s="3">
        <v>0.33</v>
      </c>
      <c r="Q279" s="12">
        <f t="shared" si="12"/>
        <v>1.855245820706362E-3</v>
      </c>
      <c r="U279" s="3">
        <f>$V$2*($V$3*$F279+$V$4*$B279^$V$5*$M279^$V$6)*$Q279^$V$7</f>
        <v>0.34057094497931539</v>
      </c>
      <c r="V279" s="3">
        <f t="shared" si="13"/>
        <v>1.0320331666039859</v>
      </c>
      <c r="X279" s="3">
        <f>$Y$2*$B279^$Y$3*$Q279^$Y$4*($Y$5*$M279^$Y$6+$Y$7)</f>
        <v>0.339321864443275</v>
      </c>
      <c r="Y279" s="3">
        <f t="shared" si="14"/>
        <v>1.0282480740705302</v>
      </c>
      <c r="AA279" s="3"/>
      <c r="AB279" s="3"/>
    </row>
    <row r="280" spans="1:28" x14ac:dyDescent="0.3">
      <c r="A280" s="1" t="s">
        <v>65</v>
      </c>
      <c r="B280" s="4">
        <v>19.100000000000001</v>
      </c>
      <c r="C280" s="5">
        <v>2</v>
      </c>
      <c r="D280" s="4">
        <v>40</v>
      </c>
      <c r="E280" s="3">
        <v>2.9208758709847928</v>
      </c>
      <c r="F280" s="4">
        <v>30</v>
      </c>
      <c r="G280" s="4">
        <v>39.5</v>
      </c>
      <c r="H280" s="1">
        <v>150</v>
      </c>
      <c r="I280" s="4">
        <v>250</v>
      </c>
      <c r="J280" s="5">
        <v>573</v>
      </c>
      <c r="K280" s="3">
        <v>20250</v>
      </c>
      <c r="L280" s="5">
        <v>80.017825486464005</v>
      </c>
      <c r="M280" s="8">
        <v>2.8296296296296295E-2</v>
      </c>
      <c r="N280" s="3">
        <v>19.600000000000001</v>
      </c>
      <c r="O280" s="5">
        <v>112.88532852532133</v>
      </c>
      <c r="P280" s="3">
        <v>0.15</v>
      </c>
      <c r="Q280" s="12">
        <f t="shared" si="12"/>
        <v>5.6442664262660658E-4</v>
      </c>
      <c r="U280" s="3">
        <f>$V$2*($V$3*$F280+$V$4*$B280^$V$5*$M280^$V$6)*$Q280^$V$7</f>
        <v>0.16343524684304059</v>
      </c>
      <c r="V280" s="3">
        <f t="shared" si="13"/>
        <v>1.0895683122869373</v>
      </c>
      <c r="X280" s="3">
        <f>$Y$2*$B280^$Y$3*$Q280^$Y$4*($Y$5*$M280^$Y$6+$Y$7)</f>
        <v>0.1607182666979981</v>
      </c>
      <c r="Y280" s="3">
        <f t="shared" si="14"/>
        <v>1.0714551113199875</v>
      </c>
      <c r="AA280" s="3"/>
      <c r="AB280" s="3"/>
    </row>
    <row r="281" spans="1:28" x14ac:dyDescent="0.3">
      <c r="B281" s="4">
        <v>19.100000000000001</v>
      </c>
      <c r="C281" s="5">
        <v>2</v>
      </c>
      <c r="D281" s="4">
        <v>40</v>
      </c>
      <c r="E281" s="3">
        <v>2.9208758709847928</v>
      </c>
      <c r="F281" s="4">
        <v>30</v>
      </c>
      <c r="G281" s="4">
        <v>39.5</v>
      </c>
      <c r="H281" s="1">
        <v>150</v>
      </c>
      <c r="I281" s="4">
        <v>250</v>
      </c>
      <c r="J281" s="5">
        <v>573</v>
      </c>
      <c r="K281" s="3">
        <v>20250</v>
      </c>
      <c r="L281" s="5">
        <v>80.017825486464005</v>
      </c>
      <c r="M281" s="8">
        <v>2.8296296296296295E-2</v>
      </c>
      <c r="N281" s="3">
        <v>27.3</v>
      </c>
      <c r="O281" s="5">
        <v>203.74403702222713</v>
      </c>
      <c r="P281" s="3">
        <v>0.25</v>
      </c>
      <c r="Q281" s="12">
        <f t="shared" si="12"/>
        <v>1.0187201851111357E-3</v>
      </c>
      <c r="U281" s="3">
        <f>$V$2*($V$3*$F281+$V$4*$B281^$V$5*$M281^$V$6)*$Q281^$V$7</f>
        <v>0.23527391144741591</v>
      </c>
      <c r="V281" s="3">
        <f t="shared" si="13"/>
        <v>0.94109564578966365</v>
      </c>
      <c r="X281" s="3">
        <f>$Y$2*$B281^$Y$3*$Q281^$Y$4*($Y$5*$M281^$Y$6+$Y$7)</f>
        <v>0.23287035803821649</v>
      </c>
      <c r="Y281" s="3">
        <f t="shared" si="14"/>
        <v>0.93148143215286594</v>
      </c>
      <c r="AA281" s="3"/>
      <c r="AB281" s="3"/>
    </row>
    <row r="282" spans="1:28" x14ac:dyDescent="0.3">
      <c r="B282" s="4">
        <v>19.100000000000001</v>
      </c>
      <c r="C282" s="5">
        <v>2</v>
      </c>
      <c r="D282" s="4">
        <v>40</v>
      </c>
      <c r="E282" s="3">
        <v>2.9208758709847928</v>
      </c>
      <c r="F282" s="4">
        <v>30</v>
      </c>
      <c r="G282" s="4">
        <v>39.5</v>
      </c>
      <c r="H282" s="1">
        <v>150</v>
      </c>
      <c r="I282" s="4">
        <v>250</v>
      </c>
      <c r="J282" s="5">
        <v>573</v>
      </c>
      <c r="K282" s="3">
        <v>20250</v>
      </c>
      <c r="L282" s="5">
        <v>80.017825486464005</v>
      </c>
      <c r="M282" s="8">
        <v>2.8296296296296295E-2</v>
      </c>
      <c r="N282" s="3">
        <v>35.1</v>
      </c>
      <c r="O282" s="5">
        <v>296.80949582969777</v>
      </c>
      <c r="P282" s="3">
        <v>0.28000000000000003</v>
      </c>
      <c r="Q282" s="12">
        <f t="shared" si="12"/>
        <v>1.4840474791484887E-3</v>
      </c>
      <c r="U282" s="3">
        <f>$V$2*($V$3*$F282+$V$4*$B282^$V$5*$M282^$V$6)*$Q282^$V$7</f>
        <v>0.29674757746491215</v>
      </c>
      <c r="V282" s="3">
        <f t="shared" si="13"/>
        <v>1.0598127766604004</v>
      </c>
      <c r="X282" s="3">
        <f>$Y$2*$B282^$Y$3*$Q282^$Y$4*($Y$5*$M282^$Y$6+$Y$7)</f>
        <v>0.29493406873570388</v>
      </c>
      <c r="Y282" s="3">
        <f t="shared" si="14"/>
        <v>1.0533359597703709</v>
      </c>
      <c r="AA282" s="3"/>
      <c r="AB282" s="3"/>
    </row>
    <row r="283" spans="1:28" x14ac:dyDescent="0.3">
      <c r="A283" s="1" t="s">
        <v>66</v>
      </c>
      <c r="B283" s="4">
        <v>15.9</v>
      </c>
      <c r="C283" s="5">
        <v>2</v>
      </c>
      <c r="D283" s="4">
        <v>46</v>
      </c>
      <c r="E283" s="3">
        <v>3.3538794827423906</v>
      </c>
      <c r="F283" s="4">
        <v>30</v>
      </c>
      <c r="G283" s="4">
        <v>38</v>
      </c>
      <c r="H283" s="1">
        <v>150</v>
      </c>
      <c r="I283" s="4">
        <v>250</v>
      </c>
      <c r="J283" s="5">
        <v>397.2</v>
      </c>
      <c r="K283" s="3">
        <v>17625</v>
      </c>
      <c r="L283" s="5">
        <v>67.684138613099122</v>
      </c>
      <c r="M283" s="8">
        <v>2.2536170212765955E-2</v>
      </c>
      <c r="N283" s="3">
        <v>27.5</v>
      </c>
      <c r="O283" s="5">
        <v>326.5050768139763</v>
      </c>
      <c r="P283" s="3">
        <v>0.2</v>
      </c>
      <c r="Q283" s="12">
        <f t="shared" si="12"/>
        <v>1.6325253840698815E-3</v>
      </c>
      <c r="U283" s="3">
        <f>$V$2*($V$3*$F283+$V$4*$B283^$V$5*$M283^$V$6)*$Q283^$V$7</f>
        <v>0.3059309570271167</v>
      </c>
      <c r="V283" s="3">
        <f t="shared" si="13"/>
        <v>1.5296547851355835</v>
      </c>
      <c r="X283" s="3">
        <f>$Y$2*$B283^$Y$3*$Q283^$Y$4*($Y$5*$M283^$Y$6+$Y$7)</f>
        <v>0.30288828733621642</v>
      </c>
      <c r="Y283" s="3">
        <f t="shared" si="14"/>
        <v>1.5144414366810821</v>
      </c>
      <c r="AA283" s="3"/>
      <c r="AB283" s="3"/>
    </row>
    <row r="284" spans="1:28" x14ac:dyDescent="0.3">
      <c r="B284" s="4">
        <v>15.9</v>
      </c>
      <c r="C284" s="5">
        <v>2</v>
      </c>
      <c r="D284" s="4">
        <v>46</v>
      </c>
      <c r="E284" s="3">
        <v>3.3538794827423906</v>
      </c>
      <c r="F284" s="4">
        <v>30</v>
      </c>
      <c r="G284" s="4">
        <v>38</v>
      </c>
      <c r="H284" s="1">
        <v>150</v>
      </c>
      <c r="I284" s="4">
        <v>250</v>
      </c>
      <c r="J284" s="5">
        <v>397.2</v>
      </c>
      <c r="K284" s="3">
        <v>17625</v>
      </c>
      <c r="L284" s="5">
        <v>67.684138613099122</v>
      </c>
      <c r="M284" s="8">
        <v>2.2536170212765955E-2</v>
      </c>
      <c r="N284" s="3">
        <v>31.4</v>
      </c>
      <c r="O284" s="5">
        <v>362.87183038768865</v>
      </c>
      <c r="P284" s="3">
        <v>0.22</v>
      </c>
      <c r="Q284" s="12">
        <f t="shared" si="12"/>
        <v>1.8143591519384431E-3</v>
      </c>
      <c r="U284" s="3">
        <f>$V$2*($V$3*$F284+$V$4*$B284^$V$5*$M284^$V$6)*$Q284^$V$7</f>
        <v>0.32652849889719943</v>
      </c>
      <c r="V284" s="3">
        <f t="shared" si="13"/>
        <v>1.4842204495327247</v>
      </c>
      <c r="X284" s="3">
        <f>$Y$2*$B284^$Y$3*$Q284^$Y$4*($Y$5*$M284^$Y$6+$Y$7)</f>
        <v>0.32365673039218168</v>
      </c>
      <c r="Y284" s="3">
        <f t="shared" si="14"/>
        <v>1.4711669563280985</v>
      </c>
      <c r="AA284" s="3"/>
      <c r="AB284" s="3"/>
    </row>
    <row r="285" spans="1:28" x14ac:dyDescent="0.3">
      <c r="A285" s="1" t="s">
        <v>67</v>
      </c>
      <c r="B285" s="4">
        <v>15.9</v>
      </c>
      <c r="C285" s="5">
        <v>2</v>
      </c>
      <c r="D285" s="4">
        <v>46</v>
      </c>
      <c r="E285" s="3">
        <v>3.3538794827423906</v>
      </c>
      <c r="F285" s="4">
        <v>30</v>
      </c>
      <c r="G285" s="4">
        <v>38</v>
      </c>
      <c r="H285" s="1">
        <v>150</v>
      </c>
      <c r="I285" s="4">
        <v>250</v>
      </c>
      <c r="J285" s="5">
        <v>397.2</v>
      </c>
      <c r="K285" s="3">
        <v>17625</v>
      </c>
      <c r="L285" s="5">
        <v>67.684138613099122</v>
      </c>
      <c r="M285" s="8">
        <v>2.2536170212765955E-2</v>
      </c>
      <c r="N285" s="3">
        <v>27.5</v>
      </c>
      <c r="O285" s="5">
        <v>326.5050768139763</v>
      </c>
      <c r="P285" s="3">
        <v>0.17</v>
      </c>
      <c r="Q285" s="12">
        <f t="shared" si="12"/>
        <v>1.6325253840698815E-3</v>
      </c>
      <c r="U285" s="3">
        <f>$V$2*($V$3*$F285+$V$4*$B285^$V$5*$M285^$V$6)*$Q285^$V$7</f>
        <v>0.3059309570271167</v>
      </c>
      <c r="V285" s="3">
        <f t="shared" si="13"/>
        <v>1.7995938648653922</v>
      </c>
      <c r="X285" s="3">
        <f>$Y$2*$B285^$Y$3*$Q285^$Y$4*($Y$5*$M285^$Y$6+$Y$7)</f>
        <v>0.30288828733621642</v>
      </c>
      <c r="Y285" s="3">
        <f t="shared" si="14"/>
        <v>1.7816958078600964</v>
      </c>
      <c r="AA285" s="3"/>
      <c r="AB285" s="3"/>
    </row>
    <row r="286" spans="1:28" x14ac:dyDescent="0.3">
      <c r="B286" s="4">
        <v>15.9</v>
      </c>
      <c r="C286" s="5">
        <v>2</v>
      </c>
      <c r="D286" s="4">
        <v>46</v>
      </c>
      <c r="E286" s="3">
        <v>3.3538794827423906</v>
      </c>
      <c r="F286" s="4">
        <v>30</v>
      </c>
      <c r="G286" s="4">
        <v>38</v>
      </c>
      <c r="H286" s="1">
        <v>150</v>
      </c>
      <c r="I286" s="4">
        <v>250</v>
      </c>
      <c r="J286" s="5">
        <v>397.2</v>
      </c>
      <c r="K286" s="3">
        <v>17625</v>
      </c>
      <c r="L286" s="5">
        <v>67.684138613099122</v>
      </c>
      <c r="M286" s="8">
        <v>2.2536170212765955E-2</v>
      </c>
      <c r="N286" s="3">
        <v>31.4</v>
      </c>
      <c r="O286" s="5">
        <v>362.87183038768865</v>
      </c>
      <c r="P286" s="3">
        <v>0.21</v>
      </c>
      <c r="Q286" s="12">
        <f t="shared" si="12"/>
        <v>1.8143591519384431E-3</v>
      </c>
      <c r="U286" s="3">
        <f>$V$2*($V$3*$F286+$V$4*$B286^$V$5*$M286^$V$6)*$Q286^$V$7</f>
        <v>0.32652849889719943</v>
      </c>
      <c r="V286" s="3">
        <f t="shared" si="13"/>
        <v>1.5548976137961878</v>
      </c>
      <c r="X286" s="3">
        <f>$Y$2*$B286^$Y$3*$Q286^$Y$4*($Y$5*$M286^$Y$6+$Y$7)</f>
        <v>0.32365673039218168</v>
      </c>
      <c r="Y286" s="3">
        <f t="shared" si="14"/>
        <v>1.5412225256770558</v>
      </c>
      <c r="AA286" s="3"/>
      <c r="AB286" s="3"/>
    </row>
    <row r="287" spans="1:28" x14ac:dyDescent="0.3">
      <c r="A287" s="1" t="s">
        <v>68</v>
      </c>
      <c r="B287" s="4">
        <v>19.100000000000001</v>
      </c>
      <c r="C287" s="5">
        <v>2</v>
      </c>
      <c r="D287" s="4">
        <v>40</v>
      </c>
      <c r="E287" s="3">
        <v>3.3538794827423906</v>
      </c>
      <c r="F287" s="4">
        <v>30</v>
      </c>
      <c r="G287" s="4">
        <v>39.5</v>
      </c>
      <c r="H287" s="1">
        <v>150</v>
      </c>
      <c r="I287" s="4">
        <v>250</v>
      </c>
      <c r="J287" s="5">
        <v>573</v>
      </c>
      <c r="K287" s="3">
        <v>20250</v>
      </c>
      <c r="L287" s="5">
        <v>77.918977712586056</v>
      </c>
      <c r="M287" s="8">
        <v>2.8296296296296295E-2</v>
      </c>
      <c r="N287" s="3">
        <v>23.4</v>
      </c>
      <c r="O287" s="5">
        <v>147.26196068954874</v>
      </c>
      <c r="P287" s="3">
        <v>0.17</v>
      </c>
      <c r="Q287" s="12">
        <f t="shared" si="12"/>
        <v>7.3630980344774376E-4</v>
      </c>
      <c r="U287" s="3">
        <f>$V$2*($V$3*$F287+$V$4*$B287^$V$5*$M287^$V$6)*$Q287^$V$7</f>
        <v>0.19256629383744425</v>
      </c>
      <c r="V287" s="3">
        <f t="shared" si="13"/>
        <v>1.1327429049261426</v>
      </c>
      <c r="X287" s="3">
        <f>$Y$2*$B287^$Y$3*$Q287^$Y$4*($Y$5*$M287^$Y$6+$Y$7)</f>
        <v>0.18991959371532319</v>
      </c>
      <c r="Y287" s="3">
        <f t="shared" si="14"/>
        <v>1.1171740806783717</v>
      </c>
      <c r="AA287" s="3"/>
      <c r="AB287" s="3"/>
    </row>
    <row r="288" spans="1:28" x14ac:dyDescent="0.3">
      <c r="B288" s="4">
        <v>19.100000000000001</v>
      </c>
      <c r="C288" s="5">
        <v>2</v>
      </c>
      <c r="D288" s="4">
        <v>40</v>
      </c>
      <c r="E288" s="3">
        <v>3.3538794827423906</v>
      </c>
      <c r="F288" s="4">
        <v>30</v>
      </c>
      <c r="G288" s="4">
        <v>39.5</v>
      </c>
      <c r="H288" s="1">
        <v>150</v>
      </c>
      <c r="I288" s="4">
        <v>250</v>
      </c>
      <c r="J288" s="5">
        <v>573</v>
      </c>
      <c r="K288" s="3">
        <v>20250</v>
      </c>
      <c r="L288" s="5">
        <v>77.918977712586056</v>
      </c>
      <c r="M288" s="8">
        <v>2.8296296296296295E-2</v>
      </c>
      <c r="N288" s="3">
        <v>27.4</v>
      </c>
      <c r="O288" s="5">
        <v>196.13239467506898</v>
      </c>
      <c r="P288" s="3">
        <v>0.18</v>
      </c>
      <c r="Q288" s="12">
        <f t="shared" si="12"/>
        <v>9.8066197337534481E-4</v>
      </c>
      <c r="U288" s="3">
        <f>$V$2*($V$3*$F288+$V$4*$B288^$V$5*$M288^$V$6)*$Q288^$V$7</f>
        <v>0.22981126969007948</v>
      </c>
      <c r="V288" s="3">
        <f t="shared" si="13"/>
        <v>1.2767292760559972</v>
      </c>
      <c r="X288" s="3">
        <f>$Y$2*$B288^$Y$3*$Q288^$Y$4*($Y$5*$M288^$Y$6+$Y$7)</f>
        <v>0.22736827612574728</v>
      </c>
      <c r="Y288" s="3">
        <f t="shared" si="14"/>
        <v>1.2631570895874848</v>
      </c>
      <c r="AA288" s="3"/>
      <c r="AB288" s="3"/>
    </row>
    <row r="289" spans="1:28" x14ac:dyDescent="0.3">
      <c r="B289" s="4">
        <v>19.100000000000001</v>
      </c>
      <c r="C289" s="5">
        <v>2</v>
      </c>
      <c r="D289" s="4">
        <v>40</v>
      </c>
      <c r="E289" s="3">
        <v>3.3538794827423906</v>
      </c>
      <c r="F289" s="4">
        <v>30</v>
      </c>
      <c r="G289" s="4">
        <v>39.5</v>
      </c>
      <c r="H289" s="1">
        <v>150</v>
      </c>
      <c r="I289" s="4">
        <v>250</v>
      </c>
      <c r="J289" s="5">
        <v>573</v>
      </c>
      <c r="K289" s="3">
        <v>20250</v>
      </c>
      <c r="L289" s="5">
        <v>77.918977712586056</v>
      </c>
      <c r="M289" s="8">
        <v>2.8296296296296295E-2</v>
      </c>
      <c r="N289" s="3">
        <v>31.3</v>
      </c>
      <c r="O289" s="5">
        <v>243.78106781095127</v>
      </c>
      <c r="P289" s="3">
        <v>0.2</v>
      </c>
      <c r="Q289" s="12">
        <f t="shared" si="12"/>
        <v>1.2189053390547564E-3</v>
      </c>
      <c r="U289" s="3">
        <f>$V$2*($V$3*$F289+$V$4*$B289^$V$5*$M289^$V$6)*$Q289^$V$7</f>
        <v>0.26281331825153553</v>
      </c>
      <c r="V289" s="3">
        <f t="shared" si="13"/>
        <v>1.3140665912576777</v>
      </c>
      <c r="X289" s="3">
        <f>$Y$2*$B289^$Y$3*$Q289^$Y$4*($Y$5*$M289^$Y$6+$Y$7)</f>
        <v>0.2606422845197543</v>
      </c>
      <c r="Y289" s="3">
        <f t="shared" si="14"/>
        <v>1.3032114225987714</v>
      </c>
      <c r="AA289" s="3"/>
      <c r="AB289" s="3"/>
    </row>
    <row r="290" spans="1:28" x14ac:dyDescent="0.3">
      <c r="B290" s="4">
        <v>19.100000000000001</v>
      </c>
      <c r="C290" s="5">
        <v>2</v>
      </c>
      <c r="D290" s="4">
        <v>40</v>
      </c>
      <c r="E290" s="3">
        <v>3.3538794827423906</v>
      </c>
      <c r="F290" s="4">
        <v>30</v>
      </c>
      <c r="G290" s="4">
        <v>39.5</v>
      </c>
      <c r="H290" s="1">
        <v>150</v>
      </c>
      <c r="I290" s="4">
        <v>250</v>
      </c>
      <c r="J290" s="5">
        <v>573</v>
      </c>
      <c r="K290" s="3">
        <v>20250</v>
      </c>
      <c r="L290" s="5">
        <v>77.918977712586056</v>
      </c>
      <c r="M290" s="8">
        <v>2.8296296296296295E-2</v>
      </c>
      <c r="N290" s="3">
        <v>35.299999999999997</v>
      </c>
      <c r="O290" s="5">
        <v>292.65150179647139</v>
      </c>
      <c r="P290" s="3">
        <v>0.2</v>
      </c>
      <c r="Q290" s="12">
        <f t="shared" si="12"/>
        <v>1.4632575089823571E-3</v>
      </c>
      <c r="U290" s="3">
        <f>$V$2*($V$3*$F290+$V$4*$B290^$V$5*$M290^$V$6)*$Q290^$V$7</f>
        <v>0.29417570449968988</v>
      </c>
      <c r="V290" s="3">
        <f t="shared" si="13"/>
        <v>1.4708785224984493</v>
      </c>
      <c r="X290" s="3">
        <f>$Y$2*$B290^$Y$3*$Q290^$Y$4*($Y$5*$M290^$Y$6+$Y$7)</f>
        <v>0.29233254313770091</v>
      </c>
      <c r="Y290" s="3">
        <f t="shared" si="14"/>
        <v>1.4616627156885045</v>
      </c>
      <c r="AA290" s="3"/>
      <c r="AB290" s="3"/>
    </row>
    <row r="291" spans="1:28" x14ac:dyDescent="0.3">
      <c r="B291" s="4">
        <v>19.100000000000001</v>
      </c>
      <c r="C291" s="5">
        <v>2</v>
      </c>
      <c r="D291" s="4">
        <v>40</v>
      </c>
      <c r="E291" s="3">
        <v>3.3538794827423906</v>
      </c>
      <c r="F291" s="4">
        <v>30</v>
      </c>
      <c r="G291" s="4">
        <v>39.5</v>
      </c>
      <c r="H291" s="1">
        <v>150</v>
      </c>
      <c r="I291" s="4">
        <v>250</v>
      </c>
      <c r="J291" s="5">
        <v>573</v>
      </c>
      <c r="K291" s="3">
        <v>20250</v>
      </c>
      <c r="L291" s="5">
        <v>77.918977712586056</v>
      </c>
      <c r="M291" s="8">
        <v>2.8296296296296295E-2</v>
      </c>
      <c r="N291" s="3">
        <v>39.1</v>
      </c>
      <c r="O291" s="5">
        <v>339.07841408271571</v>
      </c>
      <c r="P291" s="3">
        <v>0.25</v>
      </c>
      <c r="Q291" s="12">
        <f t="shared" si="12"/>
        <v>1.6953920704135786E-3</v>
      </c>
      <c r="U291" s="3">
        <f>$V$2*($V$3*$F291+$V$4*$B291^$V$5*$M291^$V$6)*$Q291^$V$7</f>
        <v>0.32215403361750167</v>
      </c>
      <c r="V291" s="3">
        <f t="shared" si="13"/>
        <v>1.2886161344700067</v>
      </c>
      <c r="X291" s="3">
        <f>$Y$2*$B291^$Y$3*$Q291^$Y$4*($Y$5*$M291^$Y$6+$Y$7)</f>
        <v>0.32065452960879121</v>
      </c>
      <c r="Y291" s="3">
        <f t="shared" si="14"/>
        <v>1.2826181184351648</v>
      </c>
      <c r="AA291" s="3"/>
      <c r="AB291" s="3"/>
    </row>
    <row r="292" spans="1:28" x14ac:dyDescent="0.3">
      <c r="B292" s="4">
        <v>19.100000000000001</v>
      </c>
      <c r="C292" s="5">
        <v>2</v>
      </c>
      <c r="D292" s="4">
        <v>40</v>
      </c>
      <c r="E292" s="3">
        <v>3.3538794827423906</v>
      </c>
      <c r="F292" s="4">
        <v>30</v>
      </c>
      <c r="G292" s="4">
        <v>39.5</v>
      </c>
      <c r="H292" s="1">
        <v>150</v>
      </c>
      <c r="I292" s="4">
        <v>250</v>
      </c>
      <c r="J292" s="5">
        <v>573</v>
      </c>
      <c r="K292" s="3">
        <v>20250</v>
      </c>
      <c r="L292" s="5">
        <v>77.918977712586056</v>
      </c>
      <c r="M292" s="8">
        <v>2.8296296296296295E-2</v>
      </c>
      <c r="N292" s="3">
        <v>43.1</v>
      </c>
      <c r="O292" s="5">
        <v>368.14946203483123</v>
      </c>
      <c r="P292" s="3">
        <v>0.27</v>
      </c>
      <c r="Q292" s="12">
        <f t="shared" si="12"/>
        <v>1.8407473101741561E-3</v>
      </c>
      <c r="U292" s="3">
        <f>$V$2*($V$3*$F292+$V$4*$B292^$V$5*$M292^$V$6)*$Q292^$V$7</f>
        <v>0.33892632148312035</v>
      </c>
      <c r="V292" s="3">
        <f t="shared" si="13"/>
        <v>1.255282672159705</v>
      </c>
      <c r="X292" s="3">
        <f>$Y$2*$B292^$Y$3*$Q292^$Y$4*($Y$5*$M292^$Y$6+$Y$7)</f>
        <v>0.33765413154569474</v>
      </c>
      <c r="Y292" s="3">
        <f t="shared" si="14"/>
        <v>1.250570857576647</v>
      </c>
      <c r="AA292" s="3"/>
      <c r="AB292" s="3"/>
    </row>
    <row r="293" spans="1:28" x14ac:dyDescent="0.3">
      <c r="A293" s="1" t="s">
        <v>69</v>
      </c>
      <c r="B293" s="4">
        <v>19.100000000000001</v>
      </c>
      <c r="C293" s="5">
        <v>2</v>
      </c>
      <c r="D293" s="4">
        <v>40</v>
      </c>
      <c r="E293" s="3">
        <v>3.3538794827423906</v>
      </c>
      <c r="F293" s="4">
        <v>30</v>
      </c>
      <c r="G293" s="4">
        <v>39.5</v>
      </c>
      <c r="H293" s="1">
        <v>150</v>
      </c>
      <c r="I293" s="4">
        <v>250</v>
      </c>
      <c r="J293" s="5">
        <v>573</v>
      </c>
      <c r="K293" s="3">
        <v>20250</v>
      </c>
      <c r="L293" s="5">
        <v>77.918977712586056</v>
      </c>
      <c r="M293" s="8">
        <v>2.8296296296296295E-2</v>
      </c>
      <c r="N293" s="3">
        <v>31.3</v>
      </c>
      <c r="O293" s="5">
        <v>243.78106781095127</v>
      </c>
      <c r="P293" s="3">
        <v>0.18</v>
      </c>
      <c r="Q293" s="12">
        <f t="shared" si="12"/>
        <v>1.2189053390547564E-3</v>
      </c>
      <c r="U293" s="3">
        <f>$V$2*($V$3*$F293+$V$4*$B293^$V$5*$M293^$V$6)*$Q293^$V$7</f>
        <v>0.26281331825153553</v>
      </c>
      <c r="V293" s="3">
        <f t="shared" si="13"/>
        <v>1.4600739902863085</v>
      </c>
      <c r="X293" s="3">
        <f>$Y$2*$B293^$Y$3*$Q293^$Y$4*($Y$5*$M293^$Y$6+$Y$7)</f>
        <v>0.2606422845197543</v>
      </c>
      <c r="Y293" s="3">
        <f t="shared" si="14"/>
        <v>1.4480126917764129</v>
      </c>
      <c r="AA293" s="3"/>
      <c r="AB293" s="3"/>
    </row>
    <row r="294" spans="1:28" x14ac:dyDescent="0.3">
      <c r="B294" s="4">
        <v>19.100000000000001</v>
      </c>
      <c r="C294" s="5">
        <v>2</v>
      </c>
      <c r="D294" s="4">
        <v>40</v>
      </c>
      <c r="E294" s="3">
        <v>3.3538794827423906</v>
      </c>
      <c r="F294" s="4">
        <v>30</v>
      </c>
      <c r="G294" s="4">
        <v>39.5</v>
      </c>
      <c r="H294" s="1">
        <v>150</v>
      </c>
      <c r="I294" s="4">
        <v>250</v>
      </c>
      <c r="J294" s="5">
        <v>573</v>
      </c>
      <c r="K294" s="3">
        <v>20250</v>
      </c>
      <c r="L294" s="5">
        <v>77.918977712586056</v>
      </c>
      <c r="M294" s="8">
        <v>2.8296296296296295E-2</v>
      </c>
      <c r="N294" s="3">
        <v>35.1</v>
      </c>
      <c r="O294" s="5">
        <v>290.20798009719545</v>
      </c>
      <c r="P294" s="3">
        <v>0.19</v>
      </c>
      <c r="Q294" s="12">
        <f t="shared" si="12"/>
        <v>1.4510399004859771E-3</v>
      </c>
      <c r="U294" s="3">
        <f>$V$2*($V$3*$F294+$V$4*$B294^$V$5*$M294^$V$6)*$Q294^$V$7</f>
        <v>0.29265776678817773</v>
      </c>
      <c r="V294" s="3">
        <f t="shared" si="13"/>
        <v>1.5403040357272513</v>
      </c>
      <c r="X294" s="3">
        <f>$Y$2*$B294^$Y$3*$Q294^$Y$4*($Y$5*$M294^$Y$6+$Y$7)</f>
        <v>0.29079729428113438</v>
      </c>
      <c r="Y294" s="3">
        <f t="shared" si="14"/>
        <v>1.5305120751638652</v>
      </c>
      <c r="AA294" s="3"/>
      <c r="AB294" s="3"/>
    </row>
    <row r="295" spans="1:28" x14ac:dyDescent="0.3">
      <c r="B295" s="4">
        <v>19.100000000000001</v>
      </c>
      <c r="C295" s="5">
        <v>2</v>
      </c>
      <c r="D295" s="4">
        <v>40</v>
      </c>
      <c r="E295" s="3">
        <v>3.3538794827423906</v>
      </c>
      <c r="F295" s="4">
        <v>30</v>
      </c>
      <c r="G295" s="4">
        <v>39.5</v>
      </c>
      <c r="H295" s="1">
        <v>150</v>
      </c>
      <c r="I295" s="4">
        <v>250</v>
      </c>
      <c r="J295" s="5">
        <v>573</v>
      </c>
      <c r="K295" s="3">
        <v>20250</v>
      </c>
      <c r="L295" s="5">
        <v>77.918977712586056</v>
      </c>
      <c r="M295" s="8">
        <v>2.8296296296296295E-2</v>
      </c>
      <c r="N295" s="3">
        <v>39.1</v>
      </c>
      <c r="O295" s="5">
        <v>339.07841408271571</v>
      </c>
      <c r="P295" s="3">
        <v>0.21</v>
      </c>
      <c r="Q295" s="12">
        <f t="shared" si="12"/>
        <v>1.6953920704135786E-3</v>
      </c>
      <c r="U295" s="3">
        <f>$V$2*($V$3*$F295+$V$4*$B295^$V$5*$M295^$V$6)*$Q295^$V$7</f>
        <v>0.32215403361750167</v>
      </c>
      <c r="V295" s="3">
        <f t="shared" si="13"/>
        <v>1.5340668267500079</v>
      </c>
      <c r="X295" s="3">
        <f>$Y$2*$B295^$Y$3*$Q295^$Y$4*($Y$5*$M295^$Y$6+$Y$7)</f>
        <v>0.32065452960879121</v>
      </c>
      <c r="Y295" s="3">
        <f t="shared" si="14"/>
        <v>1.5269263314704344</v>
      </c>
      <c r="AA295" s="3"/>
      <c r="AB295" s="3"/>
    </row>
    <row r="296" spans="1:28" x14ac:dyDescent="0.3">
      <c r="B296" s="4">
        <v>19.100000000000001</v>
      </c>
      <c r="C296" s="5">
        <v>2</v>
      </c>
      <c r="D296" s="4">
        <v>40</v>
      </c>
      <c r="E296" s="3">
        <v>3.3538794827423906</v>
      </c>
      <c r="F296" s="4">
        <v>30</v>
      </c>
      <c r="G296" s="4">
        <v>39.5</v>
      </c>
      <c r="H296" s="1">
        <v>150</v>
      </c>
      <c r="I296" s="4">
        <v>250</v>
      </c>
      <c r="J296" s="5">
        <v>573</v>
      </c>
      <c r="K296" s="3">
        <v>20250</v>
      </c>
      <c r="L296" s="5">
        <v>77.918977712586056</v>
      </c>
      <c r="M296" s="8">
        <v>2.8296296296296295E-2</v>
      </c>
      <c r="N296" s="3">
        <v>43.1</v>
      </c>
      <c r="O296" s="5">
        <v>368.14946203483123</v>
      </c>
      <c r="P296" s="3">
        <v>0.26</v>
      </c>
      <c r="Q296" s="12">
        <f t="shared" si="12"/>
        <v>1.8407473101741561E-3</v>
      </c>
      <c r="U296" s="3">
        <f>$V$2*($V$3*$F296+$V$4*$B296^$V$5*$M296^$V$6)*$Q296^$V$7</f>
        <v>0.33892632148312035</v>
      </c>
      <c r="V296" s="3">
        <f t="shared" si="13"/>
        <v>1.3035627749350782</v>
      </c>
      <c r="X296" s="3">
        <f>$Y$2*$B296^$Y$3*$Q296^$Y$4*($Y$5*$M296^$Y$6+$Y$7)</f>
        <v>0.33765413154569474</v>
      </c>
      <c r="Y296" s="3">
        <f t="shared" si="14"/>
        <v>1.2986697367142104</v>
      </c>
      <c r="AA296" s="3"/>
      <c r="AB296" s="3"/>
    </row>
    <row r="297" spans="1:28" x14ac:dyDescent="0.3">
      <c r="A297" s="1" t="s">
        <v>70</v>
      </c>
      <c r="B297" s="4">
        <v>19.100000000000001</v>
      </c>
      <c r="C297" s="5">
        <v>2</v>
      </c>
      <c r="D297" s="4">
        <v>69.8</v>
      </c>
      <c r="E297" s="3">
        <v>2.900328825179082</v>
      </c>
      <c r="F297" s="4">
        <v>31.8</v>
      </c>
      <c r="G297" s="4">
        <v>41.4</v>
      </c>
      <c r="H297" s="1">
        <v>152.4</v>
      </c>
      <c r="I297" s="4">
        <v>381</v>
      </c>
      <c r="J297" s="5">
        <v>568</v>
      </c>
      <c r="K297" s="3">
        <v>20863.560000000001</v>
      </c>
      <c r="L297" s="5">
        <v>105.95189967799172</v>
      </c>
      <c r="M297" s="8">
        <v>2.7224500516690342E-2</v>
      </c>
      <c r="N297" s="3">
        <v>35.088900000000002</v>
      </c>
      <c r="O297" s="5">
        <v>131.31218431194344</v>
      </c>
      <c r="P297" s="3">
        <v>0.17</v>
      </c>
      <c r="Q297" s="12">
        <f t="shared" si="12"/>
        <v>6.5656092155971725E-4</v>
      </c>
      <c r="U297" s="3">
        <f>$V$2*($V$3*$F297+$V$4*$B297^$V$5*$M297^$V$6)*$Q297^$V$7</f>
        <v>0.18231648870164152</v>
      </c>
      <c r="V297" s="3">
        <f t="shared" si="13"/>
        <v>1.0724499335390676</v>
      </c>
      <c r="X297" s="3">
        <f>$Y$2*$B297^$Y$3*$Q297^$Y$4*($Y$5*$M297^$Y$6+$Y$7)</f>
        <v>0.17954866730318977</v>
      </c>
      <c r="Y297" s="3">
        <f t="shared" si="14"/>
        <v>1.0561686311952339</v>
      </c>
      <c r="AA297" s="3"/>
      <c r="AB297" s="3"/>
    </row>
    <row r="298" spans="1:28" x14ac:dyDescent="0.3">
      <c r="B298" s="4">
        <v>19.100000000000001</v>
      </c>
      <c r="C298" s="5">
        <v>2</v>
      </c>
      <c r="D298" s="4">
        <v>69.8</v>
      </c>
      <c r="E298" s="3">
        <v>2.900328825179082</v>
      </c>
      <c r="F298" s="4">
        <v>31.8</v>
      </c>
      <c r="G298" s="4">
        <v>41.4</v>
      </c>
      <c r="H298" s="1">
        <v>152.4</v>
      </c>
      <c r="I298" s="4">
        <v>381</v>
      </c>
      <c r="J298" s="5">
        <v>568</v>
      </c>
      <c r="K298" s="3">
        <v>20863.560000000001</v>
      </c>
      <c r="L298" s="5">
        <v>105.95189967799172</v>
      </c>
      <c r="M298" s="8">
        <v>2.7224500516690342E-2</v>
      </c>
      <c r="N298" s="3">
        <v>42.257600000000004</v>
      </c>
      <c r="O298" s="5">
        <v>183.72363442548033</v>
      </c>
      <c r="P298" s="3">
        <v>0.23</v>
      </c>
      <c r="Q298" s="12">
        <f t="shared" si="12"/>
        <v>9.1861817212740159E-4</v>
      </c>
      <c r="U298" s="3">
        <f>$V$2*($V$3*$F298+$V$4*$B298^$V$5*$M298^$V$6)*$Q298^$V$7</f>
        <v>0.22429602110704885</v>
      </c>
      <c r="V298" s="3">
        <f t="shared" si="13"/>
        <v>0.97520009176977762</v>
      </c>
      <c r="X298" s="3">
        <f>$Y$2*$B298^$Y$3*$Q298^$Y$4*($Y$5*$M298^$Y$6+$Y$7)</f>
        <v>0.22170846107143552</v>
      </c>
      <c r="Y298" s="3">
        <f t="shared" si="14"/>
        <v>0.96394983074537177</v>
      </c>
      <c r="AA298" s="3"/>
      <c r="AB298" s="3"/>
    </row>
    <row r="299" spans="1:28" x14ac:dyDescent="0.3">
      <c r="B299" s="4">
        <v>19.100000000000001</v>
      </c>
      <c r="C299" s="5">
        <v>2</v>
      </c>
      <c r="D299" s="4">
        <v>69.8</v>
      </c>
      <c r="E299" s="3">
        <v>2.900328825179082</v>
      </c>
      <c r="F299" s="4">
        <v>31.8</v>
      </c>
      <c r="G299" s="4">
        <v>41.4</v>
      </c>
      <c r="H299" s="1">
        <v>152.4</v>
      </c>
      <c r="I299" s="4">
        <v>381</v>
      </c>
      <c r="J299" s="5">
        <v>568</v>
      </c>
      <c r="K299" s="3">
        <v>20863.560000000001</v>
      </c>
      <c r="L299" s="5">
        <v>105.95189967799172</v>
      </c>
      <c r="M299" s="8">
        <v>2.7224500516690342E-2</v>
      </c>
      <c r="N299" s="3">
        <v>48.808900000000008</v>
      </c>
      <c r="O299" s="5">
        <v>223.27421245905444</v>
      </c>
      <c r="P299" s="3">
        <v>0.27</v>
      </c>
      <c r="Q299" s="12">
        <f t="shared" si="12"/>
        <v>1.1163710622952721E-3</v>
      </c>
      <c r="U299" s="3">
        <f>$V$2*($V$3*$F299+$V$4*$B299^$V$5*$M299^$V$6)*$Q299^$V$7</f>
        <v>0.25296774099818858</v>
      </c>
      <c r="V299" s="3">
        <f t="shared" si="13"/>
        <v>0.93691755925255027</v>
      </c>
      <c r="X299" s="3">
        <f>$Y$2*$B299^$Y$3*$Q299^$Y$4*($Y$5*$M299^$Y$6+$Y$7)</f>
        <v>0.25058625714296606</v>
      </c>
      <c r="Y299" s="3">
        <f t="shared" si="14"/>
        <v>0.92809724867765198</v>
      </c>
      <c r="AA299" s="3"/>
      <c r="AB299" s="3"/>
    </row>
    <row r="300" spans="1:28" x14ac:dyDescent="0.3">
      <c r="A300" s="1" t="s">
        <v>71</v>
      </c>
      <c r="B300" s="4">
        <v>19.100000000000001</v>
      </c>
      <c r="C300" s="5">
        <v>2</v>
      </c>
      <c r="D300" s="4">
        <v>69.8</v>
      </c>
      <c r="E300" s="3">
        <v>2.8466918957142089</v>
      </c>
      <c r="F300" s="4">
        <v>31.8</v>
      </c>
      <c r="G300" s="4">
        <v>41.4</v>
      </c>
      <c r="H300" s="1">
        <v>152.4</v>
      </c>
      <c r="I300" s="4">
        <v>381</v>
      </c>
      <c r="J300" s="5">
        <v>568</v>
      </c>
      <c r="K300" s="3">
        <v>20863.560000000001</v>
      </c>
      <c r="L300" s="5">
        <v>106.35551323610362</v>
      </c>
      <c r="M300" s="8">
        <v>2.7224500516690342E-2</v>
      </c>
      <c r="N300" s="3">
        <v>48.808900000000008</v>
      </c>
      <c r="O300" s="5">
        <v>224.17342621351992</v>
      </c>
      <c r="P300" s="3">
        <v>0.16</v>
      </c>
      <c r="Q300" s="12">
        <f t="shared" si="12"/>
        <v>1.1208671310675995E-3</v>
      </c>
      <c r="U300" s="3">
        <f>$V$2*($V$3*$F300+$V$4*$B300^$V$5*$M300^$V$6)*$Q300^$V$7</f>
        <v>0.25359585753173686</v>
      </c>
      <c r="V300" s="3">
        <f t="shared" si="13"/>
        <v>1.5849741095733554</v>
      </c>
      <c r="X300" s="3">
        <f>$Y$2*$B300^$Y$3*$Q300^$Y$4*($Y$5*$M300^$Y$6+$Y$7)</f>
        <v>0.25121956724618622</v>
      </c>
      <c r="Y300" s="3">
        <f t="shared" si="14"/>
        <v>1.5701222952886638</v>
      </c>
      <c r="AA300" s="3"/>
      <c r="AB300" s="3"/>
    </row>
    <row r="301" spans="1:28" x14ac:dyDescent="0.3">
      <c r="A301" s="1" t="s">
        <v>72</v>
      </c>
      <c r="B301" s="4">
        <v>19.100000000000001</v>
      </c>
      <c r="C301" s="5">
        <v>2</v>
      </c>
      <c r="D301" s="4">
        <v>69.8</v>
      </c>
      <c r="E301" s="3">
        <v>2.711321473488328</v>
      </c>
      <c r="F301" s="4">
        <v>38.200000000000003</v>
      </c>
      <c r="G301" s="4">
        <v>47.7</v>
      </c>
      <c r="H301" s="1">
        <v>152.4</v>
      </c>
      <c r="I301" s="4">
        <v>381</v>
      </c>
      <c r="J301" s="5">
        <v>568</v>
      </c>
      <c r="K301" s="3">
        <v>21823.68</v>
      </c>
      <c r="L301" s="5">
        <v>106.22541601162594</v>
      </c>
      <c r="M301" s="8">
        <v>2.6026774586137627E-2</v>
      </c>
      <c r="N301" s="3">
        <v>42.257600000000004</v>
      </c>
      <c r="O301" s="5">
        <v>191.76492293440739</v>
      </c>
      <c r="P301" s="3">
        <v>0.16</v>
      </c>
      <c r="Q301" s="12">
        <f t="shared" si="12"/>
        <v>9.5882461467203695E-4</v>
      </c>
      <c r="U301" s="3">
        <f>$V$2*($V$3*$F301+$V$4*$B301^$V$5*$M301^$V$6)*$Q301^$V$7</f>
        <v>0.23459571061555762</v>
      </c>
      <c r="V301" s="3">
        <f t="shared" si="13"/>
        <v>1.466223191347235</v>
      </c>
      <c r="X301" s="3">
        <f>$Y$2*$B301^$Y$3*$Q301^$Y$4*($Y$5*$M301^$Y$6+$Y$7)</f>
        <v>0.23203479354088424</v>
      </c>
      <c r="Y301" s="3">
        <f t="shared" si="14"/>
        <v>1.4502174596305264</v>
      </c>
      <c r="AA301" s="3"/>
      <c r="AB301" s="3"/>
    </row>
    <row r="302" spans="1:28" x14ac:dyDescent="0.3">
      <c r="B302" s="4">
        <v>19.100000000000001</v>
      </c>
      <c r="C302" s="5">
        <v>2</v>
      </c>
      <c r="D302" s="4">
        <v>69.8</v>
      </c>
      <c r="E302" s="3">
        <v>2.711321473488328</v>
      </c>
      <c r="F302" s="4">
        <v>38.200000000000003</v>
      </c>
      <c r="G302" s="4">
        <v>47.7</v>
      </c>
      <c r="H302" s="1">
        <v>152.4</v>
      </c>
      <c r="I302" s="4">
        <v>381</v>
      </c>
      <c r="J302" s="5">
        <v>568</v>
      </c>
      <c r="K302" s="3">
        <v>21823.68</v>
      </c>
      <c r="L302" s="5">
        <v>106.22541601162594</v>
      </c>
      <c r="M302" s="8">
        <v>2.6026774586137627E-2</v>
      </c>
      <c r="N302" s="3">
        <v>48.808900000000008</v>
      </c>
      <c r="O302" s="5">
        <v>224.52366430868952</v>
      </c>
      <c r="P302" s="3">
        <v>0.2</v>
      </c>
      <c r="Q302" s="12">
        <f t="shared" si="12"/>
        <v>1.1226183215434476E-3</v>
      </c>
      <c r="U302" s="3">
        <f>$V$2*($V$3*$F302+$V$4*$B302^$V$5*$M302^$V$6)*$Q302^$V$7</f>
        <v>0.25857123994153575</v>
      </c>
      <c r="V302" s="3">
        <f t="shared" si="13"/>
        <v>1.2928561997076786</v>
      </c>
      <c r="X302" s="3">
        <f>$Y$2*$B302^$Y$3*$Q302^$Y$4*($Y$5*$M302^$Y$6+$Y$7)</f>
        <v>0.25619266149071906</v>
      </c>
      <c r="Y302" s="3">
        <f t="shared" si="14"/>
        <v>1.2809633074535953</v>
      </c>
      <c r="AA302" s="3"/>
      <c r="AB302" s="3"/>
    </row>
    <row r="303" spans="1:28" x14ac:dyDescent="0.3">
      <c r="A303" s="1" t="s">
        <v>73</v>
      </c>
      <c r="B303" s="4">
        <v>22.2</v>
      </c>
      <c r="C303" s="5">
        <v>2</v>
      </c>
      <c r="D303" s="4">
        <v>63.6</v>
      </c>
      <c r="E303" s="3">
        <v>2.6879866270061714</v>
      </c>
      <c r="F303" s="4">
        <v>12.8</v>
      </c>
      <c r="G303" s="4">
        <v>23.9</v>
      </c>
      <c r="H303" s="1">
        <v>152.4</v>
      </c>
      <c r="I303" s="4">
        <v>381</v>
      </c>
      <c r="J303" s="5">
        <v>774</v>
      </c>
      <c r="K303" s="3">
        <v>12748.259999999998</v>
      </c>
      <c r="L303" s="5">
        <v>125.50102741476127</v>
      </c>
      <c r="M303" s="8">
        <v>6.0714168051169345E-2</v>
      </c>
      <c r="N303" s="3">
        <v>66.199000000000012</v>
      </c>
      <c r="O303" s="5">
        <v>244.57971130479447</v>
      </c>
      <c r="P303" s="3">
        <v>0.17</v>
      </c>
      <c r="Q303" s="12">
        <f t="shared" si="12"/>
        <v>1.2228985565239723E-3</v>
      </c>
      <c r="U303" s="3">
        <f>$V$2*($V$3*$F303+$V$4*$B303^$V$5*$M303^$V$6)*$Q303^$V$7</f>
        <v>0.2120706194617909</v>
      </c>
      <c r="V303" s="3">
        <f t="shared" si="13"/>
        <v>1.2474742321281818</v>
      </c>
      <c r="X303" s="3">
        <f>$Y$2*$B303^$Y$3*$Q303^$Y$4*($Y$5*$M303^$Y$6+$Y$7)</f>
        <v>0.2184146272344509</v>
      </c>
      <c r="Y303" s="3">
        <f t="shared" si="14"/>
        <v>1.2847919249085347</v>
      </c>
      <c r="AA303" s="3"/>
      <c r="AB303" s="3"/>
    </row>
    <row r="304" spans="1:28" x14ac:dyDescent="0.3">
      <c r="A304" s="1" t="s">
        <v>74</v>
      </c>
      <c r="B304" s="4">
        <v>22.2</v>
      </c>
      <c r="C304" s="5">
        <v>2</v>
      </c>
      <c r="D304" s="4">
        <v>63.6</v>
      </c>
      <c r="E304" s="3">
        <v>2.3846015710371389</v>
      </c>
      <c r="F304" s="4">
        <v>38</v>
      </c>
      <c r="G304" s="4">
        <v>49.1</v>
      </c>
      <c r="H304" s="1">
        <v>152.4</v>
      </c>
      <c r="I304" s="4">
        <v>381</v>
      </c>
      <c r="J304" s="5">
        <v>774</v>
      </c>
      <c r="K304" s="3">
        <v>24399.24</v>
      </c>
      <c r="L304" s="5">
        <v>122.85693329470558</v>
      </c>
      <c r="M304" s="8">
        <v>3.1722299547035072E-2</v>
      </c>
      <c r="N304" s="3">
        <v>43.938299999999998</v>
      </c>
      <c r="O304" s="5">
        <v>140.82727726288348</v>
      </c>
      <c r="P304" s="3">
        <v>0.15</v>
      </c>
      <c r="Q304" s="12">
        <f t="shared" si="12"/>
        <v>7.0413638631441748E-4</v>
      </c>
      <c r="U304" s="3">
        <f>$V$2*($V$3*$F304+$V$4*$B304^$V$5*$M304^$V$6)*$Q304^$V$7</f>
        <v>0.19754548547492937</v>
      </c>
      <c r="V304" s="3">
        <f t="shared" si="13"/>
        <v>1.3169699031661959</v>
      </c>
      <c r="X304" s="3">
        <f>$Y$2*$B304^$Y$3*$Q304^$Y$4*($Y$5*$M304^$Y$6+$Y$7)</f>
        <v>0.19595799200591987</v>
      </c>
      <c r="Y304" s="3">
        <f t="shared" si="14"/>
        <v>1.3063866133727993</v>
      </c>
      <c r="AA304" s="3"/>
      <c r="AB304" s="3"/>
    </row>
    <row r="305" spans="1:28" x14ac:dyDescent="0.3">
      <c r="B305" s="4">
        <v>22.2</v>
      </c>
      <c r="C305" s="5">
        <v>2</v>
      </c>
      <c r="D305" s="4">
        <v>63.6</v>
      </c>
      <c r="E305" s="3">
        <v>2.3846015710371389</v>
      </c>
      <c r="F305" s="4">
        <v>38</v>
      </c>
      <c r="G305" s="4">
        <v>49.1</v>
      </c>
      <c r="H305" s="1">
        <v>152.4</v>
      </c>
      <c r="I305" s="4">
        <v>381</v>
      </c>
      <c r="J305" s="5">
        <v>774</v>
      </c>
      <c r="K305" s="3">
        <v>24399.24</v>
      </c>
      <c r="L305" s="5">
        <v>122.85693329470558</v>
      </c>
      <c r="M305" s="8">
        <v>3.1722299547035072E-2</v>
      </c>
      <c r="N305" s="3">
        <v>51.107000000000006</v>
      </c>
      <c r="O305" s="5">
        <v>178.83384524302568</v>
      </c>
      <c r="P305" s="3">
        <v>0.19</v>
      </c>
      <c r="Q305" s="12">
        <f t="shared" si="12"/>
        <v>8.9416922621512844E-4</v>
      </c>
      <c r="U305" s="3">
        <f>$V$2*($V$3*$F305+$V$4*$B305^$V$5*$M305^$V$6)*$Q305^$V$7</f>
        <v>0.22892268876739819</v>
      </c>
      <c r="V305" s="3">
        <f t="shared" si="13"/>
        <v>1.2048562566705168</v>
      </c>
      <c r="X305" s="3">
        <f>$Y$2*$B305^$Y$3*$Q305^$Y$4*($Y$5*$M305^$Y$6+$Y$7)</f>
        <v>0.22768063911960526</v>
      </c>
      <c r="Y305" s="3">
        <f t="shared" si="14"/>
        <v>1.1983191532610804</v>
      </c>
      <c r="AA305" s="3"/>
      <c r="AB305" s="3"/>
    </row>
    <row r="306" spans="1:28" x14ac:dyDescent="0.3">
      <c r="B306" s="4">
        <v>22.2</v>
      </c>
      <c r="C306" s="5">
        <v>2</v>
      </c>
      <c r="D306" s="4">
        <v>63.6</v>
      </c>
      <c r="E306" s="3">
        <v>2.3846015710371389</v>
      </c>
      <c r="F306" s="4">
        <v>38</v>
      </c>
      <c r="G306" s="4">
        <v>49.1</v>
      </c>
      <c r="H306" s="1">
        <v>152.4</v>
      </c>
      <c r="I306" s="4">
        <v>381</v>
      </c>
      <c r="J306" s="5">
        <v>774</v>
      </c>
      <c r="K306" s="3">
        <v>24399.24</v>
      </c>
      <c r="L306" s="5">
        <v>122.85693329470558</v>
      </c>
      <c r="M306" s="8">
        <v>3.1722299547035072E-2</v>
      </c>
      <c r="N306" s="3">
        <v>58.755900000000011</v>
      </c>
      <c r="O306" s="5">
        <v>219.38630772901473</v>
      </c>
      <c r="P306" s="3">
        <v>0.22</v>
      </c>
      <c r="Q306" s="12">
        <f t="shared" si="12"/>
        <v>1.0969315386450736E-3</v>
      </c>
      <c r="U306" s="3">
        <f>$V$2*($V$3*$F306+$V$4*$B306^$V$5*$M306^$V$6)*$Q306^$V$7</f>
        <v>0.25968904987819974</v>
      </c>
      <c r="V306" s="3">
        <f t="shared" si="13"/>
        <v>1.1804047721736353</v>
      </c>
      <c r="X306" s="3">
        <f>$Y$2*$B306^$Y$3*$Q306^$Y$4*($Y$5*$M306^$Y$6+$Y$7)</f>
        <v>0.25886137812287424</v>
      </c>
      <c r="Y306" s="3">
        <f t="shared" si="14"/>
        <v>1.1766426278312465</v>
      </c>
      <c r="AA306" s="3"/>
      <c r="AB306" s="3"/>
    </row>
    <row r="307" spans="1:28" x14ac:dyDescent="0.3">
      <c r="B307" s="4">
        <v>22.2</v>
      </c>
      <c r="C307" s="5">
        <v>2</v>
      </c>
      <c r="D307" s="4">
        <v>63.6</v>
      </c>
      <c r="E307" s="3">
        <v>2.3846015710371389</v>
      </c>
      <c r="F307" s="4">
        <v>38</v>
      </c>
      <c r="G307" s="4">
        <v>49.1</v>
      </c>
      <c r="H307" s="1">
        <v>152.4</v>
      </c>
      <c r="I307" s="4">
        <v>381</v>
      </c>
      <c r="J307" s="5">
        <v>774</v>
      </c>
      <c r="K307" s="3">
        <v>24399.24</v>
      </c>
      <c r="L307" s="5">
        <v>122.85693329470558</v>
      </c>
      <c r="M307" s="8">
        <v>3.1722299547035072E-2</v>
      </c>
      <c r="N307" s="3">
        <v>66.199000000000012</v>
      </c>
      <c r="O307" s="5">
        <v>237.16022682785922</v>
      </c>
      <c r="P307" s="3">
        <v>0.27</v>
      </c>
      <c r="Q307" s="12">
        <f t="shared" si="12"/>
        <v>1.185801134139296E-3</v>
      </c>
      <c r="U307" s="3">
        <f>$V$2*($V$3*$F307+$V$4*$B307^$V$5*$M307^$V$6)*$Q307^$V$7</f>
        <v>0.27247595912414979</v>
      </c>
      <c r="V307" s="3">
        <f t="shared" si="13"/>
        <v>1.0091702189783325</v>
      </c>
      <c r="X307" s="3">
        <f>$Y$2*$B307^$Y$3*$Q307^$Y$4*($Y$5*$M307^$Y$6+$Y$7)</f>
        <v>0.27184037911903103</v>
      </c>
      <c r="Y307" s="3">
        <f t="shared" si="14"/>
        <v>1.0068162189593741</v>
      </c>
      <c r="AA307" s="3"/>
      <c r="AB307" s="3"/>
    </row>
    <row r="308" spans="1:28" x14ac:dyDescent="0.3">
      <c r="A308" s="1" t="s">
        <v>75</v>
      </c>
      <c r="B308" s="4">
        <v>22.2</v>
      </c>
      <c r="C308" s="5">
        <v>2</v>
      </c>
      <c r="D308" s="4">
        <v>63.6</v>
      </c>
      <c r="E308" s="3">
        <v>2.8648423476200775</v>
      </c>
      <c r="F308" s="4">
        <v>38</v>
      </c>
      <c r="G308" s="4">
        <v>49.1</v>
      </c>
      <c r="H308" s="1">
        <v>152.4</v>
      </c>
      <c r="I308" s="4">
        <v>381</v>
      </c>
      <c r="J308" s="5">
        <v>774</v>
      </c>
      <c r="K308" s="3">
        <v>24399.24</v>
      </c>
      <c r="L308" s="5">
        <v>118.55113780231501</v>
      </c>
      <c r="M308" s="8">
        <v>3.1722299547035072E-2</v>
      </c>
      <c r="N308" s="3">
        <v>58.755900000000011</v>
      </c>
      <c r="O308" s="5">
        <v>210.2535029913453</v>
      </c>
      <c r="P308" s="3">
        <v>0.17</v>
      </c>
      <c r="Q308" s="12">
        <f t="shared" si="12"/>
        <v>1.0512675149567264E-3</v>
      </c>
      <c r="U308" s="3">
        <f>$V$2*($V$3*$F308+$V$4*$B308^$V$5*$M308^$V$6)*$Q308^$V$7</f>
        <v>0.25296471263819531</v>
      </c>
      <c r="V308" s="3">
        <f t="shared" si="13"/>
        <v>1.4880277214011488</v>
      </c>
      <c r="X308" s="3">
        <f>$Y$2*$B308^$Y$3*$Q308^$Y$4*($Y$5*$M308^$Y$6+$Y$7)</f>
        <v>0.2520405599746719</v>
      </c>
      <c r="Y308" s="3">
        <f t="shared" si="14"/>
        <v>1.4825915292627758</v>
      </c>
      <c r="AA308" s="3"/>
      <c r="AB308" s="3"/>
    </row>
    <row r="309" spans="1:28" x14ac:dyDescent="0.3">
      <c r="B309" s="4">
        <v>22.2</v>
      </c>
      <c r="C309" s="5">
        <v>2</v>
      </c>
      <c r="D309" s="4">
        <v>63.6</v>
      </c>
      <c r="E309" s="3">
        <v>2.8648423476200775</v>
      </c>
      <c r="F309" s="4">
        <v>38</v>
      </c>
      <c r="G309" s="4">
        <v>49.1</v>
      </c>
      <c r="H309" s="1">
        <v>152.4</v>
      </c>
      <c r="I309" s="4">
        <v>381</v>
      </c>
      <c r="J309" s="5">
        <v>774</v>
      </c>
      <c r="K309" s="3">
        <v>24399.24</v>
      </c>
      <c r="L309" s="5">
        <v>118.55113780231501</v>
      </c>
      <c r="M309" s="8">
        <v>3.1722299547035072E-2</v>
      </c>
      <c r="N309" s="3">
        <v>66.199000000000012</v>
      </c>
      <c r="O309" s="5">
        <v>230.12722674031269</v>
      </c>
      <c r="P309" s="3">
        <v>0.2</v>
      </c>
      <c r="Q309" s="12">
        <f t="shared" si="12"/>
        <v>1.1506361337015635E-3</v>
      </c>
      <c r="U309" s="3">
        <f>$V$2*($V$3*$F309+$V$4*$B309^$V$5*$M309^$V$6)*$Q309^$V$7</f>
        <v>0.26746171346915876</v>
      </c>
      <c r="V309" s="3">
        <f t="shared" si="13"/>
        <v>1.3373085673457936</v>
      </c>
      <c r="X309" s="3">
        <f>$Y$2*$B309^$Y$3*$Q309^$Y$4*($Y$5*$M309^$Y$6+$Y$7)</f>
        <v>0.26674948362228751</v>
      </c>
      <c r="Y309" s="3">
        <f t="shared" si="14"/>
        <v>1.3337474181114375</v>
      </c>
      <c r="AA309" s="3"/>
      <c r="AB309" s="3"/>
    </row>
    <row r="310" spans="1:28" x14ac:dyDescent="0.3">
      <c r="A310" s="1" t="s">
        <v>76</v>
      </c>
      <c r="B310" s="4">
        <v>22.2</v>
      </c>
      <c r="C310" s="5">
        <v>2</v>
      </c>
      <c r="D310" s="4">
        <v>63.6</v>
      </c>
      <c r="E310" s="3">
        <v>2.8336917902498859</v>
      </c>
      <c r="F310" s="4">
        <v>38</v>
      </c>
      <c r="G310" s="4">
        <v>49.1</v>
      </c>
      <c r="H310" s="1">
        <v>152.4</v>
      </c>
      <c r="I310" s="4">
        <v>381</v>
      </c>
      <c r="J310" s="5">
        <v>774</v>
      </c>
      <c r="K310" s="3">
        <v>24399.24</v>
      </c>
      <c r="L310" s="5">
        <v>118.80489327201617</v>
      </c>
      <c r="M310" s="8">
        <v>3.1722299547035072E-2</v>
      </c>
      <c r="N310" s="3">
        <v>43.938299999999998</v>
      </c>
      <c r="O310" s="5">
        <v>130.47854270038215</v>
      </c>
      <c r="P310" s="3">
        <v>0.15</v>
      </c>
      <c r="Q310" s="12">
        <f t="shared" si="12"/>
        <v>6.5239271350191078E-4</v>
      </c>
      <c r="U310" s="3">
        <f>$V$2*($V$3*$F310+$V$4*$B310^$V$5*$M310^$V$6)*$Q310^$V$7</f>
        <v>0.18845817767758241</v>
      </c>
      <c r="V310" s="3">
        <f t="shared" si="13"/>
        <v>1.2563878511838829</v>
      </c>
      <c r="X310" s="3">
        <f>$Y$2*$B310^$Y$3*$Q310^$Y$4*($Y$5*$M310^$Y$6+$Y$7)</f>
        <v>0.18678682249030792</v>
      </c>
      <c r="Y310" s="3">
        <f t="shared" si="14"/>
        <v>1.2452454832687196</v>
      </c>
      <c r="AA310" s="3"/>
      <c r="AB310" s="3"/>
    </row>
    <row r="311" spans="1:28" x14ac:dyDescent="0.3">
      <c r="B311" s="4">
        <v>22.2</v>
      </c>
      <c r="C311" s="5">
        <v>2</v>
      </c>
      <c r="D311" s="4">
        <v>63.6</v>
      </c>
      <c r="E311" s="3">
        <v>2.8336917902498859</v>
      </c>
      <c r="F311" s="4">
        <v>38</v>
      </c>
      <c r="G311" s="4">
        <v>49.1</v>
      </c>
      <c r="H311" s="1">
        <v>152.4</v>
      </c>
      <c r="I311" s="4">
        <v>381</v>
      </c>
      <c r="J311" s="5">
        <v>774</v>
      </c>
      <c r="K311" s="3">
        <v>24399.24</v>
      </c>
      <c r="L311" s="5">
        <v>118.80489327201617</v>
      </c>
      <c r="M311" s="8">
        <v>3.1722299547035072E-2</v>
      </c>
      <c r="N311" s="3">
        <v>51.107000000000006</v>
      </c>
      <c r="O311" s="5">
        <v>169.35562689037658</v>
      </c>
      <c r="P311" s="3">
        <v>0.18</v>
      </c>
      <c r="Q311" s="12">
        <f t="shared" si="12"/>
        <v>8.4677813445188297E-4</v>
      </c>
      <c r="U311" s="3">
        <f>$V$2*($V$3*$F311+$V$4*$B311^$V$5*$M311^$V$6)*$Q311^$V$7</f>
        <v>0.22135877175296009</v>
      </c>
      <c r="V311" s="3">
        <f t="shared" si="13"/>
        <v>1.2297709541831117</v>
      </c>
      <c r="X311" s="3">
        <f>$Y$2*$B311^$Y$3*$Q311^$Y$4*($Y$5*$M311^$Y$6+$Y$7)</f>
        <v>0.22002592178355931</v>
      </c>
      <c r="Y311" s="3">
        <f t="shared" si="14"/>
        <v>1.222366232130885</v>
      </c>
      <c r="AA311" s="3"/>
      <c r="AB311" s="3"/>
    </row>
    <row r="312" spans="1:28" x14ac:dyDescent="0.3">
      <c r="B312" s="4">
        <v>22.2</v>
      </c>
      <c r="C312" s="5">
        <v>2</v>
      </c>
      <c r="D312" s="4">
        <v>63.6</v>
      </c>
      <c r="E312" s="3">
        <v>2.8336917902498859</v>
      </c>
      <c r="F312" s="4">
        <v>38</v>
      </c>
      <c r="G312" s="4">
        <v>49.1</v>
      </c>
      <c r="H312" s="1">
        <v>152.4</v>
      </c>
      <c r="I312" s="4">
        <v>381</v>
      </c>
      <c r="J312" s="5">
        <v>774</v>
      </c>
      <c r="K312" s="3">
        <v>24399.24</v>
      </c>
      <c r="L312" s="5">
        <v>118.80489327201617</v>
      </c>
      <c r="M312" s="8">
        <v>3.1722299547035072E-2</v>
      </c>
      <c r="N312" s="3">
        <v>58.755900000000011</v>
      </c>
      <c r="O312" s="5">
        <v>210.83691767682996</v>
      </c>
      <c r="P312" s="3">
        <v>0.22</v>
      </c>
      <c r="Q312" s="12">
        <f t="shared" si="12"/>
        <v>1.0541845883841497E-3</v>
      </c>
      <c r="U312" s="3">
        <f>$V$2*($V$3*$F312+$V$4*$B312^$V$5*$M312^$V$6)*$Q312^$V$7</f>
        <v>0.25339757386242484</v>
      </c>
      <c r="V312" s="3">
        <f t="shared" si="13"/>
        <v>1.1518071539201129</v>
      </c>
      <c r="X312" s="3">
        <f>$Y$2*$B312^$Y$3*$Q312^$Y$4*($Y$5*$M312^$Y$6+$Y$7)</f>
        <v>0.25247953546867058</v>
      </c>
      <c r="Y312" s="3">
        <f t="shared" si="14"/>
        <v>1.1476342521303209</v>
      </c>
      <c r="AA312" s="3"/>
      <c r="AB312" s="3"/>
    </row>
    <row r="313" spans="1:28" x14ac:dyDescent="0.3">
      <c r="B313" s="4">
        <v>22.2</v>
      </c>
      <c r="C313" s="5">
        <v>2</v>
      </c>
      <c r="D313" s="4">
        <v>63.6</v>
      </c>
      <c r="E313" s="3">
        <v>2.8336917902498859</v>
      </c>
      <c r="F313" s="4">
        <v>38</v>
      </c>
      <c r="G313" s="4">
        <v>49.1</v>
      </c>
      <c r="H313" s="1">
        <v>152.4</v>
      </c>
      <c r="I313" s="4">
        <v>381</v>
      </c>
      <c r="J313" s="5">
        <v>774</v>
      </c>
      <c r="K313" s="3">
        <v>24399.24</v>
      </c>
      <c r="L313" s="5">
        <v>118.80489327201617</v>
      </c>
      <c r="M313" s="8">
        <v>3.1722299547035072E-2</v>
      </c>
      <c r="N313" s="3">
        <v>66.199000000000012</v>
      </c>
      <c r="O313" s="5">
        <v>230.58159218797238</v>
      </c>
      <c r="P313" s="3">
        <v>0.25</v>
      </c>
      <c r="Q313" s="12">
        <f t="shared" si="12"/>
        <v>1.1529079609398619E-3</v>
      </c>
      <c r="U313" s="3">
        <f>$V$2*($V$3*$F313+$V$4*$B313^$V$5*$M313^$V$6)*$Q313^$V$7</f>
        <v>0.26778741514447396</v>
      </c>
      <c r="V313" s="3">
        <f t="shared" si="13"/>
        <v>1.0711496605778958</v>
      </c>
      <c r="X313" s="3">
        <f>$Y$2*$B313^$Y$3*$Q313^$Y$4*($Y$5*$M313^$Y$6+$Y$7)</f>
        <v>0.26708011277900351</v>
      </c>
      <c r="Y313" s="3">
        <f t="shared" si="14"/>
        <v>1.068320451116014</v>
      </c>
      <c r="AA313" s="3"/>
      <c r="AB313" s="3"/>
    </row>
    <row r="314" spans="1:28" x14ac:dyDescent="0.3">
      <c r="A314" s="1" t="s">
        <v>77</v>
      </c>
      <c r="B314" s="4">
        <v>22.2</v>
      </c>
      <c r="C314" s="5">
        <v>2</v>
      </c>
      <c r="D314" s="4">
        <v>63.6</v>
      </c>
      <c r="E314" s="3">
        <v>2.7563734268389184</v>
      </c>
      <c r="F314" s="4">
        <v>38</v>
      </c>
      <c r="G314" s="4">
        <v>49.1</v>
      </c>
      <c r="H314" s="1">
        <v>152.4</v>
      </c>
      <c r="I314" s="4">
        <v>381</v>
      </c>
      <c r="J314" s="5">
        <v>774</v>
      </c>
      <c r="K314" s="3">
        <v>24399.24</v>
      </c>
      <c r="L314" s="5">
        <v>119.44859227094086</v>
      </c>
      <c r="M314" s="8">
        <v>3.1722299547035072E-2</v>
      </c>
      <c r="N314" s="3">
        <v>43.938299999999998</v>
      </c>
      <c r="O314" s="5">
        <v>132.24376663863131</v>
      </c>
      <c r="P314" s="3">
        <v>0.2</v>
      </c>
      <c r="Q314" s="12">
        <f t="shared" si="12"/>
        <v>6.612188331931566E-4</v>
      </c>
      <c r="U314" s="3">
        <f>$V$2*($V$3*$F314+$V$4*$B314^$V$5*$M314^$V$6)*$Q314^$V$7</f>
        <v>0.1900272437171901</v>
      </c>
      <c r="V314" s="3">
        <f t="shared" si="13"/>
        <v>0.95013621858595043</v>
      </c>
      <c r="X314" s="3">
        <f>$Y$2*$B314^$Y$3*$Q314^$Y$4*($Y$5*$M314^$Y$6+$Y$7)</f>
        <v>0.18836981584859519</v>
      </c>
      <c r="Y314" s="3">
        <f t="shared" si="14"/>
        <v>0.9418490792429759</v>
      </c>
      <c r="AA314" s="3"/>
      <c r="AB314" s="3"/>
    </row>
    <row r="315" spans="1:28" x14ac:dyDescent="0.3">
      <c r="B315" s="4">
        <v>22.2</v>
      </c>
      <c r="C315" s="5">
        <v>2</v>
      </c>
      <c r="D315" s="4">
        <v>63.6</v>
      </c>
      <c r="E315" s="3">
        <v>2.7563734268389184</v>
      </c>
      <c r="F315" s="4">
        <v>38</v>
      </c>
      <c r="G315" s="4">
        <v>49.1</v>
      </c>
      <c r="H315" s="1">
        <v>152.4</v>
      </c>
      <c r="I315" s="4">
        <v>381</v>
      </c>
      <c r="J315" s="5">
        <v>774</v>
      </c>
      <c r="K315" s="3">
        <v>24399.24</v>
      </c>
      <c r="L315" s="5">
        <v>119.44859227094086</v>
      </c>
      <c r="M315" s="8">
        <v>3.1722299547035072E-2</v>
      </c>
      <c r="N315" s="3">
        <v>51.107000000000006</v>
      </c>
      <c r="O315" s="5">
        <v>170.96977634729512</v>
      </c>
      <c r="P315" s="3">
        <v>0.25</v>
      </c>
      <c r="Q315" s="12">
        <f t="shared" si="12"/>
        <v>8.5484888173647557E-4</v>
      </c>
      <c r="U315" s="3">
        <f>$V$2*($V$3*$F315+$V$4*$B315^$V$5*$M315^$V$6)*$Q315^$V$7</f>
        <v>0.22265815146183066</v>
      </c>
      <c r="V315" s="3">
        <f t="shared" si="13"/>
        <v>0.89063260584732262</v>
      </c>
      <c r="X315" s="3">
        <f>$Y$2*$B315^$Y$3*$Q315^$Y$4*($Y$5*$M315^$Y$6+$Y$7)</f>
        <v>0.22134057241300745</v>
      </c>
      <c r="Y315" s="3">
        <f t="shared" si="14"/>
        <v>0.88536228965202979</v>
      </c>
      <c r="AA315" s="3"/>
      <c r="AB315" s="3"/>
    </row>
    <row r="316" spans="1:28" x14ac:dyDescent="0.3">
      <c r="B316" s="4">
        <v>22.2</v>
      </c>
      <c r="C316" s="5">
        <v>2</v>
      </c>
      <c r="D316" s="4">
        <v>63.6</v>
      </c>
      <c r="E316" s="3">
        <v>2.7563734268389184</v>
      </c>
      <c r="F316" s="4">
        <v>38</v>
      </c>
      <c r="G316" s="4">
        <v>49.1</v>
      </c>
      <c r="H316" s="1">
        <v>152.4</v>
      </c>
      <c r="I316" s="4">
        <v>381</v>
      </c>
      <c r="J316" s="5">
        <v>774</v>
      </c>
      <c r="K316" s="3">
        <v>24399.24</v>
      </c>
      <c r="L316" s="5">
        <v>119.44859227094086</v>
      </c>
      <c r="M316" s="8">
        <v>3.1722299547035072E-2</v>
      </c>
      <c r="N316" s="3">
        <v>58.755900000000011</v>
      </c>
      <c r="O316" s="5">
        <v>212.289872830702</v>
      </c>
      <c r="P316" s="3">
        <v>0.3</v>
      </c>
      <c r="Q316" s="12">
        <f t="shared" si="12"/>
        <v>1.06144936415351E-3</v>
      </c>
      <c r="U316" s="3">
        <f>$V$2*($V$3*$F316+$V$4*$B316^$V$5*$M316^$V$6)*$Q316^$V$7</f>
        <v>0.25447359664776414</v>
      </c>
      <c r="V316" s="3">
        <f t="shared" si="13"/>
        <v>0.84824532215921389</v>
      </c>
      <c r="X316" s="3">
        <f>$Y$2*$B316^$Y$3*$Q316^$Y$4*($Y$5*$M316^$Y$6+$Y$7)</f>
        <v>0.25357081521174607</v>
      </c>
      <c r="Y316" s="3">
        <f t="shared" si="14"/>
        <v>0.84523605070582031</v>
      </c>
      <c r="AA316" s="3"/>
      <c r="AB316" s="3"/>
    </row>
    <row r="317" spans="1:28" x14ac:dyDescent="0.3">
      <c r="B317" s="4">
        <v>22.2</v>
      </c>
      <c r="C317" s="5">
        <v>2</v>
      </c>
      <c r="D317" s="4">
        <v>63.6</v>
      </c>
      <c r="E317" s="3">
        <v>2.7563734268389184</v>
      </c>
      <c r="F317" s="4">
        <v>38</v>
      </c>
      <c r="G317" s="4">
        <v>49.1</v>
      </c>
      <c r="H317" s="1">
        <v>152.4</v>
      </c>
      <c r="I317" s="4">
        <v>381</v>
      </c>
      <c r="J317" s="5">
        <v>774</v>
      </c>
      <c r="K317" s="3">
        <v>24399.24</v>
      </c>
      <c r="L317" s="5">
        <v>119.44859227094086</v>
      </c>
      <c r="M317" s="8">
        <v>3.1722299547035072E-2</v>
      </c>
      <c r="N317" s="3">
        <v>66.199000000000012</v>
      </c>
      <c r="O317" s="5">
        <v>231.71038661669741</v>
      </c>
      <c r="P317" s="3">
        <v>0.35</v>
      </c>
      <c r="Q317" s="12">
        <f t="shared" si="12"/>
        <v>1.1585519330834871E-3</v>
      </c>
      <c r="U317" s="3">
        <f>$V$2*($V$3*$F317+$V$4*$B317^$V$5*$M317^$V$6)*$Q317^$V$7</f>
        <v>0.26859550403695825</v>
      </c>
      <c r="V317" s="3">
        <f t="shared" si="13"/>
        <v>0.76741572581988082</v>
      </c>
      <c r="X317" s="3">
        <f>$Y$2*$B317^$Y$3*$Q317^$Y$4*($Y$5*$M317^$Y$6+$Y$7)</f>
        <v>0.26790045804342943</v>
      </c>
      <c r="Y317" s="3">
        <f t="shared" si="14"/>
        <v>0.76542988012408419</v>
      </c>
      <c r="AA317" s="3"/>
      <c r="AB317" s="3"/>
    </row>
    <row r="318" spans="1:28" x14ac:dyDescent="0.3">
      <c r="A318" s="1" t="s">
        <v>78</v>
      </c>
      <c r="B318" s="4">
        <v>28.7</v>
      </c>
      <c r="C318" s="5">
        <v>2</v>
      </c>
      <c r="D318" s="4">
        <v>50.6</v>
      </c>
      <c r="E318" s="3">
        <v>2.7748174021560659</v>
      </c>
      <c r="F318" s="4">
        <v>22.2</v>
      </c>
      <c r="G318" s="4">
        <v>36.6</v>
      </c>
      <c r="H318" s="1">
        <v>152.4</v>
      </c>
      <c r="I318" s="4">
        <v>381</v>
      </c>
      <c r="J318" s="5">
        <v>1290</v>
      </c>
      <c r="K318" s="3">
        <v>19522.439999999999</v>
      </c>
      <c r="L318" s="5">
        <v>148.01498573118474</v>
      </c>
      <c r="M318" s="8">
        <v>6.6077805848039489E-2</v>
      </c>
      <c r="N318" s="3">
        <v>89.111400000000017</v>
      </c>
      <c r="O318" s="5">
        <v>203.54339028531385</v>
      </c>
      <c r="P318" s="3">
        <v>0.17</v>
      </c>
      <c r="Q318" s="12">
        <f t="shared" si="12"/>
        <v>1.0177169514265691E-3</v>
      </c>
      <c r="U318" s="3">
        <f>$V$2*($V$3*$F318+$V$4*$B318^$V$5*$M318^$V$6)*$Q318^$V$7</f>
        <v>0.2171182249949809</v>
      </c>
      <c r="V318" s="3">
        <f t="shared" si="13"/>
        <v>1.2771660293822404</v>
      </c>
      <c r="X318" s="3">
        <f>$Y$2*$B318^$Y$3*$Q318^$Y$4*($Y$5*$M318^$Y$6+$Y$7)</f>
        <v>0.22657032392719423</v>
      </c>
      <c r="Y318" s="3">
        <f t="shared" si="14"/>
        <v>1.3327666113364365</v>
      </c>
      <c r="AA318" s="3"/>
      <c r="AB318" s="3"/>
    </row>
    <row r="319" spans="1:28" x14ac:dyDescent="0.3">
      <c r="B319" s="4">
        <v>28.7</v>
      </c>
      <c r="C319" s="5">
        <v>2</v>
      </c>
      <c r="D319" s="4">
        <v>50.6</v>
      </c>
      <c r="E319" s="3">
        <v>2.7748174021560659</v>
      </c>
      <c r="F319" s="4">
        <v>22.2</v>
      </c>
      <c r="G319" s="4">
        <v>36.6</v>
      </c>
      <c r="H319" s="1">
        <v>152.4</v>
      </c>
      <c r="I319" s="4">
        <v>381</v>
      </c>
      <c r="J319" s="5">
        <v>1290</v>
      </c>
      <c r="K319" s="3">
        <v>19522.439999999999</v>
      </c>
      <c r="L319" s="5">
        <v>148.01498573118474</v>
      </c>
      <c r="M319" s="8">
        <v>6.6077805848039489E-2</v>
      </c>
      <c r="N319" s="3">
        <v>104.61500000000001</v>
      </c>
      <c r="O319" s="5">
        <v>249.44312023789973</v>
      </c>
      <c r="P319" s="3">
        <v>0.2</v>
      </c>
      <c r="Q319" s="12">
        <f t="shared" si="12"/>
        <v>1.2472156011894987E-3</v>
      </c>
      <c r="U319" s="3">
        <f>$V$2*($V$3*$F319+$V$4*$B319^$V$5*$M319^$V$6)*$Q319^$V$7</f>
        <v>0.24614235000102788</v>
      </c>
      <c r="V319" s="3">
        <f t="shared" si="13"/>
        <v>1.2307117500051394</v>
      </c>
      <c r="X319" s="3">
        <f>$Y$2*$B319^$Y$3*$Q319^$Y$4*($Y$5*$M319^$Y$6+$Y$7)</f>
        <v>0.25743319582810581</v>
      </c>
      <c r="Y319" s="3">
        <f t="shared" si="14"/>
        <v>1.287165979140529</v>
      </c>
      <c r="AA319" s="3"/>
      <c r="AB319" s="3"/>
    </row>
    <row r="320" spans="1:28" x14ac:dyDescent="0.3">
      <c r="A320" s="1" t="s">
        <v>79</v>
      </c>
      <c r="B320" s="4">
        <v>28.7</v>
      </c>
      <c r="C320" s="5">
        <v>2</v>
      </c>
      <c r="D320" s="4">
        <v>50.6</v>
      </c>
      <c r="E320" s="3">
        <v>2.8017146470593879</v>
      </c>
      <c r="F320" s="4">
        <v>38.200000000000003</v>
      </c>
      <c r="G320" s="4">
        <v>52.5</v>
      </c>
      <c r="H320" s="1">
        <v>152.4</v>
      </c>
      <c r="I320" s="4">
        <v>381</v>
      </c>
      <c r="J320" s="5">
        <v>1290</v>
      </c>
      <c r="K320" s="3">
        <v>28003.5</v>
      </c>
      <c r="L320" s="5">
        <v>143.36625380284787</v>
      </c>
      <c r="M320" s="8">
        <v>4.6065670362633239E-2</v>
      </c>
      <c r="N320" s="3">
        <v>64.998500000000007</v>
      </c>
      <c r="O320" s="5">
        <v>131.97935186683122</v>
      </c>
      <c r="P320" s="3">
        <v>0.17</v>
      </c>
      <c r="Q320" s="12">
        <f t="shared" si="12"/>
        <v>6.5989675933415609E-4</v>
      </c>
      <c r="U320" s="3">
        <f>$V$2*($V$3*$F320+$V$4*$B320^$V$5*$M320^$V$6)*$Q320^$V$7</f>
        <v>0.19305334762171436</v>
      </c>
      <c r="V320" s="3">
        <f t="shared" si="13"/>
        <v>1.1356079271865549</v>
      </c>
      <c r="X320" s="3">
        <f>$Y$2*$B320^$Y$3*$Q320^$Y$4*($Y$5*$M320^$Y$6+$Y$7)</f>
        <v>0.19545209646914194</v>
      </c>
      <c r="Y320" s="3">
        <f t="shared" si="14"/>
        <v>1.1497182145243643</v>
      </c>
      <c r="AA320" s="3"/>
      <c r="AB320" s="3"/>
    </row>
    <row r="321" spans="1:28" x14ac:dyDescent="0.3">
      <c r="B321" s="4">
        <v>28.7</v>
      </c>
      <c r="C321" s="5">
        <v>2</v>
      </c>
      <c r="D321" s="4">
        <v>50.6</v>
      </c>
      <c r="E321" s="3">
        <v>2.8017146470593879</v>
      </c>
      <c r="F321" s="4">
        <v>38.200000000000003</v>
      </c>
      <c r="G321" s="4">
        <v>52.5</v>
      </c>
      <c r="H321" s="1">
        <v>152.4</v>
      </c>
      <c r="I321" s="4">
        <v>381</v>
      </c>
      <c r="J321" s="5">
        <v>1290</v>
      </c>
      <c r="K321" s="3">
        <v>28003.5</v>
      </c>
      <c r="L321" s="5">
        <v>143.36625380284787</v>
      </c>
      <c r="M321" s="8">
        <v>4.6065670362633239E-2</v>
      </c>
      <c r="N321" s="3">
        <v>77.037800000000004</v>
      </c>
      <c r="O321" s="5">
        <v>169.0135809192405</v>
      </c>
      <c r="P321" s="3">
        <v>0.2</v>
      </c>
      <c r="Q321" s="12">
        <f t="shared" si="12"/>
        <v>8.4506790459620243E-4</v>
      </c>
      <c r="U321" s="3">
        <f>$V$2*($V$3*$F321+$V$4*$B321^$V$5*$M321^$V$6)*$Q321^$V$7</f>
        <v>0.22488100293956265</v>
      </c>
      <c r="V321" s="3">
        <f t="shared" si="13"/>
        <v>1.1244050146978131</v>
      </c>
      <c r="X321" s="3">
        <f>$Y$2*$B321^$Y$3*$Q321^$Y$4*($Y$5*$M321^$Y$6+$Y$7)</f>
        <v>0.22829549287566955</v>
      </c>
      <c r="Y321" s="3">
        <f t="shared" si="14"/>
        <v>1.1414774643783476</v>
      </c>
      <c r="AA321" s="3"/>
      <c r="AB321" s="3"/>
    </row>
    <row r="322" spans="1:28" x14ac:dyDescent="0.3">
      <c r="B322" s="4">
        <v>28.7</v>
      </c>
      <c r="C322" s="5">
        <v>2</v>
      </c>
      <c r="D322" s="4">
        <v>50.6</v>
      </c>
      <c r="E322" s="3">
        <v>2.8017146470593879</v>
      </c>
      <c r="F322" s="4">
        <v>38.200000000000003</v>
      </c>
      <c r="G322" s="4">
        <v>52.5</v>
      </c>
      <c r="H322" s="1">
        <v>152.4</v>
      </c>
      <c r="I322" s="4">
        <v>381</v>
      </c>
      <c r="J322" s="5">
        <v>1290</v>
      </c>
      <c r="K322" s="3">
        <v>28003.5</v>
      </c>
      <c r="L322" s="5">
        <v>143.36625380284787</v>
      </c>
      <c r="M322" s="8">
        <v>4.6065670362633239E-2</v>
      </c>
      <c r="N322" s="3">
        <v>88.802700000000002</v>
      </c>
      <c r="O322" s="5">
        <v>206.91879624538313</v>
      </c>
      <c r="P322" s="3">
        <v>0.25</v>
      </c>
      <c r="Q322" s="12">
        <f t="shared" si="12"/>
        <v>1.0345939812269156E-3</v>
      </c>
      <c r="U322" s="3">
        <f>$V$2*($V$3*$F322+$V$4*$B322^$V$5*$M322^$V$6)*$Q322^$V$7</f>
        <v>0.25478491147138921</v>
      </c>
      <c r="V322" s="3">
        <f t="shared" si="13"/>
        <v>1.0191396458855568</v>
      </c>
      <c r="X322" s="3">
        <f>$Y$2*$B322^$Y$3*$Q322^$Y$4*($Y$5*$M322^$Y$6+$Y$7)</f>
        <v>0.25922980608051321</v>
      </c>
      <c r="Y322" s="3">
        <f t="shared" si="14"/>
        <v>1.0369192243220529</v>
      </c>
      <c r="AA322" s="3"/>
      <c r="AB322" s="3"/>
    </row>
    <row r="323" spans="1:28" x14ac:dyDescent="0.3">
      <c r="B323" s="4">
        <v>28.7</v>
      </c>
      <c r="C323" s="5">
        <v>2</v>
      </c>
      <c r="D323" s="4">
        <v>50.6</v>
      </c>
      <c r="E323" s="3">
        <v>2.8017146470593879</v>
      </c>
      <c r="F323" s="4">
        <v>38.200000000000003</v>
      </c>
      <c r="G323" s="4">
        <v>52.5</v>
      </c>
      <c r="H323" s="1">
        <v>152.4</v>
      </c>
      <c r="I323" s="4">
        <v>381</v>
      </c>
      <c r="J323" s="5">
        <v>1290</v>
      </c>
      <c r="K323" s="3">
        <v>28003.5</v>
      </c>
      <c r="L323" s="5">
        <v>143.36625380284787</v>
      </c>
      <c r="M323" s="8">
        <v>4.6065670362633239E-2</v>
      </c>
      <c r="N323" s="3">
        <v>104.61500000000001</v>
      </c>
      <c r="O323" s="5">
        <v>242.5828953857702</v>
      </c>
      <c r="P323" s="3">
        <v>0.28999999999999998</v>
      </c>
      <c r="Q323" s="12">
        <f t="shared" si="12"/>
        <v>1.2129144769288511E-3</v>
      </c>
      <c r="U323" s="3">
        <f>$V$2*($V$3*$F323+$V$4*$B323^$V$5*$M323^$V$6)*$Q323^$V$7</f>
        <v>0.28105018042681318</v>
      </c>
      <c r="V323" s="3">
        <f t="shared" si="13"/>
        <v>0.96913855319590758</v>
      </c>
      <c r="X323" s="3">
        <f>$Y$2*$B323^$Y$3*$Q323^$Y$4*($Y$5*$M323^$Y$6+$Y$7)</f>
        <v>0.28645391405098386</v>
      </c>
      <c r="Y323" s="3">
        <f t="shared" si="14"/>
        <v>0.98777211741718585</v>
      </c>
      <c r="AA323" s="3"/>
      <c r="AB323" s="3"/>
    </row>
    <row r="324" spans="1:28" x14ac:dyDescent="0.3">
      <c r="A324" s="1" t="s">
        <v>80</v>
      </c>
      <c r="B324" s="4">
        <v>28.7</v>
      </c>
      <c r="C324" s="5">
        <v>2</v>
      </c>
      <c r="D324" s="4">
        <v>50.6</v>
      </c>
      <c r="E324" s="3">
        <v>2.7153116457984496</v>
      </c>
      <c r="F324" s="4">
        <v>38.200000000000003</v>
      </c>
      <c r="G324" s="4">
        <v>52.5</v>
      </c>
      <c r="H324" s="1">
        <v>152.4</v>
      </c>
      <c r="I324" s="4">
        <v>381</v>
      </c>
      <c r="J324" s="5">
        <v>1290</v>
      </c>
      <c r="K324" s="3">
        <v>28003.5</v>
      </c>
      <c r="L324" s="5">
        <v>144.17675602863136</v>
      </c>
      <c r="M324" s="8">
        <v>4.6065670362633239E-2</v>
      </c>
      <c r="N324" s="3">
        <v>77.037800000000004</v>
      </c>
      <c r="O324" s="5">
        <v>170.44511898843021</v>
      </c>
      <c r="P324" s="3">
        <v>0.17</v>
      </c>
      <c r="Q324" s="12">
        <f t="shared" si="12"/>
        <v>8.5222559494215107E-4</v>
      </c>
      <c r="U324" s="3">
        <f>$V$2*($V$3*$F324+$V$4*$B324^$V$5*$M324^$V$6)*$Q324^$V$7</f>
        <v>0.22605432429933972</v>
      </c>
      <c r="V324" s="3">
        <f t="shared" si="13"/>
        <v>1.3297313194078806</v>
      </c>
      <c r="X324" s="3">
        <f>$Y$2*$B324^$Y$3*$Q324^$Y$4*($Y$5*$M324^$Y$6+$Y$7)</f>
        <v>0.22950792152072236</v>
      </c>
      <c r="Y324" s="3">
        <f t="shared" si="14"/>
        <v>1.3500465971807196</v>
      </c>
      <c r="AA324" s="3"/>
      <c r="AB324" s="3"/>
    </row>
    <row r="325" spans="1:28" x14ac:dyDescent="0.3">
      <c r="A325" s="1" t="s">
        <v>81</v>
      </c>
      <c r="B325" s="4">
        <v>28.7</v>
      </c>
      <c r="C325" s="5">
        <v>2</v>
      </c>
      <c r="D325" s="4">
        <v>50.6</v>
      </c>
      <c r="E325" s="3">
        <v>2.8017146470593879</v>
      </c>
      <c r="F325" s="4">
        <v>38.200000000000003</v>
      </c>
      <c r="G325" s="4">
        <v>52.5</v>
      </c>
      <c r="H325" s="1">
        <v>152.4</v>
      </c>
      <c r="I325" s="4">
        <v>381</v>
      </c>
      <c r="J325" s="5">
        <v>1290</v>
      </c>
      <c r="K325" s="3">
        <v>28003.5</v>
      </c>
      <c r="L325" s="5">
        <v>143.36625380284787</v>
      </c>
      <c r="M325" s="8">
        <v>4.6065670362633239E-2</v>
      </c>
      <c r="N325" s="3">
        <v>64.998500000000007</v>
      </c>
      <c r="O325" s="5">
        <v>131.97935186683122</v>
      </c>
      <c r="P325" s="3">
        <v>0.15</v>
      </c>
      <c r="Q325" s="12">
        <f t="shared" si="12"/>
        <v>6.5989675933415609E-4</v>
      </c>
      <c r="U325" s="3">
        <f>$V$2*($V$3*$F325+$V$4*$B325^$V$5*$M325^$V$6)*$Q325^$V$7</f>
        <v>0.19305334762171436</v>
      </c>
      <c r="V325" s="3">
        <f t="shared" si="13"/>
        <v>1.2870223174780957</v>
      </c>
      <c r="X325" s="3">
        <f>$Y$2*$B325^$Y$3*$Q325^$Y$4*($Y$5*$M325^$Y$6+$Y$7)</f>
        <v>0.19545209646914194</v>
      </c>
      <c r="Y325" s="3">
        <f t="shared" si="14"/>
        <v>1.3030139764609463</v>
      </c>
      <c r="AA325" s="3"/>
      <c r="AB325" s="3"/>
    </row>
    <row r="326" spans="1:28" x14ac:dyDescent="0.3">
      <c r="B326" s="4">
        <v>28.7</v>
      </c>
      <c r="C326" s="5">
        <v>2</v>
      </c>
      <c r="D326" s="4">
        <v>50.6</v>
      </c>
      <c r="E326" s="3">
        <v>2.8017146470593879</v>
      </c>
      <c r="F326" s="4">
        <v>38.200000000000003</v>
      </c>
      <c r="G326" s="4">
        <v>52.5</v>
      </c>
      <c r="H326" s="1">
        <v>152.4</v>
      </c>
      <c r="I326" s="4">
        <v>381</v>
      </c>
      <c r="J326" s="5">
        <v>1290</v>
      </c>
      <c r="K326" s="3">
        <v>28003.5</v>
      </c>
      <c r="L326" s="5">
        <v>143.36625380284787</v>
      </c>
      <c r="M326" s="8">
        <v>4.6065670362633239E-2</v>
      </c>
      <c r="N326" s="3">
        <v>77.037800000000004</v>
      </c>
      <c r="O326" s="5">
        <v>169.0135809192405</v>
      </c>
      <c r="P326" s="3">
        <v>0.16</v>
      </c>
      <c r="Q326" s="12">
        <f t="shared" si="12"/>
        <v>8.4506790459620243E-4</v>
      </c>
      <c r="U326" s="3">
        <f>$V$2*($V$3*$F326+$V$4*$B326^$V$5*$M326^$V$6)*$Q326^$V$7</f>
        <v>0.22488100293956265</v>
      </c>
      <c r="V326" s="3">
        <f t="shared" si="13"/>
        <v>1.4055062683722666</v>
      </c>
      <c r="X326" s="3">
        <f>$Y$2*$B326^$Y$3*$Q326^$Y$4*($Y$5*$M326^$Y$6+$Y$7)</f>
        <v>0.22829549287566955</v>
      </c>
      <c r="Y326" s="3">
        <f t="shared" si="14"/>
        <v>1.4268468304729347</v>
      </c>
      <c r="AA326" s="3"/>
      <c r="AB326" s="3"/>
    </row>
    <row r="327" spans="1:28" x14ac:dyDescent="0.3">
      <c r="B327" s="4">
        <v>28.7</v>
      </c>
      <c r="C327" s="5">
        <v>2</v>
      </c>
      <c r="D327" s="4">
        <v>50.6</v>
      </c>
      <c r="E327" s="3">
        <v>2.8017146470593879</v>
      </c>
      <c r="F327" s="4">
        <v>38.200000000000003</v>
      </c>
      <c r="G327" s="4">
        <v>52.5</v>
      </c>
      <c r="H327" s="1">
        <v>152.4</v>
      </c>
      <c r="I327" s="4">
        <v>381</v>
      </c>
      <c r="J327" s="5">
        <v>1290</v>
      </c>
      <c r="K327" s="3">
        <v>28003.5</v>
      </c>
      <c r="L327" s="5">
        <v>143.36625380284787</v>
      </c>
      <c r="M327" s="8">
        <v>4.6065670362633239E-2</v>
      </c>
      <c r="N327" s="3">
        <v>88.802700000000002</v>
      </c>
      <c r="O327" s="5">
        <v>206.91879624538313</v>
      </c>
      <c r="P327" s="3">
        <v>0.22</v>
      </c>
      <c r="Q327" s="12">
        <f t="shared" si="12"/>
        <v>1.0345939812269156E-3</v>
      </c>
      <c r="U327" s="3">
        <f>$V$2*($V$3*$F327+$V$4*$B327^$V$5*$M327^$V$6)*$Q327^$V$7</f>
        <v>0.25478491147138921</v>
      </c>
      <c r="V327" s="3">
        <f t="shared" si="13"/>
        <v>1.15811323396086</v>
      </c>
      <c r="X327" s="3">
        <f>$Y$2*$B327^$Y$3*$Q327^$Y$4*($Y$5*$M327^$Y$6+$Y$7)</f>
        <v>0.25922980608051321</v>
      </c>
      <c r="Y327" s="3">
        <f t="shared" si="14"/>
        <v>1.178317300365969</v>
      </c>
      <c r="AA327" s="3"/>
      <c r="AB327" s="3"/>
    </row>
    <row r="328" spans="1:28" x14ac:dyDescent="0.3">
      <c r="B328" s="4">
        <v>28.7</v>
      </c>
      <c r="C328" s="5">
        <v>2</v>
      </c>
      <c r="D328" s="4">
        <v>50.6</v>
      </c>
      <c r="E328" s="3">
        <v>2.8017146470593879</v>
      </c>
      <c r="F328" s="4">
        <v>38.200000000000003</v>
      </c>
      <c r="G328" s="4">
        <v>52.5</v>
      </c>
      <c r="H328" s="1">
        <v>152.4</v>
      </c>
      <c r="I328" s="4">
        <v>381</v>
      </c>
      <c r="J328" s="5">
        <v>1290</v>
      </c>
      <c r="K328" s="3">
        <v>28003.5</v>
      </c>
      <c r="L328" s="5">
        <v>143.36625380284787</v>
      </c>
      <c r="M328" s="8">
        <v>4.6065670362633239E-2</v>
      </c>
      <c r="N328" s="3">
        <v>104.61500000000001</v>
      </c>
      <c r="O328" s="5">
        <v>242.5828953857702</v>
      </c>
      <c r="P328" s="3">
        <v>0.26</v>
      </c>
      <c r="Q328" s="12">
        <f t="shared" si="12"/>
        <v>1.2129144769288511E-3</v>
      </c>
      <c r="U328" s="3">
        <f>$V$2*($V$3*$F328+$V$4*$B328^$V$5*$M328^$V$6)*$Q328^$V$7</f>
        <v>0.28105018042681318</v>
      </c>
      <c r="V328" s="3">
        <f t="shared" si="13"/>
        <v>1.0809622324108199</v>
      </c>
      <c r="X328" s="3">
        <f>$Y$2*$B328^$Y$3*$Q328^$Y$4*($Y$5*$M328^$Y$6+$Y$7)</f>
        <v>0.28645391405098386</v>
      </c>
      <c r="Y328" s="3">
        <f t="shared" si="14"/>
        <v>1.1017458232730148</v>
      </c>
      <c r="AA328" s="3"/>
      <c r="AB328" s="3"/>
    </row>
    <row r="329" spans="1:28" x14ac:dyDescent="0.3">
      <c r="A329" s="1" t="s">
        <v>82</v>
      </c>
      <c r="B329" s="4">
        <v>28.7</v>
      </c>
      <c r="C329" s="5">
        <v>2</v>
      </c>
      <c r="D329" s="4">
        <v>50.6</v>
      </c>
      <c r="E329" s="3">
        <v>2.524448068103379</v>
      </c>
      <c r="F329" s="4">
        <v>38.200000000000003</v>
      </c>
      <c r="G329" s="4">
        <v>52.5</v>
      </c>
      <c r="H329" s="1">
        <v>152.4</v>
      </c>
      <c r="I329" s="4">
        <v>381</v>
      </c>
      <c r="J329" s="5">
        <v>1290</v>
      </c>
      <c r="K329" s="3">
        <v>28003.5</v>
      </c>
      <c r="L329" s="5">
        <v>146.07134676739989</v>
      </c>
      <c r="M329" s="8">
        <v>4.6065670362633239E-2</v>
      </c>
      <c r="N329" s="3">
        <v>77.037800000000004</v>
      </c>
      <c r="O329" s="5">
        <v>173.64202143250185</v>
      </c>
      <c r="P329" s="3">
        <v>0.17</v>
      </c>
      <c r="Q329" s="12">
        <f t="shared" si="12"/>
        <v>8.6821010716250924E-4</v>
      </c>
      <c r="U329" s="3">
        <f>$V$2*($V$3*$F329+$V$4*$B329^$V$5*$M329^$V$6)*$Q329^$V$7</f>
        <v>0.22866103882900296</v>
      </c>
      <c r="V329" s="3">
        <f t="shared" si="13"/>
        <v>1.3450649342882526</v>
      </c>
      <c r="X329" s="3">
        <f>$Y$2*$B329^$Y$3*$Q329^$Y$4*($Y$5*$M329^$Y$6+$Y$7)</f>
        <v>0.23220191962044276</v>
      </c>
      <c r="Y329" s="3">
        <f t="shared" si="14"/>
        <v>1.3658936448261338</v>
      </c>
      <c r="AA329" s="3"/>
      <c r="AB329" s="3"/>
    </row>
    <row r="330" spans="1:28" x14ac:dyDescent="0.3">
      <c r="B330" s="4">
        <v>28.7</v>
      </c>
      <c r="C330" s="5">
        <v>2</v>
      </c>
      <c r="D330" s="4">
        <v>50.6</v>
      </c>
      <c r="E330" s="3">
        <v>2.524448068103379</v>
      </c>
      <c r="F330" s="4">
        <v>38.200000000000003</v>
      </c>
      <c r="G330" s="4">
        <v>52.5</v>
      </c>
      <c r="H330" s="1">
        <v>152.4</v>
      </c>
      <c r="I330" s="4">
        <v>381</v>
      </c>
      <c r="J330" s="5">
        <v>1290</v>
      </c>
      <c r="K330" s="3">
        <v>28003.5</v>
      </c>
      <c r="L330" s="5">
        <v>146.07134676739989</v>
      </c>
      <c r="M330" s="8">
        <v>4.6065670362633239E-2</v>
      </c>
      <c r="N330" s="3">
        <v>88.802700000000002</v>
      </c>
      <c r="O330" s="5">
        <v>211.19242524477934</v>
      </c>
      <c r="P330" s="3">
        <v>0.2</v>
      </c>
      <c r="Q330" s="12">
        <f t="shared" si="12"/>
        <v>1.0559621262238967E-3</v>
      </c>
      <c r="U330" s="3">
        <f>$V$2*($V$3*$F330+$V$4*$B330^$V$5*$M330^$V$6)*$Q330^$V$7</f>
        <v>0.25801899213368767</v>
      </c>
      <c r="V330" s="3">
        <f t="shared" si="13"/>
        <v>1.2900949606684382</v>
      </c>
      <c r="X330" s="3">
        <f>$Y$2*$B330^$Y$3*$Q330^$Y$4*($Y$5*$M330^$Y$6+$Y$7)</f>
        <v>0.26257934857408644</v>
      </c>
      <c r="Y330" s="3">
        <f t="shared" si="14"/>
        <v>1.3128967428704321</v>
      </c>
      <c r="AA330" s="3"/>
      <c r="AB330" s="3"/>
    </row>
    <row r="331" spans="1:28" x14ac:dyDescent="0.3">
      <c r="B331" s="4">
        <v>28.7</v>
      </c>
      <c r="C331" s="5">
        <v>2</v>
      </c>
      <c r="D331" s="4">
        <v>50.6</v>
      </c>
      <c r="E331" s="3">
        <v>2.524448068103379</v>
      </c>
      <c r="F331" s="4">
        <v>38.200000000000003</v>
      </c>
      <c r="G331" s="4">
        <v>52.5</v>
      </c>
      <c r="H331" s="1">
        <v>152.4</v>
      </c>
      <c r="I331" s="4">
        <v>381</v>
      </c>
      <c r="J331" s="5">
        <v>1290</v>
      </c>
      <c r="K331" s="3">
        <v>28003.5</v>
      </c>
      <c r="L331" s="5">
        <v>146.07134676739989</v>
      </c>
      <c r="M331" s="8">
        <v>4.6065670362633239E-2</v>
      </c>
      <c r="N331" s="3">
        <v>104.61500000000001</v>
      </c>
      <c r="O331" s="5">
        <v>245.49875842797996</v>
      </c>
      <c r="P331" s="3">
        <v>0.24</v>
      </c>
      <c r="Q331" s="12">
        <f t="shared" si="12"/>
        <v>1.2274937921398998E-3</v>
      </c>
      <c r="U331" s="3">
        <f>$V$2*($V$3*$F331+$V$4*$B331^$V$5*$M331^$V$6)*$Q331^$V$7</f>
        <v>0.28312978450853338</v>
      </c>
      <c r="V331" s="3">
        <f t="shared" si="13"/>
        <v>1.1797074354522223</v>
      </c>
      <c r="X331" s="3">
        <f>$Y$2*$B331^$Y$3*$Q331^$Y$4*($Y$5*$M331^$Y$6+$Y$7)</f>
        <v>0.28861143295046593</v>
      </c>
      <c r="Y331" s="3">
        <f t="shared" si="14"/>
        <v>1.2025476372936081</v>
      </c>
      <c r="AA331" s="3"/>
      <c r="AB331" s="3"/>
    </row>
    <row r="332" spans="1:28" x14ac:dyDescent="0.3">
      <c r="A332" s="1" t="s">
        <v>83</v>
      </c>
      <c r="B332" s="4">
        <v>32.299999999999997</v>
      </c>
      <c r="C332" s="5">
        <v>1</v>
      </c>
      <c r="D332" s="4">
        <v>60</v>
      </c>
      <c r="E332" s="3">
        <v>2.5382184533279259</v>
      </c>
      <c r="F332" s="4">
        <v>38.299999999999997</v>
      </c>
      <c r="G332" s="4">
        <v>54.4</v>
      </c>
      <c r="H332" s="1">
        <v>152.4</v>
      </c>
      <c r="I332" s="4">
        <v>381</v>
      </c>
      <c r="J332" s="5">
        <v>819</v>
      </c>
      <c r="K332" s="3">
        <v>29016.960000000003</v>
      </c>
      <c r="L332" s="5">
        <v>122.83883123921107</v>
      </c>
      <c r="M332" s="8">
        <v>2.8224872626215838E-2</v>
      </c>
      <c r="N332" s="3">
        <v>39.959500000000006</v>
      </c>
      <c r="O332" s="5">
        <v>106.35320377433131</v>
      </c>
      <c r="P332" s="3">
        <v>0.17</v>
      </c>
      <c r="Q332" s="12">
        <f t="shared" ref="Q332:Q351" si="15">O332/200000</f>
        <v>5.3176601887165655E-4</v>
      </c>
      <c r="U332" s="3">
        <f>$V$2*($V$3*$F332+$V$4*$B332^$V$5*$M332^$V$6)*$Q332^$V$7</f>
        <v>0.22450826719258282</v>
      </c>
      <c r="V332" s="3">
        <f t="shared" ref="V332:V351" si="16">U332/$P332</f>
        <v>1.3206368658387224</v>
      </c>
      <c r="X332" s="3">
        <f>$Y$2*$B332^$Y$3*$Q332^$Y$4*($Y$5*$M332^$Y$6+$Y$7)</f>
        <v>0.22397688140286581</v>
      </c>
      <c r="Y332" s="3">
        <f t="shared" ref="Y332:Y351" si="17">X332/$P332</f>
        <v>1.3175110670756811</v>
      </c>
      <c r="AA332" s="3"/>
      <c r="AB332" s="3"/>
    </row>
    <row r="333" spans="1:28" x14ac:dyDescent="0.3">
      <c r="B333" s="4">
        <v>32.299999999999997</v>
      </c>
      <c r="C333" s="5">
        <v>1</v>
      </c>
      <c r="D333" s="4">
        <v>60</v>
      </c>
      <c r="E333" s="3">
        <v>2.5382184533279259</v>
      </c>
      <c r="F333" s="4">
        <v>38.299999999999997</v>
      </c>
      <c r="G333" s="4">
        <v>54.4</v>
      </c>
      <c r="H333" s="1">
        <v>152.4</v>
      </c>
      <c r="I333" s="4">
        <v>381</v>
      </c>
      <c r="J333" s="5">
        <v>819</v>
      </c>
      <c r="K333" s="3">
        <v>29016.960000000003</v>
      </c>
      <c r="L333" s="5">
        <v>122.83883123921107</v>
      </c>
      <c r="M333" s="8">
        <v>2.8224872626215838E-2</v>
      </c>
      <c r="N333" s="3">
        <v>49.186200000000007</v>
      </c>
      <c r="O333" s="5">
        <v>150.36350238233345</v>
      </c>
      <c r="P333" s="3">
        <v>0.23</v>
      </c>
      <c r="Q333" s="12">
        <f t="shared" si="15"/>
        <v>7.5181751191166725E-4</v>
      </c>
      <c r="U333" s="3">
        <f>$V$2*($V$3*$F333+$V$4*$B333^$V$5*$M333^$V$6)*$Q333^$V$7</f>
        <v>0.27798676082605039</v>
      </c>
      <c r="V333" s="3">
        <f t="shared" si="16"/>
        <v>1.2086380905480452</v>
      </c>
      <c r="X333" s="3">
        <f>$Y$2*$B333^$Y$3*$Q333^$Y$4*($Y$5*$M333^$Y$6+$Y$7)</f>
        <v>0.27838721025305141</v>
      </c>
      <c r="Y333" s="3">
        <f t="shared" si="17"/>
        <v>1.2103791750132669</v>
      </c>
      <c r="AA333" s="3"/>
      <c r="AB333" s="3"/>
    </row>
    <row r="334" spans="1:28" x14ac:dyDescent="0.3">
      <c r="B334" s="4">
        <v>32.299999999999997</v>
      </c>
      <c r="C334" s="5">
        <v>1</v>
      </c>
      <c r="D334" s="4">
        <v>60</v>
      </c>
      <c r="E334" s="3">
        <v>2.5382184533279259</v>
      </c>
      <c r="F334" s="4">
        <v>38.299999999999997</v>
      </c>
      <c r="G334" s="4">
        <v>54.4</v>
      </c>
      <c r="H334" s="1">
        <v>152.4</v>
      </c>
      <c r="I334" s="4">
        <v>381</v>
      </c>
      <c r="J334" s="5">
        <v>819</v>
      </c>
      <c r="K334" s="3">
        <v>29016.960000000003</v>
      </c>
      <c r="L334" s="5">
        <v>122.83883123921107</v>
      </c>
      <c r="M334" s="8">
        <v>2.8224872626215838E-2</v>
      </c>
      <c r="N334" s="3">
        <v>57.349600000000002</v>
      </c>
      <c r="O334" s="5">
        <v>193.14712725532343</v>
      </c>
      <c r="P334" s="3">
        <v>0.27</v>
      </c>
      <c r="Q334" s="12">
        <f t="shared" si="15"/>
        <v>9.6573563627661712E-4</v>
      </c>
      <c r="U334" s="3">
        <f>$V$2*($V$3*$F334+$V$4*$B334^$V$5*$M334^$V$6)*$Q334^$V$7</f>
        <v>0.32442946024444574</v>
      </c>
      <c r="V334" s="3">
        <f t="shared" si="16"/>
        <v>1.2015905934979472</v>
      </c>
      <c r="X334" s="3">
        <f>$Y$2*$B334^$Y$3*$Q334^$Y$4*($Y$5*$M334^$Y$6+$Y$7)</f>
        <v>0.32579292880025729</v>
      </c>
      <c r="Y334" s="3">
        <f t="shared" si="17"/>
        <v>1.2066404770379899</v>
      </c>
      <c r="AA334" s="3"/>
      <c r="AB334" s="3"/>
    </row>
    <row r="335" spans="1:28" x14ac:dyDescent="0.3">
      <c r="B335" s="4">
        <v>32.299999999999997</v>
      </c>
      <c r="C335" s="5">
        <v>1</v>
      </c>
      <c r="D335" s="4">
        <v>60</v>
      </c>
      <c r="E335" s="3">
        <v>2.5382184533279259</v>
      </c>
      <c r="F335" s="4">
        <v>38.299999999999997</v>
      </c>
      <c r="G335" s="4">
        <v>54.4</v>
      </c>
      <c r="H335" s="1">
        <v>152.4</v>
      </c>
      <c r="I335" s="4">
        <v>381</v>
      </c>
      <c r="J335" s="5">
        <v>819</v>
      </c>
      <c r="K335" s="3">
        <v>29016.960000000003</v>
      </c>
      <c r="L335" s="5">
        <v>122.83883123921107</v>
      </c>
      <c r="M335" s="8">
        <v>2.8224872626215838E-2</v>
      </c>
      <c r="N335" s="3">
        <v>63.180599999999998</v>
      </c>
      <c r="O335" s="5">
        <v>223.70685930745918</v>
      </c>
      <c r="P335" s="3">
        <v>0.31</v>
      </c>
      <c r="Q335" s="12">
        <f t="shared" si="15"/>
        <v>1.1185342965372958E-3</v>
      </c>
      <c r="U335" s="3">
        <f>$V$2*($V$3*$F335+$V$4*$B335^$V$5*$M335^$V$6)*$Q335^$V$7</f>
        <v>0.35520523710631191</v>
      </c>
      <c r="V335" s="3">
        <f t="shared" si="16"/>
        <v>1.1458233455042319</v>
      </c>
      <c r="X335" s="3">
        <f>$Y$2*$B335^$Y$3*$Q335^$Y$4*($Y$5*$M335^$Y$6+$Y$7)</f>
        <v>0.35727483863757037</v>
      </c>
      <c r="Y335" s="3">
        <f t="shared" si="17"/>
        <v>1.1524994794760335</v>
      </c>
      <c r="AA335" s="3"/>
      <c r="AB335" s="3"/>
    </row>
    <row r="336" spans="1:28" x14ac:dyDescent="0.3">
      <c r="B336" s="4">
        <v>32.299999999999997</v>
      </c>
      <c r="C336" s="5">
        <v>1</v>
      </c>
      <c r="D336" s="4">
        <v>60</v>
      </c>
      <c r="E336" s="3">
        <v>2.5382184533279259</v>
      </c>
      <c r="F336" s="4">
        <v>38.299999999999997</v>
      </c>
      <c r="G336" s="4">
        <v>54.4</v>
      </c>
      <c r="H336" s="1">
        <v>152.4</v>
      </c>
      <c r="I336" s="4">
        <v>381</v>
      </c>
      <c r="J336" s="5">
        <v>819</v>
      </c>
      <c r="K336" s="3">
        <v>29016.960000000003</v>
      </c>
      <c r="L336" s="5">
        <v>122.83883123921107</v>
      </c>
      <c r="M336" s="8">
        <v>2.8224872626215838E-2</v>
      </c>
      <c r="N336" s="3">
        <v>67.125100000000003</v>
      </c>
      <c r="O336" s="5">
        <v>230.74497923928394</v>
      </c>
      <c r="P336" s="3">
        <v>0.35</v>
      </c>
      <c r="Q336" s="12">
        <f t="shared" si="15"/>
        <v>1.1537248961964197E-3</v>
      </c>
      <c r="U336" s="3">
        <f>$V$2*($V$3*$F336+$V$4*$B336^$V$5*$M336^$V$6)*$Q336^$V$7</f>
        <v>0.36205940742107401</v>
      </c>
      <c r="V336" s="3">
        <f t="shared" si="16"/>
        <v>1.0344554497744973</v>
      </c>
      <c r="X336" s="3">
        <f>$Y$2*$B336^$Y$3*$Q336^$Y$4*($Y$5*$M336^$Y$6+$Y$7)</f>
        <v>0.36429305369244713</v>
      </c>
      <c r="Y336" s="3">
        <f t="shared" si="17"/>
        <v>1.0408372962641348</v>
      </c>
      <c r="AA336" s="3"/>
      <c r="AB336" s="3"/>
    </row>
    <row r="337" spans="1:28" x14ac:dyDescent="0.3">
      <c r="A337" s="1" t="s">
        <v>84</v>
      </c>
      <c r="B337" s="4">
        <v>32.299999999999997</v>
      </c>
      <c r="C337" s="5">
        <v>1</v>
      </c>
      <c r="D337" s="4">
        <v>60</v>
      </c>
      <c r="E337" s="3">
        <v>2.8108695189494299</v>
      </c>
      <c r="F337" s="4">
        <v>38.299999999999997</v>
      </c>
      <c r="G337" s="4">
        <v>54.4</v>
      </c>
      <c r="H337" s="1">
        <v>152.4</v>
      </c>
      <c r="I337" s="4">
        <v>381</v>
      </c>
      <c r="J337" s="5">
        <v>819</v>
      </c>
      <c r="K337" s="3">
        <v>29016.960000000003</v>
      </c>
      <c r="L337" s="5">
        <v>120.44611657620311</v>
      </c>
      <c r="M337" s="8">
        <v>2.8224872626215838E-2</v>
      </c>
      <c r="N337" s="3">
        <v>39.959500000000006</v>
      </c>
      <c r="O337" s="5">
        <v>99.532458974281965</v>
      </c>
      <c r="P337" s="3">
        <v>0.19</v>
      </c>
      <c r="Q337" s="12">
        <f t="shared" si="15"/>
        <v>4.9766229487140979E-4</v>
      </c>
      <c r="U337" s="3">
        <f>$V$2*($V$3*$F337+$V$4*$B337^$V$5*$M337^$V$6)*$Q337^$V$7</f>
        <v>0.21551200752738864</v>
      </c>
      <c r="V337" s="3">
        <f t="shared" si="16"/>
        <v>1.1342737238283613</v>
      </c>
      <c r="X337" s="3">
        <f>$Y$2*$B337^$Y$3*$Q337^$Y$4*($Y$5*$M337^$Y$6+$Y$7)</f>
        <v>0.21484521402231496</v>
      </c>
      <c r="Y337" s="3">
        <f t="shared" si="17"/>
        <v>1.1307642843279735</v>
      </c>
      <c r="AA337" s="3"/>
      <c r="AB337" s="3"/>
    </row>
    <row r="338" spans="1:28" x14ac:dyDescent="0.3">
      <c r="B338" s="4">
        <v>32.299999999999997</v>
      </c>
      <c r="C338" s="5">
        <v>1</v>
      </c>
      <c r="D338" s="4">
        <v>60</v>
      </c>
      <c r="E338" s="3">
        <v>2.8108695189494299</v>
      </c>
      <c r="F338" s="4">
        <v>38.299999999999997</v>
      </c>
      <c r="G338" s="4">
        <v>54.4</v>
      </c>
      <c r="H338" s="1">
        <v>152.4</v>
      </c>
      <c r="I338" s="4">
        <v>381</v>
      </c>
      <c r="J338" s="5">
        <v>819</v>
      </c>
      <c r="K338" s="3">
        <v>29016.960000000003</v>
      </c>
      <c r="L338" s="5">
        <v>120.44611657620311</v>
      </c>
      <c r="M338" s="8">
        <v>2.8224872626215838E-2</v>
      </c>
      <c r="N338" s="3">
        <v>49.186200000000007</v>
      </c>
      <c r="O338" s="5">
        <v>143.73763283392213</v>
      </c>
      <c r="P338" s="3">
        <v>0.24</v>
      </c>
      <c r="Q338" s="12">
        <f t="shared" si="15"/>
        <v>7.1868816416961062E-4</v>
      </c>
      <c r="U338" s="3">
        <f>$V$2*($V$3*$F338+$V$4*$B338^$V$5*$M338^$V$6)*$Q338^$V$7</f>
        <v>0.27036360157205114</v>
      </c>
      <c r="V338" s="3">
        <f t="shared" si="16"/>
        <v>1.1265150065502132</v>
      </c>
      <c r="X338" s="3">
        <f>$Y$2*$B338^$Y$3*$Q338^$Y$4*($Y$5*$M338^$Y$6+$Y$7)</f>
        <v>0.27061888330094969</v>
      </c>
      <c r="Y338" s="3">
        <f t="shared" si="17"/>
        <v>1.1275786804206238</v>
      </c>
      <c r="AA338" s="3"/>
      <c r="AB338" s="3"/>
    </row>
    <row r="339" spans="1:28" x14ac:dyDescent="0.3">
      <c r="B339" s="4">
        <v>32.299999999999997</v>
      </c>
      <c r="C339" s="5">
        <v>1</v>
      </c>
      <c r="D339" s="4">
        <v>60</v>
      </c>
      <c r="E339" s="3">
        <v>2.8108695189494299</v>
      </c>
      <c r="F339" s="4">
        <v>38.299999999999997</v>
      </c>
      <c r="G339" s="4">
        <v>54.4</v>
      </c>
      <c r="H339" s="1">
        <v>152.4</v>
      </c>
      <c r="I339" s="4">
        <v>381</v>
      </c>
      <c r="J339" s="5">
        <v>819</v>
      </c>
      <c r="K339" s="3">
        <v>29016.960000000003</v>
      </c>
      <c r="L339" s="5">
        <v>120.44611657620311</v>
      </c>
      <c r="M339" s="8">
        <v>2.8224872626215838E-2</v>
      </c>
      <c r="N339" s="3">
        <v>57.349600000000002</v>
      </c>
      <c r="O339" s="5">
        <v>187.1767403380772</v>
      </c>
      <c r="P339" s="3">
        <v>0.28999999999999998</v>
      </c>
      <c r="Q339" s="12">
        <f t="shared" si="15"/>
        <v>9.3588370169038601E-4</v>
      </c>
      <c r="U339" s="3">
        <f>$V$2*($V$3*$F339+$V$4*$B339^$V$5*$M339^$V$6)*$Q339^$V$7</f>
        <v>0.31820473783644815</v>
      </c>
      <c r="V339" s="3">
        <f t="shared" si="16"/>
        <v>1.0972577166774076</v>
      </c>
      <c r="X339" s="3">
        <f>$Y$2*$B339^$Y$3*$Q339^$Y$4*($Y$5*$M339^$Y$6+$Y$7)</f>
        <v>0.31943169903147584</v>
      </c>
      <c r="Y339" s="3">
        <f t="shared" si="17"/>
        <v>1.1014886173499168</v>
      </c>
      <c r="AA339" s="3"/>
      <c r="AB339" s="3"/>
    </row>
    <row r="340" spans="1:28" x14ac:dyDescent="0.3">
      <c r="B340" s="4">
        <v>32.299999999999997</v>
      </c>
      <c r="C340" s="5">
        <v>1</v>
      </c>
      <c r="D340" s="4">
        <v>60</v>
      </c>
      <c r="E340" s="3">
        <v>2.8108695189494299</v>
      </c>
      <c r="F340" s="4">
        <v>38.299999999999997</v>
      </c>
      <c r="G340" s="4">
        <v>54.4</v>
      </c>
      <c r="H340" s="1">
        <v>152.4</v>
      </c>
      <c r="I340" s="4">
        <v>381</v>
      </c>
      <c r="J340" s="5">
        <v>819</v>
      </c>
      <c r="K340" s="3">
        <v>29016.960000000003</v>
      </c>
      <c r="L340" s="5">
        <v>120.44611657620311</v>
      </c>
      <c r="M340" s="8">
        <v>2.8224872626215838E-2</v>
      </c>
      <c r="N340" s="3">
        <v>63.180599999999998</v>
      </c>
      <c r="O340" s="5">
        <v>218.20467426961653</v>
      </c>
      <c r="P340" s="3">
        <v>0.36</v>
      </c>
      <c r="Q340" s="12">
        <f t="shared" si="15"/>
        <v>1.0910233713480827E-3</v>
      </c>
      <c r="U340" s="3">
        <f>$V$2*($V$3*$F340+$V$4*$B340^$V$5*$M340^$V$6)*$Q340^$V$7</f>
        <v>0.34978916315120867</v>
      </c>
      <c r="V340" s="3">
        <f t="shared" si="16"/>
        <v>0.97163656430891299</v>
      </c>
      <c r="X340" s="3">
        <f>$Y$2*$B340^$Y$3*$Q340^$Y$4*($Y$5*$M340^$Y$6+$Y$7)</f>
        <v>0.35173084393259668</v>
      </c>
      <c r="Y340" s="3">
        <f t="shared" si="17"/>
        <v>0.97703012203499084</v>
      </c>
      <c r="AA340" s="3"/>
      <c r="AB340" s="3"/>
    </row>
    <row r="341" spans="1:28" x14ac:dyDescent="0.3">
      <c r="B341" s="4">
        <v>32.299999999999997</v>
      </c>
      <c r="C341" s="5">
        <v>1</v>
      </c>
      <c r="D341" s="4">
        <v>60</v>
      </c>
      <c r="E341" s="3">
        <v>2.8108695189494299</v>
      </c>
      <c r="F341" s="4">
        <v>38.299999999999997</v>
      </c>
      <c r="G341" s="4">
        <v>54.4</v>
      </c>
      <c r="H341" s="1">
        <v>152.4</v>
      </c>
      <c r="I341" s="4">
        <v>381</v>
      </c>
      <c r="J341" s="5">
        <v>819</v>
      </c>
      <c r="K341" s="3">
        <v>29016.960000000003</v>
      </c>
      <c r="L341" s="5">
        <v>120.44611657620311</v>
      </c>
      <c r="M341" s="8">
        <v>2.8224872626215838E-2</v>
      </c>
      <c r="N341" s="3">
        <v>67.125100000000003</v>
      </c>
      <c r="O341" s="5">
        <v>226.30926898125563</v>
      </c>
      <c r="P341" s="3">
        <v>0.42</v>
      </c>
      <c r="Q341" s="12">
        <f t="shared" si="15"/>
        <v>1.1315463449062782E-3</v>
      </c>
      <c r="U341" s="3">
        <f>$V$2*($V$3*$F341+$V$4*$B341^$V$5*$M341^$V$6)*$Q341^$V$7</f>
        <v>0.35774912212001853</v>
      </c>
      <c r="V341" s="3">
        <f t="shared" si="16"/>
        <v>0.85178362409528219</v>
      </c>
      <c r="X341" s="3">
        <f>$Y$2*$B341^$Y$3*$Q341^$Y$4*($Y$5*$M341^$Y$6+$Y$7)</f>
        <v>0.35987932859887778</v>
      </c>
      <c r="Y341" s="3">
        <f t="shared" si="17"/>
        <v>0.85685554428304234</v>
      </c>
      <c r="AA341" s="3"/>
      <c r="AB341" s="3"/>
    </row>
    <row r="342" spans="1:28" x14ac:dyDescent="0.3">
      <c r="A342" s="1" t="s">
        <v>85</v>
      </c>
      <c r="B342" s="4">
        <v>28.7</v>
      </c>
      <c r="C342" s="5">
        <v>2</v>
      </c>
      <c r="D342" s="4">
        <v>50.6</v>
      </c>
      <c r="E342" s="3">
        <v>2.5765786179080412</v>
      </c>
      <c r="F342" s="4">
        <v>38</v>
      </c>
      <c r="G342" s="4">
        <v>52.3</v>
      </c>
      <c r="H342" s="1">
        <v>152.4</v>
      </c>
      <c r="I342" s="4">
        <v>584.20000000000005</v>
      </c>
      <c r="J342" s="5">
        <v>1290</v>
      </c>
      <c r="K342" s="3">
        <v>27896.82</v>
      </c>
      <c r="L342" s="5">
        <v>196.9266161393364</v>
      </c>
      <c r="M342" s="8">
        <v>4.6241829713924383E-2</v>
      </c>
      <c r="N342" s="3">
        <v>110.20799999999998</v>
      </c>
      <c r="O342" s="5">
        <v>139.22648337645958</v>
      </c>
      <c r="P342" s="3">
        <v>0.18</v>
      </c>
      <c r="Q342" s="12">
        <f t="shared" si="15"/>
        <v>6.9613241688229791E-4</v>
      </c>
      <c r="U342" s="3">
        <f>$V$2*($V$3*$F342+$V$4*$B342^$V$5*$M342^$V$6)*$Q342^$V$7</f>
        <v>0.19921098212130448</v>
      </c>
      <c r="V342" s="3">
        <f t="shared" si="16"/>
        <v>1.1067276784516915</v>
      </c>
      <c r="X342" s="3">
        <f>$Y$2*$B342^$Y$3*$Q342^$Y$4*($Y$5*$M342^$Y$6+$Y$7)</f>
        <v>0.20184572849216653</v>
      </c>
      <c r="Y342" s="3">
        <f t="shared" si="17"/>
        <v>1.1213651582898141</v>
      </c>
      <c r="AA342" s="3"/>
      <c r="AB342" s="3"/>
    </row>
    <row r="343" spans="1:28" x14ac:dyDescent="0.3">
      <c r="B343" s="4">
        <v>28.7</v>
      </c>
      <c r="C343" s="5">
        <v>2</v>
      </c>
      <c r="D343" s="4">
        <v>50.6</v>
      </c>
      <c r="E343" s="3">
        <v>2.5765786179080412</v>
      </c>
      <c r="F343" s="4">
        <v>38</v>
      </c>
      <c r="G343" s="4">
        <v>52.3</v>
      </c>
      <c r="H343" s="1">
        <v>152.4</v>
      </c>
      <c r="I343" s="4">
        <v>584.20000000000005</v>
      </c>
      <c r="J343" s="5">
        <v>1290</v>
      </c>
      <c r="K343" s="3">
        <v>27896.82</v>
      </c>
      <c r="L343" s="5">
        <v>196.9266161393364</v>
      </c>
      <c r="M343" s="8">
        <v>4.6241829713924383E-2</v>
      </c>
      <c r="N343" s="3">
        <v>132.25799999999998</v>
      </c>
      <c r="O343" s="5">
        <v>180.49731497919635</v>
      </c>
      <c r="P343" s="3">
        <v>0.22</v>
      </c>
      <c r="Q343" s="12">
        <f t="shared" si="15"/>
        <v>9.0248657489598171E-4</v>
      </c>
      <c r="U343" s="3">
        <f>$V$2*($V$3*$F343+$V$4*$B343^$V$5*$M343^$V$6)*$Q343^$V$7</f>
        <v>0.23381875461876914</v>
      </c>
      <c r="V343" s="3">
        <f t="shared" si="16"/>
        <v>1.0628125209944053</v>
      </c>
      <c r="X343" s="3">
        <f>$Y$2*$B343^$Y$3*$Q343^$Y$4*($Y$5*$M343^$Y$6+$Y$7)</f>
        <v>0.23758874716415998</v>
      </c>
      <c r="Y343" s="3">
        <f t="shared" si="17"/>
        <v>1.0799488507461816</v>
      </c>
      <c r="AA343" s="3"/>
      <c r="AB343" s="3"/>
    </row>
    <row r="344" spans="1:28" x14ac:dyDescent="0.3">
      <c r="B344" s="4">
        <v>28.7</v>
      </c>
      <c r="C344" s="5">
        <v>2</v>
      </c>
      <c r="D344" s="4">
        <v>50.6</v>
      </c>
      <c r="E344" s="3">
        <v>2.5765786179080412</v>
      </c>
      <c r="F344" s="4">
        <v>38</v>
      </c>
      <c r="G344" s="4">
        <v>52.3</v>
      </c>
      <c r="H344" s="1">
        <v>152.4</v>
      </c>
      <c r="I344" s="4">
        <v>584.20000000000005</v>
      </c>
      <c r="J344" s="5">
        <v>1290</v>
      </c>
      <c r="K344" s="3">
        <v>27896.82</v>
      </c>
      <c r="L344" s="5">
        <v>196.9266161393364</v>
      </c>
      <c r="M344" s="8">
        <v>4.6241829713924383E-2</v>
      </c>
      <c r="N344" s="3">
        <v>149.26799999999997</v>
      </c>
      <c r="O344" s="5">
        <v>213.14386705439034</v>
      </c>
      <c r="P344" s="3">
        <v>0.27</v>
      </c>
      <c r="Q344" s="12">
        <f t="shared" si="15"/>
        <v>1.0657193352719516E-3</v>
      </c>
      <c r="U344" s="3">
        <f>$V$2*($V$3*$F344+$V$4*$B344^$V$5*$M344^$V$6)*$Q344^$V$7</f>
        <v>0.25907650855099323</v>
      </c>
      <c r="V344" s="3">
        <f t="shared" si="16"/>
        <v>0.95954262426293779</v>
      </c>
      <c r="X344" s="3">
        <f>$Y$2*$B344^$Y$3*$Q344^$Y$4*($Y$5*$M344^$Y$6+$Y$7)</f>
        <v>0.26373561622262198</v>
      </c>
      <c r="Y344" s="3">
        <f t="shared" si="17"/>
        <v>0.97679857860230357</v>
      </c>
      <c r="AA344" s="3"/>
      <c r="AB344" s="3"/>
    </row>
    <row r="345" spans="1:28" x14ac:dyDescent="0.3">
      <c r="B345" s="4">
        <v>28.7</v>
      </c>
      <c r="C345" s="5">
        <v>2</v>
      </c>
      <c r="D345" s="4">
        <v>50.6</v>
      </c>
      <c r="E345" s="3">
        <v>2.5765786179080412</v>
      </c>
      <c r="F345" s="4">
        <v>38</v>
      </c>
      <c r="G345" s="4">
        <v>52.3</v>
      </c>
      <c r="H345" s="1">
        <v>152.4</v>
      </c>
      <c r="I345" s="4">
        <v>584.20000000000005</v>
      </c>
      <c r="J345" s="5">
        <v>1290</v>
      </c>
      <c r="K345" s="3">
        <v>27896.82</v>
      </c>
      <c r="L345" s="5">
        <v>196.9266161393364</v>
      </c>
      <c r="M345" s="8">
        <v>4.6241829713924383E-2</v>
      </c>
      <c r="N345" s="3">
        <v>168.88200000000001</v>
      </c>
      <c r="O345" s="5">
        <v>245.03832142351979</v>
      </c>
      <c r="P345" s="3">
        <v>0.32</v>
      </c>
      <c r="Q345" s="12">
        <f t="shared" si="15"/>
        <v>1.2251916071175989E-3</v>
      </c>
      <c r="U345" s="3">
        <f>$V$2*($V$3*$F345+$V$4*$B345^$V$5*$M345^$V$6)*$Q345^$V$7</f>
        <v>0.28235421561004737</v>
      </c>
      <c r="V345" s="3">
        <f t="shared" si="16"/>
        <v>0.88235692378139796</v>
      </c>
      <c r="X345" s="3">
        <f>$Y$2*$B345^$Y$3*$Q345^$Y$4*($Y$5*$M345^$Y$6+$Y$7)</f>
        <v>0.28787317422768488</v>
      </c>
      <c r="Y345" s="3">
        <f t="shared" si="17"/>
        <v>0.89960366946151527</v>
      </c>
      <c r="AA345" s="3"/>
      <c r="AB345" s="3"/>
    </row>
    <row r="346" spans="1:28" x14ac:dyDescent="0.3">
      <c r="A346" s="1" t="s">
        <v>86</v>
      </c>
      <c r="B346" s="4">
        <v>28.7</v>
      </c>
      <c r="C346" s="5">
        <v>2</v>
      </c>
      <c r="D346" s="4">
        <v>50.6</v>
      </c>
      <c r="E346" s="3">
        <v>2.5765786179080412</v>
      </c>
      <c r="F346" s="4">
        <v>38</v>
      </c>
      <c r="G346" s="4">
        <v>52.3</v>
      </c>
      <c r="H346" s="1">
        <v>152.4</v>
      </c>
      <c r="I346" s="4">
        <v>584.20000000000005</v>
      </c>
      <c r="J346" s="5">
        <v>1290</v>
      </c>
      <c r="K346" s="3">
        <v>27896.82</v>
      </c>
      <c r="L346" s="5">
        <v>196.9266161393364</v>
      </c>
      <c r="M346" s="8">
        <v>4.6241829713924383E-2</v>
      </c>
      <c r="N346" s="3">
        <v>132.25799999999998</v>
      </c>
      <c r="O346" s="5">
        <v>180.49731497919635</v>
      </c>
      <c r="P346" s="3">
        <v>0.16</v>
      </c>
      <c r="Q346" s="12">
        <f t="shared" si="15"/>
        <v>9.0248657489598171E-4</v>
      </c>
      <c r="U346" s="3">
        <f>$V$2*($V$3*$F346+$V$4*$B346^$V$5*$M346^$V$6)*$Q346^$V$7</f>
        <v>0.23381875461876914</v>
      </c>
      <c r="V346" s="3">
        <f t="shared" si="16"/>
        <v>1.461367216367307</v>
      </c>
      <c r="X346" s="3">
        <f>$Y$2*$B346^$Y$3*$Q346^$Y$4*($Y$5*$M346^$Y$6+$Y$7)</f>
        <v>0.23758874716415998</v>
      </c>
      <c r="Y346" s="3">
        <f t="shared" si="17"/>
        <v>1.4849296697759999</v>
      </c>
      <c r="AA346" s="3"/>
      <c r="AB346" s="3"/>
    </row>
    <row r="347" spans="1:28" x14ac:dyDescent="0.3">
      <c r="B347" s="4">
        <v>28.7</v>
      </c>
      <c r="C347" s="5">
        <v>2</v>
      </c>
      <c r="D347" s="4">
        <v>50.6</v>
      </c>
      <c r="E347" s="3">
        <v>2.5765786179080412</v>
      </c>
      <c r="F347" s="4">
        <v>38</v>
      </c>
      <c r="G347" s="4">
        <v>52.3</v>
      </c>
      <c r="H347" s="1">
        <v>152.4</v>
      </c>
      <c r="I347" s="4">
        <v>584.20000000000005</v>
      </c>
      <c r="J347" s="5">
        <v>1290</v>
      </c>
      <c r="K347" s="3">
        <v>27896.82</v>
      </c>
      <c r="L347" s="5">
        <v>196.9266161393364</v>
      </c>
      <c r="M347" s="8">
        <v>4.6241829713924383E-2</v>
      </c>
      <c r="N347" s="3">
        <v>149.26799999999997</v>
      </c>
      <c r="O347" s="5">
        <v>213.14386705439034</v>
      </c>
      <c r="P347" s="3">
        <v>0.19</v>
      </c>
      <c r="Q347" s="12">
        <f t="shared" si="15"/>
        <v>1.0657193352719516E-3</v>
      </c>
      <c r="U347" s="3">
        <f>$V$2*($V$3*$F347+$V$4*$B347^$V$5*$M347^$V$6)*$Q347^$V$7</f>
        <v>0.25907650855099323</v>
      </c>
      <c r="V347" s="3">
        <f t="shared" si="16"/>
        <v>1.363560571321017</v>
      </c>
      <c r="X347" s="3">
        <f>$Y$2*$B347^$Y$3*$Q347^$Y$4*($Y$5*$M347^$Y$6+$Y$7)</f>
        <v>0.26373561622262198</v>
      </c>
      <c r="Y347" s="3">
        <f t="shared" si="17"/>
        <v>1.3880821906453789</v>
      </c>
      <c r="AA347" s="3"/>
      <c r="AB347" s="3"/>
    </row>
    <row r="348" spans="1:28" x14ac:dyDescent="0.3">
      <c r="B348" s="4">
        <v>28.7</v>
      </c>
      <c r="C348" s="5">
        <v>2</v>
      </c>
      <c r="D348" s="4">
        <v>50.6</v>
      </c>
      <c r="E348" s="3">
        <v>2.5765786179080412</v>
      </c>
      <c r="F348" s="4">
        <v>38</v>
      </c>
      <c r="G348" s="4">
        <v>52.3</v>
      </c>
      <c r="H348" s="1">
        <v>152.4</v>
      </c>
      <c r="I348" s="4">
        <v>584.20000000000005</v>
      </c>
      <c r="J348" s="5">
        <v>1290</v>
      </c>
      <c r="K348" s="3">
        <v>27896.82</v>
      </c>
      <c r="L348" s="5">
        <v>196.9266161393364</v>
      </c>
      <c r="M348" s="8">
        <v>4.6241829713924383E-2</v>
      </c>
      <c r="N348" s="3">
        <v>168.88200000000001</v>
      </c>
      <c r="O348" s="5">
        <v>245.03832142351979</v>
      </c>
      <c r="P348" s="3">
        <v>0.22</v>
      </c>
      <c r="Q348" s="12">
        <f t="shared" si="15"/>
        <v>1.2251916071175989E-3</v>
      </c>
      <c r="U348" s="3">
        <f>$V$2*($V$3*$F348+$V$4*$B348^$V$5*$M348^$V$6)*$Q348^$V$7</f>
        <v>0.28235421561004737</v>
      </c>
      <c r="V348" s="3">
        <f t="shared" si="16"/>
        <v>1.2834282527729426</v>
      </c>
      <c r="X348" s="3">
        <f>$Y$2*$B348^$Y$3*$Q348^$Y$4*($Y$5*$M348^$Y$6+$Y$7)</f>
        <v>0.28787317422768488</v>
      </c>
      <c r="Y348" s="3">
        <f t="shared" si="17"/>
        <v>1.3085144283076586</v>
      </c>
      <c r="AA348" s="3"/>
      <c r="AB348" s="3"/>
    </row>
    <row r="349" spans="1:28" x14ac:dyDescent="0.3">
      <c r="A349" s="1" t="s">
        <v>87</v>
      </c>
      <c r="B349" s="4">
        <v>35.799999999999997</v>
      </c>
      <c r="C349" s="5">
        <v>2</v>
      </c>
      <c r="D349" s="4">
        <v>36.4</v>
      </c>
      <c r="E349" s="3">
        <v>2.5478355335404417</v>
      </c>
      <c r="F349" s="4">
        <v>38</v>
      </c>
      <c r="G349" s="4">
        <v>55.9</v>
      </c>
      <c r="H349" s="1">
        <v>152.4</v>
      </c>
      <c r="I349" s="4">
        <v>584.20000000000005</v>
      </c>
      <c r="J349" s="5">
        <v>2012</v>
      </c>
      <c r="K349" s="3">
        <v>29817.06</v>
      </c>
      <c r="L349" s="5">
        <v>231.96707915484524</v>
      </c>
      <c r="M349" s="8">
        <v>6.7478148415705638E-2</v>
      </c>
      <c r="N349" s="3">
        <v>167.03399999999999</v>
      </c>
      <c r="O349" s="5">
        <v>150.91882200011719</v>
      </c>
      <c r="P349" s="3">
        <v>0.17</v>
      </c>
      <c r="Q349" s="12">
        <f t="shared" si="15"/>
        <v>7.5459411000058593E-4</v>
      </c>
      <c r="U349" s="3">
        <f>$V$2*($V$3*$F349+$V$4*$B349^$V$5*$M349^$V$6)*$Q349^$V$7</f>
        <v>0.20748443007159079</v>
      </c>
      <c r="V349" s="3">
        <f t="shared" si="16"/>
        <v>1.2204966474799457</v>
      </c>
      <c r="X349" s="3">
        <f>$Y$2*$B349^$Y$3*$Q349^$Y$4*($Y$5*$M349^$Y$6+$Y$7)</f>
        <v>0.21774458411661751</v>
      </c>
      <c r="Y349" s="3">
        <f t="shared" si="17"/>
        <v>1.2808504948036323</v>
      </c>
      <c r="AA349" s="3"/>
      <c r="AB349" s="3"/>
    </row>
    <row r="350" spans="1:28" x14ac:dyDescent="0.3">
      <c r="A350" s="1" t="s">
        <v>88</v>
      </c>
      <c r="B350" s="4">
        <v>35.799999999999997</v>
      </c>
      <c r="C350" s="5">
        <v>2</v>
      </c>
      <c r="D350" s="4">
        <v>36.4</v>
      </c>
      <c r="E350" s="3">
        <v>2.7563734268389184</v>
      </c>
      <c r="F350" s="4">
        <v>38</v>
      </c>
      <c r="G350" s="4">
        <v>55.9</v>
      </c>
      <c r="H350" s="1">
        <v>152.4</v>
      </c>
      <c r="I350" s="4">
        <v>584.20000000000005</v>
      </c>
      <c r="J350" s="5">
        <v>2012</v>
      </c>
      <c r="K350" s="3">
        <v>29817.06</v>
      </c>
      <c r="L350" s="5">
        <v>228.69980068753716</v>
      </c>
      <c r="M350" s="8">
        <v>6.7478148415705638E-2</v>
      </c>
      <c r="N350" s="3">
        <v>130.78799999999998</v>
      </c>
      <c r="O350" s="5">
        <v>108.34917327528331</v>
      </c>
      <c r="P350" s="3">
        <v>0.19</v>
      </c>
      <c r="Q350" s="12">
        <f t="shared" si="15"/>
        <v>5.4174586637641652E-4</v>
      </c>
      <c r="U350" s="3">
        <f>$V$2*($V$3*$F350+$V$4*$B350^$V$5*$M350^$V$6)*$Q350^$V$7</f>
        <v>0.16911737409463368</v>
      </c>
      <c r="V350" s="3">
        <f t="shared" si="16"/>
        <v>0.89009144260333517</v>
      </c>
      <c r="X350" s="3">
        <f>$Y$2*$B350^$Y$3*$Q350^$Y$4*($Y$5*$M350^$Y$6+$Y$7)</f>
        <v>0.17683449251004232</v>
      </c>
      <c r="Y350" s="3">
        <f t="shared" si="17"/>
        <v>0.93070785531601219</v>
      </c>
      <c r="AA350" s="3"/>
      <c r="AB350" s="3"/>
    </row>
    <row r="351" spans="1:28" x14ac:dyDescent="0.3">
      <c r="B351" s="4">
        <v>35.799999999999997</v>
      </c>
      <c r="C351" s="5">
        <v>2</v>
      </c>
      <c r="D351" s="4">
        <v>36.4</v>
      </c>
      <c r="E351" s="3">
        <v>2.7563734268389184</v>
      </c>
      <c r="F351" s="4">
        <v>38</v>
      </c>
      <c r="G351" s="4">
        <v>55.9</v>
      </c>
      <c r="H351" s="1">
        <v>152.4</v>
      </c>
      <c r="I351" s="4">
        <v>584.20000000000005</v>
      </c>
      <c r="J351" s="5">
        <v>2012</v>
      </c>
      <c r="K351" s="3">
        <v>29817.06</v>
      </c>
      <c r="L351" s="5">
        <v>228.69980068753716</v>
      </c>
      <c r="M351" s="8">
        <v>6.7478148415705638E-2</v>
      </c>
      <c r="N351" s="3">
        <v>167.03399999999999</v>
      </c>
      <c r="O351" s="5">
        <v>148.199286582844</v>
      </c>
      <c r="P351" s="3">
        <v>0.25</v>
      </c>
      <c r="Q351" s="12">
        <f t="shared" si="15"/>
        <v>7.4099643291421994E-4</v>
      </c>
      <c r="U351" s="3">
        <f>$V$2*($V$3*$F351+$V$4*$B351^$V$5*$M351^$V$6)*$Q351^$V$7</f>
        <v>0.20516953870750204</v>
      </c>
      <c r="V351" s="3">
        <f t="shared" si="16"/>
        <v>0.82067815483000817</v>
      </c>
      <c r="X351" s="3">
        <f>$Y$2*$B351^$Y$3*$Q351^$Y$4*($Y$5*$M351^$Y$6+$Y$7)</f>
        <v>0.21527215647202266</v>
      </c>
      <c r="Y351" s="3">
        <f t="shared" si="17"/>
        <v>0.86108862588809065</v>
      </c>
      <c r="AA351" s="3"/>
      <c r="AB351" s="3"/>
    </row>
    <row r="352" spans="1:28" x14ac:dyDescent="0.3">
      <c r="X352" s="1"/>
      <c r="Y352" s="1"/>
      <c r="AA352" s="1"/>
      <c r="AB352" s="1"/>
    </row>
    <row r="353" spans="21:28" x14ac:dyDescent="0.3">
      <c r="U353" s="1" t="s">
        <v>142</v>
      </c>
      <c r="V353" s="3">
        <f>AVERAGE(V11:V351)</f>
        <v>1.0652409073097824</v>
      </c>
      <c r="X353" s="1" t="s">
        <v>142</v>
      </c>
      <c r="Y353" s="3">
        <f>AVERAGE(Y11:Y351)</f>
        <v>1.0675142233713273</v>
      </c>
      <c r="AA353" s="1"/>
      <c r="AB353" s="3"/>
    </row>
    <row r="354" spans="21:28" x14ac:dyDescent="0.3">
      <c r="U354" s="1" t="s">
        <v>143</v>
      </c>
      <c r="V354" s="3">
        <f>_xlfn.STDEV.S(V11:V351)</f>
        <v>0.31483715257810913</v>
      </c>
      <c r="X354" s="1" t="s">
        <v>143</v>
      </c>
      <c r="Y354" s="3">
        <f>_xlfn.STDEV.S(Y11:Y351)</f>
        <v>0.31565655250069669</v>
      </c>
      <c r="AA354" s="1"/>
      <c r="AB354" s="3"/>
    </row>
    <row r="355" spans="21:28" x14ac:dyDescent="0.3">
      <c r="U355" s="1" t="s">
        <v>134</v>
      </c>
      <c r="V355" s="7">
        <f>V354/V353</f>
        <v>0.2955548837992113</v>
      </c>
      <c r="X355" s="1" t="s">
        <v>134</v>
      </c>
      <c r="Y355" s="7">
        <f>Y354/Y353</f>
        <v>0.29569306486972941</v>
      </c>
      <c r="AA355" s="1"/>
      <c r="AB355" s="7"/>
    </row>
  </sheetData>
  <mergeCells count="1">
    <mergeCell ref="B9:O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57D3-1E35-4D72-A57E-7F3918940E89}">
  <dimension ref="A1:R343"/>
  <sheetViews>
    <sheetView tabSelected="1" topLeftCell="I1" zoomScale="120" zoomScaleNormal="120" workbookViewId="0">
      <selection activeCell="K7" sqref="K7"/>
    </sheetView>
  </sheetViews>
  <sheetFormatPr defaultRowHeight="14.4" x14ac:dyDescent="0.3"/>
  <cols>
    <col min="1" max="1" width="33.109375" bestFit="1" customWidth="1"/>
    <col min="2" max="2" width="24.77734375" style="1" bestFit="1" customWidth="1"/>
    <col min="3" max="3" width="29.6640625" style="1" bestFit="1" customWidth="1"/>
    <col min="4" max="4" width="29.33203125" style="4" bestFit="1" customWidth="1"/>
    <col min="5" max="5" width="36.77734375" style="3" bestFit="1" customWidth="1"/>
    <col min="6" max="6" width="16.44140625" style="1" bestFit="1" customWidth="1"/>
    <col min="7" max="7" width="44.5546875" style="1" bestFit="1" customWidth="1"/>
    <col min="8" max="8" width="20.44140625" style="1" bestFit="1" customWidth="1"/>
    <col min="9" max="9" width="19.77734375" style="1" bestFit="1" customWidth="1"/>
    <col min="10" max="10" width="29.77734375" style="1" bestFit="1" customWidth="1"/>
    <col min="11" max="11" width="31.21875" style="1" bestFit="1" customWidth="1"/>
    <col min="12" max="12" width="30.6640625" style="5" bestFit="1" customWidth="1"/>
    <col min="13" max="13" width="16.33203125" style="8" bestFit="1" customWidth="1"/>
    <col min="14" max="14" width="23.21875" style="8" bestFit="1" customWidth="1"/>
    <col min="15" max="15" width="22.6640625" style="5" bestFit="1" customWidth="1"/>
    <col min="16" max="16" width="9.6640625" style="3" bestFit="1" customWidth="1"/>
    <col min="18" max="18" width="48.21875" style="12" bestFit="1" customWidth="1"/>
  </cols>
  <sheetData>
    <row r="1" spans="1:18" x14ac:dyDescent="0.3">
      <c r="A1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3" t="s">
        <v>2</v>
      </c>
    </row>
    <row r="2" spans="1:18" ht="16.8" x14ac:dyDescent="0.3">
      <c r="B2" s="1" t="s">
        <v>96</v>
      </c>
      <c r="C2" s="1" t="s">
        <v>3</v>
      </c>
      <c r="D2" s="4" t="s">
        <v>4</v>
      </c>
      <c r="E2" s="3" t="s">
        <v>97</v>
      </c>
      <c r="F2" s="1" t="s">
        <v>98</v>
      </c>
      <c r="G2" s="1" t="s">
        <v>99</v>
      </c>
      <c r="H2" s="1" t="s">
        <v>152</v>
      </c>
      <c r="I2" s="9" t="s">
        <v>144</v>
      </c>
      <c r="J2" s="9" t="s">
        <v>145</v>
      </c>
      <c r="K2" s="9" t="s">
        <v>146</v>
      </c>
      <c r="L2" s="10" t="s">
        <v>147</v>
      </c>
      <c r="M2" s="8" t="s">
        <v>100</v>
      </c>
      <c r="N2" s="8" t="s">
        <v>154</v>
      </c>
      <c r="O2" s="5" t="s">
        <v>101</v>
      </c>
      <c r="P2" s="3" t="s">
        <v>102</v>
      </c>
      <c r="R2" s="13" t="s">
        <v>150</v>
      </c>
    </row>
    <row r="3" spans="1:18" x14ac:dyDescent="0.3">
      <c r="A3" t="s">
        <v>5</v>
      </c>
      <c r="B3" s="1">
        <v>20</v>
      </c>
      <c r="C3" s="1">
        <v>2</v>
      </c>
      <c r="D3" s="4">
        <v>126</v>
      </c>
      <c r="E3" s="3">
        <v>4.1203405239014401</v>
      </c>
      <c r="F3" s="1">
        <v>25</v>
      </c>
      <c r="G3" s="1">
        <v>39</v>
      </c>
      <c r="H3" s="1">
        <v>216</v>
      </c>
      <c r="I3" s="1">
        <v>201</v>
      </c>
      <c r="J3" s="1">
        <v>628</v>
      </c>
      <c r="K3" s="1">
        <v>29484</v>
      </c>
      <c r="L3" s="5">
        <v>57.361776585620262</v>
      </c>
      <c r="M3" s="8">
        <v>2.1299687966354633E-2</v>
      </c>
      <c r="N3" s="3">
        <v>20.8</v>
      </c>
      <c r="O3" s="5">
        <v>231.81100493873356</v>
      </c>
      <c r="P3" s="3">
        <v>0.16</v>
      </c>
      <c r="R3" s="12">
        <f>O3/200000</f>
        <v>1.1590550246936679E-3</v>
      </c>
    </row>
    <row r="4" spans="1:18" x14ac:dyDescent="0.3">
      <c r="B4" s="1">
        <v>20</v>
      </c>
      <c r="C4" s="1">
        <v>2</v>
      </c>
      <c r="D4" s="4">
        <v>126</v>
      </c>
      <c r="E4" s="3">
        <v>4.1203405239014401</v>
      </c>
      <c r="F4" s="1">
        <v>25</v>
      </c>
      <c r="G4" s="1">
        <v>39</v>
      </c>
      <c r="H4" s="1">
        <v>216</v>
      </c>
      <c r="I4" s="1">
        <v>201</v>
      </c>
      <c r="J4" s="1">
        <v>628</v>
      </c>
      <c r="K4" s="1">
        <v>29484</v>
      </c>
      <c r="L4" s="5">
        <v>57.361776585620262</v>
      </c>
      <c r="M4" s="8">
        <v>2.1299687966354633E-2</v>
      </c>
      <c r="N4" s="3">
        <v>27.3</v>
      </c>
      <c r="O4" s="5">
        <v>304.25194398208777</v>
      </c>
      <c r="P4" s="3">
        <v>0.23</v>
      </c>
      <c r="R4" s="12">
        <f t="shared" ref="R4:R67" si="0">O4/200000</f>
        <v>1.5212597199104388E-3</v>
      </c>
    </row>
    <row r="5" spans="1:18" x14ac:dyDescent="0.3">
      <c r="B5" s="1">
        <v>20</v>
      </c>
      <c r="C5" s="1">
        <v>2</v>
      </c>
      <c r="D5" s="4">
        <v>126</v>
      </c>
      <c r="E5" s="3">
        <v>4.1203405239014401</v>
      </c>
      <c r="F5" s="1">
        <v>25</v>
      </c>
      <c r="G5" s="1">
        <v>39</v>
      </c>
      <c r="H5" s="1">
        <v>216</v>
      </c>
      <c r="I5" s="1">
        <v>201</v>
      </c>
      <c r="J5" s="1">
        <v>628</v>
      </c>
      <c r="K5" s="1">
        <v>29484</v>
      </c>
      <c r="L5" s="5">
        <v>57.361776585620262</v>
      </c>
      <c r="M5" s="8">
        <v>2.1299687966354633E-2</v>
      </c>
      <c r="N5" s="3">
        <v>28.2</v>
      </c>
      <c r="O5" s="5">
        <v>314.28222784962912</v>
      </c>
      <c r="P5" s="3">
        <v>0.24</v>
      </c>
      <c r="R5" s="12">
        <f t="shared" si="0"/>
        <v>1.5714111392481456E-3</v>
      </c>
    </row>
    <row r="6" spans="1:18" x14ac:dyDescent="0.3">
      <c r="B6" s="1">
        <v>20</v>
      </c>
      <c r="C6" s="1">
        <v>2</v>
      </c>
      <c r="D6" s="4">
        <v>126</v>
      </c>
      <c r="E6" s="3">
        <v>4.1203405239014401</v>
      </c>
      <c r="F6" s="1">
        <v>25</v>
      </c>
      <c r="G6" s="1">
        <v>39</v>
      </c>
      <c r="H6" s="1">
        <v>216</v>
      </c>
      <c r="I6" s="1">
        <v>201</v>
      </c>
      <c r="J6" s="1">
        <v>628</v>
      </c>
      <c r="K6" s="1">
        <v>29484</v>
      </c>
      <c r="L6" s="5">
        <v>57.361776585620262</v>
      </c>
      <c r="M6" s="8">
        <v>2.1299687966354633E-2</v>
      </c>
      <c r="N6" s="3">
        <v>32.6</v>
      </c>
      <c r="O6" s="5">
        <v>363.31917120205361</v>
      </c>
      <c r="P6" s="3">
        <v>0.27</v>
      </c>
      <c r="R6" s="12">
        <f t="shared" si="0"/>
        <v>1.8165958560102682E-3</v>
      </c>
    </row>
    <row r="7" spans="1:18" x14ac:dyDescent="0.3">
      <c r="B7" s="1">
        <v>20</v>
      </c>
      <c r="C7" s="1">
        <v>2</v>
      </c>
      <c r="D7" s="4">
        <v>126</v>
      </c>
      <c r="E7" s="3">
        <v>4.1203405239014401</v>
      </c>
      <c r="F7" s="1">
        <v>25</v>
      </c>
      <c r="G7" s="1">
        <v>39</v>
      </c>
      <c r="H7" s="1">
        <v>216</v>
      </c>
      <c r="I7" s="1">
        <v>201</v>
      </c>
      <c r="J7" s="1">
        <v>628</v>
      </c>
      <c r="K7" s="1">
        <v>29484</v>
      </c>
      <c r="L7" s="5">
        <v>57.361776585620262</v>
      </c>
      <c r="M7" s="8">
        <v>2.1299687966354633E-2</v>
      </c>
      <c r="N7" s="3">
        <v>41.2</v>
      </c>
      <c r="O7" s="5">
        <v>459.16410593633765</v>
      </c>
      <c r="P7" s="3">
        <v>0.35</v>
      </c>
      <c r="R7" s="12">
        <f t="shared" si="0"/>
        <v>2.2958205296816883E-3</v>
      </c>
    </row>
    <row r="8" spans="1:18" x14ac:dyDescent="0.3">
      <c r="B8" s="1">
        <v>20</v>
      </c>
      <c r="C8" s="1">
        <v>2</v>
      </c>
      <c r="D8" s="4">
        <v>126</v>
      </c>
      <c r="E8" s="3">
        <v>4.1203405239014401</v>
      </c>
      <c r="F8" s="1">
        <v>25</v>
      </c>
      <c r="G8" s="1">
        <v>39</v>
      </c>
      <c r="H8" s="1">
        <v>216</v>
      </c>
      <c r="I8" s="1">
        <v>201</v>
      </c>
      <c r="J8" s="1">
        <v>628</v>
      </c>
      <c r="K8" s="1">
        <v>29484</v>
      </c>
      <c r="L8" s="5">
        <v>57.361776585620262</v>
      </c>
      <c r="M8" s="8">
        <v>2.1299687966354633E-2</v>
      </c>
      <c r="N8" s="3">
        <v>44.9</v>
      </c>
      <c r="O8" s="5">
        <v>500</v>
      </c>
      <c r="P8" s="3">
        <v>0.4</v>
      </c>
      <c r="R8" s="12">
        <f t="shared" si="0"/>
        <v>2.5000000000000001E-3</v>
      </c>
    </row>
    <row r="9" spans="1:18" x14ac:dyDescent="0.3">
      <c r="A9" t="s">
        <v>6</v>
      </c>
      <c r="B9" s="1">
        <v>10</v>
      </c>
      <c r="C9" s="1">
        <v>8</v>
      </c>
      <c r="D9" s="4">
        <v>87.7</v>
      </c>
      <c r="E9" s="3">
        <v>4.1311267633290143</v>
      </c>
      <c r="F9" s="1">
        <v>25</v>
      </c>
      <c r="G9" s="1">
        <v>53</v>
      </c>
      <c r="H9" s="1">
        <v>308</v>
      </c>
      <c r="I9" s="1">
        <v>604</v>
      </c>
      <c r="J9" s="1">
        <v>628</v>
      </c>
      <c r="K9" s="1">
        <v>43428</v>
      </c>
      <c r="L9" s="5">
        <v>99.696400381800601</v>
      </c>
      <c r="M9" s="8">
        <v>1.4460716588376162E-2</v>
      </c>
      <c r="N9" s="3">
        <v>105</v>
      </c>
      <c r="O9" s="5">
        <v>322.91971563781163</v>
      </c>
      <c r="P9" s="3">
        <v>0.16</v>
      </c>
      <c r="R9" s="12">
        <f t="shared" si="0"/>
        <v>1.6145985781890581E-3</v>
      </c>
    </row>
    <row r="10" spans="1:18" x14ac:dyDescent="0.3">
      <c r="B10" s="1">
        <v>10</v>
      </c>
      <c r="C10" s="1">
        <v>8</v>
      </c>
      <c r="D10" s="4">
        <v>87.7</v>
      </c>
      <c r="E10" s="3">
        <v>4.1311267633290143</v>
      </c>
      <c r="F10" s="1">
        <v>25</v>
      </c>
      <c r="G10" s="1">
        <v>53</v>
      </c>
      <c r="H10" s="1">
        <v>308</v>
      </c>
      <c r="I10" s="1">
        <v>604</v>
      </c>
      <c r="J10" s="1">
        <v>628</v>
      </c>
      <c r="K10" s="1">
        <v>43428</v>
      </c>
      <c r="L10" s="5">
        <v>99.696400381800601</v>
      </c>
      <c r="M10" s="8">
        <v>1.4460716588376162E-2</v>
      </c>
      <c r="N10" s="3">
        <v>119.6</v>
      </c>
      <c r="O10" s="5">
        <v>367.82093324078352</v>
      </c>
      <c r="P10" s="3">
        <v>0.18</v>
      </c>
      <c r="R10" s="12">
        <f t="shared" si="0"/>
        <v>1.8391046662039176E-3</v>
      </c>
    </row>
    <row r="11" spans="1:18" x14ac:dyDescent="0.3">
      <c r="B11" s="1">
        <v>10</v>
      </c>
      <c r="C11" s="1">
        <v>8</v>
      </c>
      <c r="D11" s="4">
        <v>87.7</v>
      </c>
      <c r="E11" s="3">
        <v>4.1311267633290143</v>
      </c>
      <c r="F11" s="1">
        <v>25</v>
      </c>
      <c r="G11" s="1">
        <v>53</v>
      </c>
      <c r="H11" s="1">
        <v>308</v>
      </c>
      <c r="I11" s="1">
        <v>604</v>
      </c>
      <c r="J11" s="1">
        <v>628</v>
      </c>
      <c r="K11" s="1">
        <v>43428</v>
      </c>
      <c r="L11" s="5">
        <v>99.696400381800601</v>
      </c>
      <c r="M11" s="8">
        <v>1.4460716588376162E-2</v>
      </c>
      <c r="N11" s="3">
        <v>174.3</v>
      </c>
      <c r="O11" s="5">
        <v>500</v>
      </c>
      <c r="P11" s="3">
        <v>0.26</v>
      </c>
      <c r="R11" s="12">
        <f t="shared" si="0"/>
        <v>2.5000000000000001E-3</v>
      </c>
    </row>
    <row r="12" spans="1:18" x14ac:dyDescent="0.3">
      <c r="A12" t="s">
        <v>7</v>
      </c>
      <c r="B12" s="1">
        <v>10</v>
      </c>
      <c r="C12" s="1">
        <v>4</v>
      </c>
      <c r="D12" s="4">
        <v>32.466666666666669</v>
      </c>
      <c r="E12" s="3">
        <v>3.262</v>
      </c>
      <c r="F12" s="1">
        <v>25</v>
      </c>
      <c r="G12" s="1">
        <v>36</v>
      </c>
      <c r="H12" s="1">
        <v>200</v>
      </c>
      <c r="I12" s="1">
        <v>600</v>
      </c>
      <c r="J12" s="1">
        <v>314</v>
      </c>
      <c r="K12" s="1">
        <v>17200</v>
      </c>
      <c r="L12" s="5">
        <v>95.721926864521535</v>
      </c>
      <c r="M12" s="8">
        <v>1.8255813953488371E-2</v>
      </c>
      <c r="N12" s="3">
        <v>47.625</v>
      </c>
      <c r="O12" s="5">
        <v>285.04803218471648</v>
      </c>
      <c r="P12" s="3">
        <v>0.16</v>
      </c>
      <c r="R12" s="12">
        <f t="shared" si="0"/>
        <v>1.4252401609235823E-3</v>
      </c>
    </row>
    <row r="13" spans="1:18" x14ac:dyDescent="0.3">
      <c r="B13" s="1">
        <v>10</v>
      </c>
      <c r="C13" s="1">
        <v>4</v>
      </c>
      <c r="D13" s="4">
        <v>32.466666666666669</v>
      </c>
      <c r="E13" s="3">
        <v>3.262</v>
      </c>
      <c r="F13" s="1">
        <v>25</v>
      </c>
      <c r="G13" s="1">
        <v>36</v>
      </c>
      <c r="H13" s="1">
        <v>200</v>
      </c>
      <c r="I13" s="1">
        <v>600</v>
      </c>
      <c r="J13" s="1">
        <v>314</v>
      </c>
      <c r="K13" s="1">
        <v>17200</v>
      </c>
      <c r="L13" s="5">
        <v>95.721926864521535</v>
      </c>
      <c r="M13" s="8">
        <v>1.8255813953488371E-2</v>
      </c>
      <c r="N13" s="3">
        <v>54.300000000000004</v>
      </c>
      <c r="O13" s="5">
        <v>324.99964614446418</v>
      </c>
      <c r="P13" s="3">
        <v>0.2</v>
      </c>
      <c r="R13" s="12">
        <f t="shared" si="0"/>
        <v>1.6249982307223209E-3</v>
      </c>
    </row>
    <row r="14" spans="1:18" x14ac:dyDescent="0.3">
      <c r="B14" s="1">
        <v>10</v>
      </c>
      <c r="C14" s="1">
        <v>4</v>
      </c>
      <c r="D14" s="4">
        <v>32.466666666666669</v>
      </c>
      <c r="E14" s="3">
        <v>3.262</v>
      </c>
      <c r="F14" s="1">
        <v>25</v>
      </c>
      <c r="G14" s="1">
        <v>36</v>
      </c>
      <c r="H14" s="1">
        <v>200</v>
      </c>
      <c r="I14" s="1">
        <v>600</v>
      </c>
      <c r="J14" s="1">
        <v>314</v>
      </c>
      <c r="K14" s="1">
        <v>17200</v>
      </c>
      <c r="L14" s="5">
        <v>95.721926864521535</v>
      </c>
      <c r="M14" s="8">
        <v>1.8255813953488371E-2</v>
      </c>
      <c r="N14" s="3">
        <v>61.425000000000004</v>
      </c>
      <c r="O14" s="5">
        <v>367.6446273374533</v>
      </c>
      <c r="P14" s="3">
        <v>0.2</v>
      </c>
      <c r="R14" s="12">
        <f t="shared" si="0"/>
        <v>1.8382231366872665E-3</v>
      </c>
    </row>
    <row r="15" spans="1:18" x14ac:dyDescent="0.3">
      <c r="B15" s="1">
        <v>10</v>
      </c>
      <c r="C15" s="1">
        <v>4</v>
      </c>
      <c r="D15" s="4">
        <v>32.466666666666669</v>
      </c>
      <c r="E15" s="3">
        <v>3.262</v>
      </c>
      <c r="F15" s="1">
        <v>25</v>
      </c>
      <c r="G15" s="1">
        <v>36</v>
      </c>
      <c r="H15" s="1">
        <v>200</v>
      </c>
      <c r="I15" s="1">
        <v>600</v>
      </c>
      <c r="J15" s="1">
        <v>314</v>
      </c>
      <c r="K15" s="1">
        <v>17200</v>
      </c>
      <c r="L15" s="5">
        <v>95.721926864521535</v>
      </c>
      <c r="M15" s="8">
        <v>1.8255813953488371E-2</v>
      </c>
      <c r="N15" s="3">
        <v>68.625</v>
      </c>
      <c r="O15" s="5">
        <v>410.73850306931587</v>
      </c>
      <c r="P15" s="3">
        <v>0.24</v>
      </c>
      <c r="R15" s="12">
        <f t="shared" si="0"/>
        <v>2.0536925153465794E-3</v>
      </c>
    </row>
    <row r="16" spans="1:18" x14ac:dyDescent="0.3">
      <c r="B16" s="1">
        <v>10</v>
      </c>
      <c r="C16" s="1">
        <v>4</v>
      </c>
      <c r="D16" s="4">
        <v>32.466666666666669</v>
      </c>
      <c r="E16" s="3">
        <v>3.262</v>
      </c>
      <c r="F16" s="1">
        <v>25</v>
      </c>
      <c r="G16" s="1">
        <v>36</v>
      </c>
      <c r="H16" s="1">
        <v>200</v>
      </c>
      <c r="I16" s="1">
        <v>600</v>
      </c>
      <c r="J16" s="1">
        <v>314</v>
      </c>
      <c r="K16" s="1">
        <v>17200</v>
      </c>
      <c r="L16" s="5">
        <v>95.721926864521535</v>
      </c>
      <c r="M16" s="8">
        <v>1.8255813953488371E-2</v>
      </c>
      <c r="N16" s="3">
        <v>73.275000000000006</v>
      </c>
      <c r="O16" s="5">
        <v>438.56996447947728</v>
      </c>
      <c r="P16" s="3">
        <v>0.3</v>
      </c>
      <c r="R16" s="12">
        <f t="shared" si="0"/>
        <v>2.1928498223973865E-3</v>
      </c>
    </row>
    <row r="17" spans="1:18" x14ac:dyDescent="0.3">
      <c r="B17" s="1">
        <v>10</v>
      </c>
      <c r="C17" s="1">
        <v>4</v>
      </c>
      <c r="D17" s="4">
        <v>32.466666666666669</v>
      </c>
      <c r="E17" s="3">
        <v>3.262</v>
      </c>
      <c r="F17" s="1">
        <v>25</v>
      </c>
      <c r="G17" s="1">
        <v>36</v>
      </c>
      <c r="H17" s="1">
        <v>200</v>
      </c>
      <c r="I17" s="1">
        <v>600</v>
      </c>
      <c r="J17" s="1">
        <v>314</v>
      </c>
      <c r="K17" s="1">
        <v>17200</v>
      </c>
      <c r="L17" s="5">
        <v>95.721926864521535</v>
      </c>
      <c r="M17" s="8">
        <v>1.8255813953488371E-2</v>
      </c>
      <c r="N17" s="3">
        <v>83.25</v>
      </c>
      <c r="O17" s="5">
        <v>498.27293814966185</v>
      </c>
      <c r="P17" s="3">
        <v>0.32</v>
      </c>
      <c r="R17" s="12">
        <f t="shared" si="0"/>
        <v>2.4913646907483091E-3</v>
      </c>
    </row>
    <row r="18" spans="1:18" x14ac:dyDescent="0.3">
      <c r="B18" s="1">
        <v>10</v>
      </c>
      <c r="C18" s="1">
        <v>4</v>
      </c>
      <c r="D18" s="4">
        <v>32.466666666666669</v>
      </c>
      <c r="E18" s="3">
        <v>3.262</v>
      </c>
      <c r="F18" s="1">
        <v>25</v>
      </c>
      <c r="G18" s="1">
        <v>36</v>
      </c>
      <c r="H18" s="1">
        <v>200</v>
      </c>
      <c r="I18" s="1">
        <v>600</v>
      </c>
      <c r="J18" s="1">
        <v>314</v>
      </c>
      <c r="K18" s="1">
        <v>17200</v>
      </c>
      <c r="L18" s="5">
        <v>95.721926864521535</v>
      </c>
      <c r="M18" s="8">
        <v>1.8255813953488371E-2</v>
      </c>
      <c r="N18" s="3">
        <v>84</v>
      </c>
      <c r="O18" s="5">
        <v>502.76188353839768</v>
      </c>
      <c r="P18" s="3">
        <v>0.38</v>
      </c>
      <c r="R18" s="12">
        <f t="shared" si="0"/>
        <v>2.5138094176919883E-3</v>
      </c>
    </row>
    <row r="19" spans="1:18" x14ac:dyDescent="0.3">
      <c r="B19" s="1">
        <v>10</v>
      </c>
      <c r="C19" s="1">
        <v>4</v>
      </c>
      <c r="D19" s="4">
        <v>32.466666666666669</v>
      </c>
      <c r="E19" s="3">
        <v>3.262</v>
      </c>
      <c r="F19" s="1">
        <v>25</v>
      </c>
      <c r="G19" s="1">
        <v>36</v>
      </c>
      <c r="H19" s="1">
        <v>200</v>
      </c>
      <c r="I19" s="1">
        <v>600</v>
      </c>
      <c r="J19" s="1">
        <v>314</v>
      </c>
      <c r="K19" s="1">
        <v>17200</v>
      </c>
      <c r="L19" s="5">
        <v>95.721926864521535</v>
      </c>
      <c r="M19" s="8">
        <v>1.8255813953488371E-2</v>
      </c>
      <c r="N19" s="3">
        <v>90</v>
      </c>
      <c r="O19" s="5">
        <v>538.67344664828317</v>
      </c>
      <c r="P19" s="3">
        <v>0.42</v>
      </c>
      <c r="R19" s="12">
        <f t="shared" si="0"/>
        <v>2.6933672332414157E-3</v>
      </c>
    </row>
    <row r="20" spans="1:18" x14ac:dyDescent="0.3">
      <c r="B20" s="1">
        <v>10</v>
      </c>
      <c r="C20" s="1">
        <v>4</v>
      </c>
      <c r="D20" s="4">
        <v>32.466666666666669</v>
      </c>
      <c r="E20" s="3">
        <v>3.262</v>
      </c>
      <c r="F20" s="1">
        <v>25</v>
      </c>
      <c r="G20" s="1">
        <v>36</v>
      </c>
      <c r="H20" s="1">
        <v>200</v>
      </c>
      <c r="I20" s="1">
        <v>600</v>
      </c>
      <c r="J20" s="1">
        <v>314</v>
      </c>
      <c r="K20" s="1">
        <v>17200</v>
      </c>
      <c r="L20" s="5">
        <v>95.721926864521535</v>
      </c>
      <c r="M20" s="8">
        <v>1.8255813953488371E-2</v>
      </c>
      <c r="N20" s="3">
        <v>108</v>
      </c>
      <c r="O20" s="5">
        <v>628</v>
      </c>
      <c r="P20" s="3">
        <v>0.44</v>
      </c>
      <c r="R20" s="12">
        <f t="shared" si="0"/>
        <v>3.14E-3</v>
      </c>
    </row>
    <row r="21" spans="1:18" x14ac:dyDescent="0.3">
      <c r="B21" s="1">
        <v>10</v>
      </c>
      <c r="C21" s="1">
        <v>4</v>
      </c>
      <c r="D21" s="4">
        <v>32.466666666666669</v>
      </c>
      <c r="E21" s="3">
        <v>3.262</v>
      </c>
      <c r="F21" s="1">
        <v>25</v>
      </c>
      <c r="G21" s="1">
        <v>36</v>
      </c>
      <c r="H21" s="1">
        <v>200</v>
      </c>
      <c r="I21" s="1">
        <v>600</v>
      </c>
      <c r="J21" s="1">
        <v>314</v>
      </c>
      <c r="K21" s="1">
        <v>17200</v>
      </c>
      <c r="L21" s="5">
        <v>95.721926864521535</v>
      </c>
      <c r="M21" s="8">
        <v>1.8255813953488371E-2</v>
      </c>
      <c r="N21" s="3">
        <v>120</v>
      </c>
      <c r="O21" s="5">
        <v>628</v>
      </c>
      <c r="P21" s="3">
        <v>0.5</v>
      </c>
      <c r="R21" s="12">
        <f t="shared" si="0"/>
        <v>3.14E-3</v>
      </c>
    </row>
    <row r="22" spans="1:18" x14ac:dyDescent="0.3">
      <c r="A22" t="s">
        <v>8</v>
      </c>
      <c r="B22" s="1">
        <v>10</v>
      </c>
      <c r="C22" s="1">
        <v>4</v>
      </c>
      <c r="D22" s="4">
        <v>32.466666666666669</v>
      </c>
      <c r="E22" s="3">
        <v>3.5139999999999993</v>
      </c>
      <c r="F22" s="1">
        <v>25</v>
      </c>
      <c r="G22" s="1">
        <v>36</v>
      </c>
      <c r="H22" s="1">
        <v>200</v>
      </c>
      <c r="I22" s="1">
        <v>600</v>
      </c>
      <c r="J22" s="1">
        <v>314</v>
      </c>
      <c r="K22" s="1">
        <v>17200</v>
      </c>
      <c r="L22" s="5">
        <v>87.120678710097735</v>
      </c>
      <c r="M22" s="8">
        <v>1.8255813953488371E-2</v>
      </c>
      <c r="N22" s="3">
        <v>54</v>
      </c>
      <c r="O22" s="5">
        <v>321.47187644259361</v>
      </c>
      <c r="P22" s="3">
        <v>0.24</v>
      </c>
      <c r="R22" s="12">
        <f t="shared" si="0"/>
        <v>1.6073593822129681E-3</v>
      </c>
    </row>
    <row r="23" spans="1:18" x14ac:dyDescent="0.3">
      <c r="B23" s="1">
        <v>10</v>
      </c>
      <c r="C23" s="1">
        <v>4</v>
      </c>
      <c r="D23" s="4">
        <v>32.466666666666669</v>
      </c>
      <c r="E23" s="3">
        <v>3.5139999999999993</v>
      </c>
      <c r="F23" s="1">
        <v>25</v>
      </c>
      <c r="G23" s="1">
        <v>36</v>
      </c>
      <c r="H23" s="1">
        <v>200</v>
      </c>
      <c r="I23" s="1">
        <v>600</v>
      </c>
      <c r="J23" s="1">
        <v>314</v>
      </c>
      <c r="K23" s="1">
        <v>17200</v>
      </c>
      <c r="L23" s="5">
        <v>87.120678710097735</v>
      </c>
      <c r="M23" s="8">
        <v>1.8255813953488371E-2</v>
      </c>
      <c r="N23" s="3">
        <v>60</v>
      </c>
      <c r="O23" s="5">
        <v>357.19097382510409</v>
      </c>
      <c r="P23" s="3">
        <v>0.3</v>
      </c>
      <c r="R23" s="12">
        <f t="shared" si="0"/>
        <v>1.7859548691255204E-3</v>
      </c>
    </row>
    <row r="24" spans="1:18" x14ac:dyDescent="0.3">
      <c r="B24" s="1">
        <v>10</v>
      </c>
      <c r="C24" s="1">
        <v>4</v>
      </c>
      <c r="D24" s="4">
        <v>32.466666666666669</v>
      </c>
      <c r="E24" s="3">
        <v>3.5139999999999993</v>
      </c>
      <c r="F24" s="1">
        <v>25</v>
      </c>
      <c r="G24" s="1">
        <v>36</v>
      </c>
      <c r="H24" s="1">
        <v>200</v>
      </c>
      <c r="I24" s="1">
        <v>600</v>
      </c>
      <c r="J24" s="1">
        <v>314</v>
      </c>
      <c r="K24" s="1">
        <v>17200</v>
      </c>
      <c r="L24" s="5">
        <v>87.120678710097735</v>
      </c>
      <c r="M24" s="8">
        <v>1.8255813953488371E-2</v>
      </c>
      <c r="N24" s="3">
        <v>62.25</v>
      </c>
      <c r="O24" s="5">
        <v>370.58563534354545</v>
      </c>
      <c r="P24" s="3">
        <v>0.3</v>
      </c>
      <c r="R24" s="12">
        <f t="shared" si="0"/>
        <v>1.8529281767177273E-3</v>
      </c>
    </row>
    <row r="25" spans="1:18" x14ac:dyDescent="0.3">
      <c r="B25" s="1">
        <v>10</v>
      </c>
      <c r="C25" s="1">
        <v>4</v>
      </c>
      <c r="D25" s="4">
        <v>32.466666666666669</v>
      </c>
      <c r="E25" s="3">
        <v>3.5139999999999993</v>
      </c>
      <c r="F25" s="1">
        <v>25</v>
      </c>
      <c r="G25" s="1">
        <v>36</v>
      </c>
      <c r="H25" s="1">
        <v>200</v>
      </c>
      <c r="I25" s="1">
        <v>600</v>
      </c>
      <c r="J25" s="1">
        <v>314</v>
      </c>
      <c r="K25" s="1">
        <v>17200</v>
      </c>
      <c r="L25" s="5">
        <v>87.120678710097735</v>
      </c>
      <c r="M25" s="8">
        <v>1.8255813953488371E-2</v>
      </c>
      <c r="N25" s="3">
        <v>66</v>
      </c>
      <c r="O25" s="5">
        <v>392.91007120761441</v>
      </c>
      <c r="P25" s="3">
        <v>0.3</v>
      </c>
      <c r="R25" s="12">
        <f t="shared" si="0"/>
        <v>1.9645503560380721E-3</v>
      </c>
    </row>
    <row r="26" spans="1:18" x14ac:dyDescent="0.3">
      <c r="B26" s="1">
        <v>10</v>
      </c>
      <c r="C26" s="1">
        <v>4</v>
      </c>
      <c r="D26" s="4">
        <v>32.466666666666669</v>
      </c>
      <c r="E26" s="3">
        <v>3.5139999999999993</v>
      </c>
      <c r="F26" s="1">
        <v>25</v>
      </c>
      <c r="G26" s="1">
        <v>36</v>
      </c>
      <c r="H26" s="1">
        <v>200</v>
      </c>
      <c r="I26" s="1">
        <v>600</v>
      </c>
      <c r="J26" s="1">
        <v>314</v>
      </c>
      <c r="K26" s="1">
        <v>17200</v>
      </c>
      <c r="L26" s="5">
        <v>87.120678710097735</v>
      </c>
      <c r="M26" s="8">
        <v>1.8255813953488371E-2</v>
      </c>
      <c r="N26" s="3">
        <v>71.25</v>
      </c>
      <c r="O26" s="5">
        <v>424.16428141731097</v>
      </c>
      <c r="P26" s="3">
        <v>0.38</v>
      </c>
      <c r="R26" s="12">
        <f t="shared" si="0"/>
        <v>2.1208214070865547E-3</v>
      </c>
    </row>
    <row r="27" spans="1:18" x14ac:dyDescent="0.3">
      <c r="B27" s="1">
        <v>10</v>
      </c>
      <c r="C27" s="1">
        <v>4</v>
      </c>
      <c r="D27" s="4">
        <v>32.466666666666669</v>
      </c>
      <c r="E27" s="3">
        <v>3.5139999999999993</v>
      </c>
      <c r="F27" s="1">
        <v>25</v>
      </c>
      <c r="G27" s="1">
        <v>36</v>
      </c>
      <c r="H27" s="1">
        <v>200</v>
      </c>
      <c r="I27" s="1">
        <v>600</v>
      </c>
      <c r="J27" s="1">
        <v>314</v>
      </c>
      <c r="K27" s="1">
        <v>17200</v>
      </c>
      <c r="L27" s="5">
        <v>87.120678710097735</v>
      </c>
      <c r="M27" s="8">
        <v>1.8255813953488371E-2</v>
      </c>
      <c r="N27" s="3">
        <v>82.5</v>
      </c>
      <c r="O27" s="5">
        <v>491.13758900951802</v>
      </c>
      <c r="P27" s="3">
        <v>0.44</v>
      </c>
      <c r="R27" s="12">
        <f t="shared" si="0"/>
        <v>2.4556879450475903E-3</v>
      </c>
    </row>
    <row r="28" spans="1:18" x14ac:dyDescent="0.3">
      <c r="A28" t="s">
        <v>9</v>
      </c>
      <c r="B28" s="1">
        <v>16</v>
      </c>
      <c r="C28" s="1">
        <v>4</v>
      </c>
      <c r="D28" s="4">
        <v>37</v>
      </c>
      <c r="E28" s="3">
        <v>4.2587999999999999</v>
      </c>
      <c r="F28" s="1">
        <v>20</v>
      </c>
      <c r="G28" s="1">
        <v>54</v>
      </c>
      <c r="H28" s="1">
        <v>125</v>
      </c>
      <c r="I28" s="1">
        <v>250</v>
      </c>
      <c r="J28" s="1">
        <v>800</v>
      </c>
      <c r="K28" s="1">
        <v>16000</v>
      </c>
      <c r="L28" s="5">
        <v>87.082518617972042</v>
      </c>
      <c r="M28" s="8">
        <v>0.05</v>
      </c>
      <c r="N28" s="3">
        <v>18.2</v>
      </c>
      <c r="O28" s="5">
        <v>136.24998634844746</v>
      </c>
      <c r="P28" s="3">
        <v>0.18</v>
      </c>
      <c r="R28" s="12">
        <f t="shared" si="0"/>
        <v>6.8124993174223727E-4</v>
      </c>
    </row>
    <row r="29" spans="1:18" x14ac:dyDescent="0.3">
      <c r="B29" s="1">
        <v>16</v>
      </c>
      <c r="C29" s="1">
        <v>4</v>
      </c>
      <c r="D29" s="4">
        <v>37</v>
      </c>
      <c r="E29" s="3">
        <v>4.2587999999999999</v>
      </c>
      <c r="F29" s="1">
        <v>20</v>
      </c>
      <c r="G29" s="1">
        <v>54</v>
      </c>
      <c r="H29" s="1">
        <v>125</v>
      </c>
      <c r="I29" s="1">
        <v>250</v>
      </c>
      <c r="J29" s="1">
        <v>800</v>
      </c>
      <c r="K29" s="1">
        <v>16000</v>
      </c>
      <c r="L29" s="5">
        <v>87.082518617972042</v>
      </c>
      <c r="M29" s="8">
        <v>0.05</v>
      </c>
      <c r="N29" s="3">
        <v>26.2</v>
      </c>
      <c r="O29" s="5">
        <v>196.14009023787494</v>
      </c>
      <c r="P29" s="3">
        <v>0.2</v>
      </c>
      <c r="R29" s="12">
        <f t="shared" si="0"/>
        <v>9.8070045118937464E-4</v>
      </c>
    </row>
    <row r="30" spans="1:18" x14ac:dyDescent="0.3">
      <c r="B30" s="1">
        <v>16</v>
      </c>
      <c r="C30" s="1">
        <v>4</v>
      </c>
      <c r="D30" s="4">
        <v>37</v>
      </c>
      <c r="E30" s="3">
        <v>4.2587999999999999</v>
      </c>
      <c r="F30" s="1">
        <v>20</v>
      </c>
      <c r="G30" s="1">
        <v>54</v>
      </c>
      <c r="H30" s="1">
        <v>125</v>
      </c>
      <c r="I30" s="1">
        <v>250</v>
      </c>
      <c r="J30" s="1">
        <v>800</v>
      </c>
      <c r="K30" s="1">
        <v>16000</v>
      </c>
      <c r="L30" s="5">
        <v>87.082518617972042</v>
      </c>
      <c r="M30" s="8">
        <v>0.05</v>
      </c>
      <c r="N30" s="3">
        <v>31.7</v>
      </c>
      <c r="O30" s="5">
        <v>237.31453666185638</v>
      </c>
      <c r="P30" s="3">
        <v>0.26</v>
      </c>
      <c r="R30" s="12">
        <f t="shared" si="0"/>
        <v>1.1865726833092819E-3</v>
      </c>
    </row>
    <row r="31" spans="1:18" x14ac:dyDescent="0.3">
      <c r="B31" s="1">
        <v>16</v>
      </c>
      <c r="C31" s="1">
        <v>4</v>
      </c>
      <c r="D31" s="4">
        <v>37</v>
      </c>
      <c r="E31" s="3">
        <v>4.2587999999999999</v>
      </c>
      <c r="F31" s="1">
        <v>20</v>
      </c>
      <c r="G31" s="1">
        <v>54</v>
      </c>
      <c r="H31" s="1">
        <v>125</v>
      </c>
      <c r="I31" s="1">
        <v>250</v>
      </c>
      <c r="J31" s="1">
        <v>800</v>
      </c>
      <c r="K31" s="1">
        <v>16000</v>
      </c>
      <c r="L31" s="5">
        <v>87.082518617972042</v>
      </c>
      <c r="M31" s="8">
        <v>0.05</v>
      </c>
      <c r="N31" s="3">
        <v>40.799999999999997</v>
      </c>
      <c r="O31" s="5">
        <v>305.43952983608006</v>
      </c>
      <c r="P31" s="3">
        <v>0.44</v>
      </c>
      <c r="R31" s="12">
        <f t="shared" si="0"/>
        <v>1.5271976491804003E-3</v>
      </c>
    </row>
    <row r="32" spans="1:18" x14ac:dyDescent="0.3">
      <c r="B32" s="1">
        <v>16</v>
      </c>
      <c r="C32" s="1">
        <v>4</v>
      </c>
      <c r="D32" s="4">
        <v>37</v>
      </c>
      <c r="E32" s="3">
        <v>4.2587999999999999</v>
      </c>
      <c r="F32" s="1">
        <v>20</v>
      </c>
      <c r="G32" s="1">
        <v>54</v>
      </c>
      <c r="H32" s="1">
        <v>125</v>
      </c>
      <c r="I32" s="1">
        <v>250</v>
      </c>
      <c r="J32" s="1">
        <v>800</v>
      </c>
      <c r="K32" s="1">
        <v>16000</v>
      </c>
      <c r="L32" s="5">
        <v>87.082518617972042</v>
      </c>
      <c r="M32" s="8">
        <v>0.05</v>
      </c>
      <c r="N32" s="3">
        <v>54.1</v>
      </c>
      <c r="O32" s="5">
        <v>405.00682755225324</v>
      </c>
      <c r="P32" s="3">
        <v>0.6</v>
      </c>
      <c r="R32" s="12">
        <f t="shared" si="0"/>
        <v>2.0250341377612661E-3</v>
      </c>
    </row>
    <row r="33" spans="1:18" x14ac:dyDescent="0.3">
      <c r="A33" t="s">
        <v>10</v>
      </c>
      <c r="B33" s="1">
        <v>12</v>
      </c>
      <c r="C33" s="1">
        <v>4</v>
      </c>
      <c r="D33" s="4">
        <v>79.3</v>
      </c>
      <c r="E33" s="3">
        <v>2.6933292113182881</v>
      </c>
      <c r="F33" s="1">
        <v>20</v>
      </c>
      <c r="G33" s="1">
        <v>38</v>
      </c>
      <c r="H33" s="1">
        <v>350</v>
      </c>
      <c r="I33" s="1">
        <v>450</v>
      </c>
      <c r="J33" s="1">
        <v>452</v>
      </c>
      <c r="K33" s="1">
        <v>34300</v>
      </c>
      <c r="L33" s="5">
        <v>76.169428201642418</v>
      </c>
      <c r="M33" s="8">
        <v>1.3177842565597668E-2</v>
      </c>
      <c r="N33" s="3">
        <v>52.5</v>
      </c>
      <c r="O33" s="5">
        <v>300.43295624924116</v>
      </c>
      <c r="P33" s="3">
        <v>0.36</v>
      </c>
      <c r="R33" s="12">
        <f t="shared" si="0"/>
        <v>1.5021647812462058E-3</v>
      </c>
    </row>
    <row r="34" spans="1:18" x14ac:dyDescent="0.3">
      <c r="B34" s="1">
        <v>12</v>
      </c>
      <c r="C34" s="1">
        <v>4</v>
      </c>
      <c r="D34" s="4">
        <v>79.3</v>
      </c>
      <c r="E34" s="3">
        <v>2.6933292113182881</v>
      </c>
      <c r="F34" s="1">
        <v>20</v>
      </c>
      <c r="G34" s="1">
        <v>38</v>
      </c>
      <c r="H34" s="1">
        <v>350</v>
      </c>
      <c r="I34" s="1">
        <v>450</v>
      </c>
      <c r="J34" s="1">
        <v>452</v>
      </c>
      <c r="K34" s="1">
        <v>34300</v>
      </c>
      <c r="L34" s="5">
        <v>76.169428201642418</v>
      </c>
      <c r="M34" s="8">
        <v>1.3177842565597668E-2</v>
      </c>
      <c r="N34" s="3">
        <v>67.5</v>
      </c>
      <c r="O34" s="5">
        <v>386.27094374902435</v>
      </c>
      <c r="P34" s="3">
        <v>0.43</v>
      </c>
      <c r="R34" s="12">
        <f t="shared" si="0"/>
        <v>1.9313547187451217E-3</v>
      </c>
    </row>
    <row r="35" spans="1:18" x14ac:dyDescent="0.3">
      <c r="B35" s="1">
        <v>12</v>
      </c>
      <c r="C35" s="1">
        <v>4</v>
      </c>
      <c r="D35" s="4">
        <v>79.3</v>
      </c>
      <c r="E35" s="3">
        <v>2.6933292113182881</v>
      </c>
      <c r="F35" s="1">
        <v>20</v>
      </c>
      <c r="G35" s="1">
        <v>38</v>
      </c>
      <c r="H35" s="1">
        <v>350</v>
      </c>
      <c r="I35" s="1">
        <v>450</v>
      </c>
      <c r="J35" s="1">
        <v>452</v>
      </c>
      <c r="K35" s="1">
        <v>34300</v>
      </c>
      <c r="L35" s="5">
        <v>76.169428201642418</v>
      </c>
      <c r="M35" s="8">
        <v>1.3177842565597668E-2</v>
      </c>
      <c r="N35" s="3">
        <v>90</v>
      </c>
      <c r="O35" s="5">
        <v>500</v>
      </c>
      <c r="P35" s="3">
        <v>0.56000000000000005</v>
      </c>
      <c r="R35" s="12">
        <f t="shared" si="0"/>
        <v>2.5000000000000001E-3</v>
      </c>
    </row>
    <row r="36" spans="1:18" x14ac:dyDescent="0.3">
      <c r="B36" s="1">
        <v>12</v>
      </c>
      <c r="C36" s="1">
        <v>4</v>
      </c>
      <c r="D36" s="4">
        <v>79.3</v>
      </c>
      <c r="E36" s="3">
        <v>2.6933292113182881</v>
      </c>
      <c r="F36" s="1">
        <v>20</v>
      </c>
      <c r="G36" s="1">
        <v>38</v>
      </c>
      <c r="H36" s="1">
        <v>350</v>
      </c>
      <c r="I36" s="1">
        <v>450</v>
      </c>
      <c r="J36" s="1">
        <v>452</v>
      </c>
      <c r="K36" s="1">
        <v>34300</v>
      </c>
      <c r="L36" s="5">
        <v>76.169428201642418</v>
      </c>
      <c r="M36" s="8">
        <v>1.3177842565597668E-2</v>
      </c>
      <c r="N36" s="3">
        <v>112.5</v>
      </c>
      <c r="O36" s="5">
        <v>500</v>
      </c>
      <c r="P36" s="3">
        <v>0.71</v>
      </c>
      <c r="R36" s="12">
        <f t="shared" si="0"/>
        <v>2.5000000000000001E-3</v>
      </c>
    </row>
    <row r="37" spans="1:18" x14ac:dyDescent="0.3">
      <c r="B37" s="1">
        <v>12</v>
      </c>
      <c r="C37" s="1">
        <v>4</v>
      </c>
      <c r="D37" s="4">
        <v>79.3</v>
      </c>
      <c r="E37" s="3">
        <v>2.6933292113182881</v>
      </c>
      <c r="F37" s="1">
        <v>20</v>
      </c>
      <c r="G37" s="1">
        <v>38</v>
      </c>
      <c r="H37" s="1">
        <v>350</v>
      </c>
      <c r="I37" s="1">
        <v>450</v>
      </c>
      <c r="J37" s="1">
        <v>452</v>
      </c>
      <c r="K37" s="1">
        <v>34300</v>
      </c>
      <c r="L37" s="5">
        <v>76.169428201642418</v>
      </c>
      <c r="M37" s="8">
        <v>1.3177842565597668E-2</v>
      </c>
      <c r="N37" s="3">
        <v>120</v>
      </c>
      <c r="O37" s="5">
        <v>500</v>
      </c>
      <c r="P37" s="3">
        <v>0.79</v>
      </c>
      <c r="R37" s="12">
        <f t="shared" si="0"/>
        <v>2.5000000000000001E-3</v>
      </c>
    </row>
    <row r="38" spans="1:18" x14ac:dyDescent="0.3">
      <c r="A38" t="s">
        <v>11</v>
      </c>
      <c r="B38" s="1">
        <v>25</v>
      </c>
      <c r="C38" s="1">
        <v>4</v>
      </c>
      <c r="D38" s="4">
        <v>62</v>
      </c>
      <c r="E38" s="3">
        <v>2.6933292113182881</v>
      </c>
      <c r="F38" s="1">
        <v>20</v>
      </c>
      <c r="G38" s="1">
        <v>44.5</v>
      </c>
      <c r="H38" s="1">
        <v>350</v>
      </c>
      <c r="I38" s="1">
        <v>450</v>
      </c>
      <c r="J38" s="1">
        <v>1964</v>
      </c>
      <c r="K38" s="1">
        <v>54512.5</v>
      </c>
      <c r="L38" s="5">
        <v>140.9271689293702</v>
      </c>
      <c r="M38" s="8">
        <v>3.6028433845448293E-2</v>
      </c>
      <c r="N38" s="3">
        <v>75</v>
      </c>
      <c r="O38" s="5">
        <v>106.51265522599461</v>
      </c>
      <c r="P38" s="3">
        <v>0.2</v>
      </c>
      <c r="R38" s="12">
        <f t="shared" si="0"/>
        <v>5.3256327612997306E-4</v>
      </c>
    </row>
    <row r="39" spans="1:18" x14ac:dyDescent="0.3">
      <c r="B39" s="1">
        <v>25</v>
      </c>
      <c r="C39" s="1">
        <v>4</v>
      </c>
      <c r="D39" s="4">
        <v>62</v>
      </c>
      <c r="E39" s="3">
        <v>2.6933292113182881</v>
      </c>
      <c r="F39" s="1">
        <v>20</v>
      </c>
      <c r="G39" s="1">
        <v>44.5</v>
      </c>
      <c r="H39" s="1">
        <v>350</v>
      </c>
      <c r="I39" s="1">
        <v>450</v>
      </c>
      <c r="J39" s="1">
        <v>1964</v>
      </c>
      <c r="K39" s="1">
        <v>54512.5</v>
      </c>
      <c r="L39" s="5">
        <v>140.9271689293702</v>
      </c>
      <c r="M39" s="8">
        <v>3.6028433845448293E-2</v>
      </c>
      <c r="N39" s="3">
        <v>135</v>
      </c>
      <c r="O39" s="5">
        <v>191.72277940679027</v>
      </c>
      <c r="P39" s="3">
        <v>0.25</v>
      </c>
      <c r="R39" s="12">
        <f t="shared" si="0"/>
        <v>9.5861389703395133E-4</v>
      </c>
    </row>
    <row r="40" spans="1:18" x14ac:dyDescent="0.3">
      <c r="B40" s="1">
        <v>25</v>
      </c>
      <c r="C40" s="1">
        <v>4</v>
      </c>
      <c r="D40" s="4">
        <v>62</v>
      </c>
      <c r="E40" s="3">
        <v>2.6933292113182881</v>
      </c>
      <c r="F40" s="1">
        <v>20</v>
      </c>
      <c r="G40" s="1">
        <v>44.5</v>
      </c>
      <c r="H40" s="1">
        <v>350</v>
      </c>
      <c r="I40" s="1">
        <v>450</v>
      </c>
      <c r="J40" s="1">
        <v>1964</v>
      </c>
      <c r="K40" s="1">
        <v>54512.5</v>
      </c>
      <c r="L40" s="5">
        <v>140.9271689293702</v>
      </c>
      <c r="M40" s="8">
        <v>3.6028433845448293E-2</v>
      </c>
      <c r="N40" s="3">
        <v>195</v>
      </c>
      <c r="O40" s="5">
        <v>276.93290358758594</v>
      </c>
      <c r="P40" s="3">
        <v>0.36</v>
      </c>
      <c r="R40" s="12">
        <f t="shared" si="0"/>
        <v>1.3846645179379296E-3</v>
      </c>
    </row>
    <row r="41" spans="1:18" x14ac:dyDescent="0.3">
      <c r="B41" s="1">
        <v>25</v>
      </c>
      <c r="C41" s="1">
        <v>4</v>
      </c>
      <c r="D41" s="4">
        <v>62</v>
      </c>
      <c r="E41" s="3">
        <v>2.6933292113182881</v>
      </c>
      <c r="F41" s="1">
        <v>20</v>
      </c>
      <c r="G41" s="1">
        <v>44.5</v>
      </c>
      <c r="H41" s="1">
        <v>350</v>
      </c>
      <c r="I41" s="1">
        <v>450</v>
      </c>
      <c r="J41" s="1">
        <v>1964</v>
      </c>
      <c r="K41" s="1">
        <v>54512.5</v>
      </c>
      <c r="L41" s="5">
        <v>140.9271689293702</v>
      </c>
      <c r="M41" s="8">
        <v>3.6028433845448293E-2</v>
      </c>
      <c r="N41" s="3">
        <v>255</v>
      </c>
      <c r="O41" s="5">
        <v>362.14302776838161</v>
      </c>
      <c r="P41" s="3">
        <v>0.47</v>
      </c>
      <c r="R41" s="12">
        <f t="shared" si="0"/>
        <v>1.8107151388419081E-3</v>
      </c>
    </row>
    <row r="42" spans="1:18" x14ac:dyDescent="0.3">
      <c r="B42" s="1">
        <v>25</v>
      </c>
      <c r="C42" s="1">
        <v>4</v>
      </c>
      <c r="D42" s="4">
        <v>62</v>
      </c>
      <c r="E42" s="3">
        <v>2.6933292113182881</v>
      </c>
      <c r="F42" s="1">
        <v>20</v>
      </c>
      <c r="G42" s="1">
        <v>44.5</v>
      </c>
      <c r="H42" s="1">
        <v>350</v>
      </c>
      <c r="I42" s="1">
        <v>450</v>
      </c>
      <c r="J42" s="1">
        <v>1964</v>
      </c>
      <c r="K42" s="1">
        <v>54512.5</v>
      </c>
      <c r="L42" s="5">
        <v>140.9271689293702</v>
      </c>
      <c r="M42" s="8">
        <v>3.6028433845448293E-2</v>
      </c>
      <c r="N42" s="3">
        <v>300</v>
      </c>
      <c r="O42" s="5">
        <v>426.05062090397843</v>
      </c>
      <c r="P42" s="3">
        <v>0.56999999999999995</v>
      </c>
      <c r="R42" s="12">
        <f t="shared" si="0"/>
        <v>2.1302531045198922E-3</v>
      </c>
    </row>
    <row r="43" spans="1:18" x14ac:dyDescent="0.3">
      <c r="B43" s="1">
        <v>25</v>
      </c>
      <c r="C43" s="1">
        <v>4</v>
      </c>
      <c r="D43" s="4">
        <v>62</v>
      </c>
      <c r="E43" s="3">
        <v>2.6933292113182881</v>
      </c>
      <c r="F43" s="1">
        <v>20</v>
      </c>
      <c r="G43" s="1">
        <v>44.5</v>
      </c>
      <c r="H43" s="1">
        <v>350</v>
      </c>
      <c r="I43" s="1">
        <v>450</v>
      </c>
      <c r="J43" s="1">
        <v>1964</v>
      </c>
      <c r="K43" s="1">
        <v>54512.5</v>
      </c>
      <c r="L43" s="5">
        <v>140.9271689293702</v>
      </c>
      <c r="M43" s="8">
        <v>3.6028433845448293E-2</v>
      </c>
      <c r="N43" s="3">
        <v>360</v>
      </c>
      <c r="O43" s="5">
        <v>500</v>
      </c>
      <c r="P43" s="3">
        <v>0.78</v>
      </c>
      <c r="R43" s="12">
        <f t="shared" si="0"/>
        <v>2.5000000000000001E-3</v>
      </c>
    </row>
    <row r="44" spans="1:18" x14ac:dyDescent="0.3">
      <c r="A44" t="s">
        <v>12</v>
      </c>
      <c r="B44" s="1">
        <v>12</v>
      </c>
      <c r="C44" s="1">
        <v>4</v>
      </c>
      <c r="D44" s="4">
        <v>79.3</v>
      </c>
      <c r="E44" s="3">
        <v>2.6933292113182881</v>
      </c>
      <c r="F44" s="1">
        <v>20</v>
      </c>
      <c r="G44" s="1">
        <v>34</v>
      </c>
      <c r="H44" s="1">
        <v>350</v>
      </c>
      <c r="I44" s="1">
        <v>450</v>
      </c>
      <c r="J44" s="1">
        <v>452</v>
      </c>
      <c r="K44" s="1">
        <v>32900</v>
      </c>
      <c r="L44" s="5">
        <v>76.575869689672942</v>
      </c>
      <c r="M44" s="8">
        <v>1.3738601823708207E-2</v>
      </c>
      <c r="N44" s="3">
        <v>37.5</v>
      </c>
      <c r="O44" s="5">
        <v>212.47112712608967</v>
      </c>
      <c r="P44" s="3">
        <v>0.21</v>
      </c>
      <c r="R44" s="12">
        <f t="shared" si="0"/>
        <v>1.0623556356304483E-3</v>
      </c>
    </row>
    <row r="45" spans="1:18" x14ac:dyDescent="0.3">
      <c r="B45" s="1">
        <v>12</v>
      </c>
      <c r="C45" s="1">
        <v>4</v>
      </c>
      <c r="D45" s="4">
        <v>79.3</v>
      </c>
      <c r="E45" s="3">
        <v>2.6933292113182881</v>
      </c>
      <c r="F45" s="1">
        <v>20</v>
      </c>
      <c r="G45" s="1">
        <v>34</v>
      </c>
      <c r="H45" s="1">
        <v>350</v>
      </c>
      <c r="I45" s="1">
        <v>450</v>
      </c>
      <c r="J45" s="1">
        <v>452</v>
      </c>
      <c r="K45" s="1">
        <v>32900</v>
      </c>
      <c r="L45" s="5">
        <v>76.575869689672942</v>
      </c>
      <c r="M45" s="8">
        <v>1.3738601823708207E-2</v>
      </c>
      <c r="N45" s="3">
        <v>45</v>
      </c>
      <c r="O45" s="5">
        <v>254.96535255130757</v>
      </c>
      <c r="P45" s="3">
        <v>0.31</v>
      </c>
      <c r="R45" s="12">
        <f t="shared" si="0"/>
        <v>1.2748267627565378E-3</v>
      </c>
    </row>
    <row r="46" spans="1:18" x14ac:dyDescent="0.3">
      <c r="B46" s="1">
        <v>12</v>
      </c>
      <c r="C46" s="1">
        <v>4</v>
      </c>
      <c r="D46" s="4">
        <v>79.3</v>
      </c>
      <c r="E46" s="3">
        <v>2.6933292113182881</v>
      </c>
      <c r="F46" s="1">
        <v>20</v>
      </c>
      <c r="G46" s="1">
        <v>34</v>
      </c>
      <c r="H46" s="1">
        <v>350</v>
      </c>
      <c r="I46" s="1">
        <v>450</v>
      </c>
      <c r="J46" s="1">
        <v>452</v>
      </c>
      <c r="K46" s="1">
        <v>32900</v>
      </c>
      <c r="L46" s="5">
        <v>76.575869689672942</v>
      </c>
      <c r="M46" s="8">
        <v>1.3738601823708207E-2</v>
      </c>
      <c r="N46" s="3">
        <v>52.5</v>
      </c>
      <c r="O46" s="5">
        <v>297.45957797652545</v>
      </c>
      <c r="P46" s="3">
        <v>0.38</v>
      </c>
      <c r="R46" s="12">
        <f t="shared" si="0"/>
        <v>1.4872978898826273E-3</v>
      </c>
    </row>
    <row r="47" spans="1:18" x14ac:dyDescent="0.3">
      <c r="B47" s="1">
        <v>12</v>
      </c>
      <c r="C47" s="1">
        <v>4</v>
      </c>
      <c r="D47" s="4">
        <v>79.3</v>
      </c>
      <c r="E47" s="3">
        <v>2.6933292113182881</v>
      </c>
      <c r="F47" s="1">
        <v>20</v>
      </c>
      <c r="G47" s="1">
        <v>34</v>
      </c>
      <c r="H47" s="1">
        <v>350</v>
      </c>
      <c r="I47" s="1">
        <v>450</v>
      </c>
      <c r="J47" s="1">
        <v>452</v>
      </c>
      <c r="K47" s="1">
        <v>32900</v>
      </c>
      <c r="L47" s="5">
        <v>76.575869689672942</v>
      </c>
      <c r="M47" s="8">
        <v>1.3738601823708207E-2</v>
      </c>
      <c r="N47" s="3">
        <v>67.5</v>
      </c>
      <c r="O47" s="5">
        <v>382.44802882696138</v>
      </c>
      <c r="P47" s="3">
        <v>0.52</v>
      </c>
      <c r="R47" s="12">
        <f t="shared" si="0"/>
        <v>1.9122401441348069E-3</v>
      </c>
    </row>
    <row r="48" spans="1:18" x14ac:dyDescent="0.3">
      <c r="B48" s="1">
        <v>12</v>
      </c>
      <c r="C48" s="1">
        <v>4</v>
      </c>
      <c r="D48" s="4">
        <v>79.3</v>
      </c>
      <c r="E48" s="3">
        <v>2.6933292113182881</v>
      </c>
      <c r="F48" s="1">
        <v>20</v>
      </c>
      <c r="G48" s="1">
        <v>34</v>
      </c>
      <c r="H48" s="1">
        <v>350</v>
      </c>
      <c r="I48" s="1">
        <v>450</v>
      </c>
      <c r="J48" s="1">
        <v>452</v>
      </c>
      <c r="K48" s="1">
        <v>32900</v>
      </c>
      <c r="L48" s="5">
        <v>76.575869689672942</v>
      </c>
      <c r="M48" s="8">
        <v>1.3738601823708207E-2</v>
      </c>
      <c r="N48" s="3">
        <v>90</v>
      </c>
      <c r="O48" s="5">
        <v>500</v>
      </c>
      <c r="P48" s="3">
        <v>0.74</v>
      </c>
      <c r="R48" s="12">
        <f t="shared" si="0"/>
        <v>2.5000000000000001E-3</v>
      </c>
    </row>
    <row r="49" spans="1:18" x14ac:dyDescent="0.3">
      <c r="A49" t="s">
        <v>13</v>
      </c>
      <c r="B49" s="1">
        <v>12</v>
      </c>
      <c r="C49" s="1">
        <v>4</v>
      </c>
      <c r="D49" s="4">
        <v>79.3</v>
      </c>
      <c r="E49" s="3">
        <v>2.6933292113182881</v>
      </c>
      <c r="F49" s="1">
        <v>20</v>
      </c>
      <c r="G49" s="1">
        <v>34</v>
      </c>
      <c r="H49" s="1">
        <v>350</v>
      </c>
      <c r="I49" s="1">
        <v>450</v>
      </c>
      <c r="J49" s="1">
        <v>452</v>
      </c>
      <c r="K49" s="1">
        <v>32900</v>
      </c>
      <c r="L49" s="5">
        <v>76.575869689672942</v>
      </c>
      <c r="M49" s="8">
        <v>1.3738601823708207E-2</v>
      </c>
      <c r="N49" s="3">
        <v>37.5</v>
      </c>
      <c r="O49" s="5">
        <v>212.47112712608967</v>
      </c>
      <c r="P49" s="3">
        <v>0.17</v>
      </c>
      <c r="R49" s="12">
        <f t="shared" si="0"/>
        <v>1.0623556356304483E-3</v>
      </c>
    </row>
    <row r="50" spans="1:18" x14ac:dyDescent="0.3">
      <c r="B50" s="1">
        <v>12</v>
      </c>
      <c r="C50" s="1">
        <v>4</v>
      </c>
      <c r="D50" s="4">
        <v>79.3</v>
      </c>
      <c r="E50" s="3">
        <v>2.6933292113182881</v>
      </c>
      <c r="F50" s="1">
        <v>20</v>
      </c>
      <c r="G50" s="1">
        <v>34</v>
      </c>
      <c r="H50" s="1">
        <v>350</v>
      </c>
      <c r="I50" s="1">
        <v>450</v>
      </c>
      <c r="J50" s="1">
        <v>452</v>
      </c>
      <c r="K50" s="1">
        <v>32900</v>
      </c>
      <c r="L50" s="5">
        <v>76.575869689672942</v>
      </c>
      <c r="M50" s="8">
        <v>1.3738601823708207E-2</v>
      </c>
      <c r="N50" s="3">
        <v>52.5</v>
      </c>
      <c r="O50" s="5">
        <v>297.45957797652545</v>
      </c>
      <c r="P50" s="3">
        <v>0.36</v>
      </c>
      <c r="R50" s="12">
        <f t="shared" si="0"/>
        <v>1.4872978898826273E-3</v>
      </c>
    </row>
    <row r="51" spans="1:18" x14ac:dyDescent="0.3">
      <c r="B51" s="1">
        <v>12</v>
      </c>
      <c r="C51" s="1">
        <v>4</v>
      </c>
      <c r="D51" s="4">
        <v>79.3</v>
      </c>
      <c r="E51" s="3">
        <v>2.6933292113182881</v>
      </c>
      <c r="F51" s="1">
        <v>20</v>
      </c>
      <c r="G51" s="1">
        <v>34</v>
      </c>
      <c r="H51" s="1">
        <v>350</v>
      </c>
      <c r="I51" s="1">
        <v>450</v>
      </c>
      <c r="J51" s="1">
        <v>452</v>
      </c>
      <c r="K51" s="1">
        <v>32900</v>
      </c>
      <c r="L51" s="5">
        <v>76.575869689672942</v>
      </c>
      <c r="M51" s="8">
        <v>1.3738601823708207E-2</v>
      </c>
      <c r="N51" s="3">
        <v>67.5</v>
      </c>
      <c r="O51" s="5">
        <v>382.44802882696138</v>
      </c>
      <c r="P51" s="3">
        <v>0.56000000000000005</v>
      </c>
      <c r="R51" s="12">
        <f t="shared" si="0"/>
        <v>1.9122401441348069E-3</v>
      </c>
    </row>
    <row r="52" spans="1:18" x14ac:dyDescent="0.3">
      <c r="B52" s="1">
        <v>12</v>
      </c>
      <c r="C52" s="1">
        <v>4</v>
      </c>
      <c r="D52" s="4">
        <v>79.3</v>
      </c>
      <c r="E52" s="3">
        <v>2.6933292113182881</v>
      </c>
      <c r="F52" s="1">
        <v>20</v>
      </c>
      <c r="G52" s="1">
        <v>34</v>
      </c>
      <c r="H52" s="1">
        <v>350</v>
      </c>
      <c r="I52" s="1">
        <v>450</v>
      </c>
      <c r="J52" s="1">
        <v>452</v>
      </c>
      <c r="K52" s="1">
        <v>32900</v>
      </c>
      <c r="L52" s="5">
        <v>76.575869689672942</v>
      </c>
      <c r="M52" s="8">
        <v>1.3738601823708207E-2</v>
      </c>
      <c r="N52" s="3">
        <v>90</v>
      </c>
      <c r="O52" s="5">
        <v>500</v>
      </c>
      <c r="P52" s="3">
        <v>0.78</v>
      </c>
      <c r="R52" s="12">
        <f t="shared" si="0"/>
        <v>2.5000000000000001E-3</v>
      </c>
    </row>
    <row r="53" spans="1:18" x14ac:dyDescent="0.3">
      <c r="A53" t="s">
        <v>14</v>
      </c>
      <c r="B53" s="1">
        <v>12</v>
      </c>
      <c r="C53" s="1">
        <v>4</v>
      </c>
      <c r="D53" s="4">
        <v>46</v>
      </c>
      <c r="E53" s="3">
        <v>2.6933292113182881</v>
      </c>
      <c r="F53" s="1">
        <v>70</v>
      </c>
      <c r="G53" s="1">
        <v>88</v>
      </c>
      <c r="H53" s="1">
        <v>350</v>
      </c>
      <c r="I53" s="1">
        <v>450</v>
      </c>
      <c r="J53" s="1">
        <v>452</v>
      </c>
      <c r="K53" s="1">
        <v>42000</v>
      </c>
      <c r="L53" s="5">
        <v>70.913891854445922</v>
      </c>
      <c r="M53" s="8">
        <v>1.0761904761904762E-2</v>
      </c>
      <c r="N53" s="3">
        <v>37.5</v>
      </c>
      <c r="O53" s="5">
        <v>245.19477048546645</v>
      </c>
      <c r="P53" s="3">
        <v>0.31</v>
      </c>
      <c r="R53" s="12">
        <f t="shared" si="0"/>
        <v>1.2259738524273323E-3</v>
      </c>
    </row>
    <row r="54" spans="1:18" x14ac:dyDescent="0.3">
      <c r="B54" s="1">
        <v>12</v>
      </c>
      <c r="C54" s="1">
        <v>4</v>
      </c>
      <c r="D54" s="4">
        <v>46</v>
      </c>
      <c r="E54" s="3">
        <v>2.6933292113182881</v>
      </c>
      <c r="F54" s="1">
        <v>70</v>
      </c>
      <c r="G54" s="1">
        <v>88</v>
      </c>
      <c r="H54" s="1">
        <v>350</v>
      </c>
      <c r="I54" s="1">
        <v>450</v>
      </c>
      <c r="J54" s="1">
        <v>452</v>
      </c>
      <c r="K54" s="1">
        <v>42000</v>
      </c>
      <c r="L54" s="5">
        <v>70.913891854445922</v>
      </c>
      <c r="M54" s="8">
        <v>1.0761904761904762E-2</v>
      </c>
      <c r="N54" s="3">
        <v>45</v>
      </c>
      <c r="O54" s="5">
        <v>294.23372458255977</v>
      </c>
      <c r="P54" s="3">
        <v>0.44</v>
      </c>
      <c r="R54" s="12">
        <f t="shared" si="0"/>
        <v>1.4711686229127989E-3</v>
      </c>
    </row>
    <row r="55" spans="1:18" x14ac:dyDescent="0.3">
      <c r="A55" t="s">
        <v>15</v>
      </c>
      <c r="B55" s="1">
        <v>12</v>
      </c>
      <c r="C55" s="1">
        <v>4</v>
      </c>
      <c r="D55" s="4">
        <v>46</v>
      </c>
      <c r="E55" s="3">
        <v>2.6933292113182881</v>
      </c>
      <c r="F55" s="1">
        <v>70</v>
      </c>
      <c r="G55" s="1">
        <v>84</v>
      </c>
      <c r="H55" s="1">
        <v>350</v>
      </c>
      <c r="I55" s="1">
        <v>450</v>
      </c>
      <c r="J55" s="1">
        <v>452</v>
      </c>
      <c r="K55" s="1">
        <v>42000</v>
      </c>
      <c r="L55" s="5">
        <v>71.347043658761123</v>
      </c>
      <c r="M55" s="8">
        <v>1.0761904761904762E-2</v>
      </c>
      <c r="N55" s="3">
        <v>30</v>
      </c>
      <c r="O55" s="5">
        <v>193.94581491041436</v>
      </c>
      <c r="P55" s="3">
        <v>0.14000000000000001</v>
      </c>
      <c r="R55" s="12">
        <f t="shared" si="0"/>
        <v>9.6972907455207178E-4</v>
      </c>
    </row>
    <row r="56" spans="1:18" x14ac:dyDescent="0.3">
      <c r="B56" s="1">
        <v>12</v>
      </c>
      <c r="C56" s="1">
        <v>4</v>
      </c>
      <c r="D56" s="4">
        <v>46</v>
      </c>
      <c r="E56" s="3">
        <v>2.6933292113182881</v>
      </c>
      <c r="F56" s="1">
        <v>70</v>
      </c>
      <c r="G56" s="1">
        <v>84</v>
      </c>
      <c r="H56" s="1">
        <v>350</v>
      </c>
      <c r="I56" s="1">
        <v>450</v>
      </c>
      <c r="J56" s="1">
        <v>452</v>
      </c>
      <c r="K56" s="1">
        <v>42000</v>
      </c>
      <c r="L56" s="5">
        <v>71.347043658761123</v>
      </c>
      <c r="M56" s="8">
        <v>1.0761904761904762E-2</v>
      </c>
      <c r="N56" s="3">
        <v>37.5</v>
      </c>
      <c r="O56" s="5">
        <v>242.43226863801794</v>
      </c>
      <c r="P56" s="3">
        <v>0.31</v>
      </c>
      <c r="R56" s="12">
        <f t="shared" si="0"/>
        <v>1.2121613431900896E-3</v>
      </c>
    </row>
    <row r="57" spans="1:18" x14ac:dyDescent="0.3">
      <c r="B57" s="1">
        <v>12</v>
      </c>
      <c r="C57" s="1">
        <v>4</v>
      </c>
      <c r="D57" s="4">
        <v>46</v>
      </c>
      <c r="E57" s="3">
        <v>2.6933292113182881</v>
      </c>
      <c r="F57" s="1">
        <v>70</v>
      </c>
      <c r="G57" s="1">
        <v>84</v>
      </c>
      <c r="H57" s="1">
        <v>350</v>
      </c>
      <c r="I57" s="1">
        <v>450</v>
      </c>
      <c r="J57" s="1">
        <v>452</v>
      </c>
      <c r="K57" s="1">
        <v>42000</v>
      </c>
      <c r="L57" s="5">
        <v>71.347043658761123</v>
      </c>
      <c r="M57" s="8">
        <v>1.0761904761904762E-2</v>
      </c>
      <c r="N57" s="3">
        <v>45</v>
      </c>
      <c r="O57" s="5">
        <v>290.91872236562153</v>
      </c>
      <c r="P57" s="3">
        <v>0.4</v>
      </c>
      <c r="R57" s="12">
        <f t="shared" si="0"/>
        <v>1.4545936118281076E-3</v>
      </c>
    </row>
    <row r="58" spans="1:18" x14ac:dyDescent="0.3">
      <c r="A58" t="s">
        <v>16</v>
      </c>
      <c r="B58" s="1">
        <v>12</v>
      </c>
      <c r="C58" s="1">
        <v>4</v>
      </c>
      <c r="D58" s="4">
        <v>46</v>
      </c>
      <c r="E58" s="3">
        <v>2.6933292113182881</v>
      </c>
      <c r="F58" s="1">
        <v>70</v>
      </c>
      <c r="G58" s="1">
        <v>84</v>
      </c>
      <c r="H58" s="1">
        <v>350</v>
      </c>
      <c r="I58" s="1">
        <v>450</v>
      </c>
      <c r="J58" s="1">
        <v>452</v>
      </c>
      <c r="K58" s="1">
        <v>42000</v>
      </c>
      <c r="L58" s="5">
        <v>71.347043658761123</v>
      </c>
      <c r="M58" s="8">
        <v>1.0761904761904762E-2</v>
      </c>
      <c r="N58" s="3">
        <v>30</v>
      </c>
      <c r="O58" s="5">
        <v>193.94581491041436</v>
      </c>
      <c r="P58" s="3">
        <v>0.25</v>
      </c>
      <c r="R58" s="12">
        <f t="shared" si="0"/>
        <v>9.6972907455207178E-4</v>
      </c>
    </row>
    <row r="59" spans="1:18" x14ac:dyDescent="0.3">
      <c r="B59" s="1">
        <v>12</v>
      </c>
      <c r="C59" s="1">
        <v>4</v>
      </c>
      <c r="D59" s="4">
        <v>46</v>
      </c>
      <c r="E59" s="3">
        <v>2.6933292113182881</v>
      </c>
      <c r="F59" s="1">
        <v>70</v>
      </c>
      <c r="G59" s="1">
        <v>84</v>
      </c>
      <c r="H59" s="1">
        <v>350</v>
      </c>
      <c r="I59" s="1">
        <v>450</v>
      </c>
      <c r="J59" s="1">
        <v>452</v>
      </c>
      <c r="K59" s="1">
        <v>42000</v>
      </c>
      <c r="L59" s="5">
        <v>71.347043658761123</v>
      </c>
      <c r="M59" s="8">
        <v>1.0761904761904762E-2</v>
      </c>
      <c r="N59" s="3">
        <v>37.5</v>
      </c>
      <c r="O59" s="5">
        <v>242.43226863801794</v>
      </c>
      <c r="P59" s="3">
        <v>0.44</v>
      </c>
      <c r="R59" s="12">
        <f t="shared" si="0"/>
        <v>1.2121613431900896E-3</v>
      </c>
    </row>
    <row r="60" spans="1:18" x14ac:dyDescent="0.3">
      <c r="B60" s="1">
        <v>12</v>
      </c>
      <c r="C60" s="1">
        <v>4</v>
      </c>
      <c r="D60" s="4">
        <v>46</v>
      </c>
      <c r="E60" s="3">
        <v>2.6933292113182881</v>
      </c>
      <c r="F60" s="1">
        <v>70</v>
      </c>
      <c r="G60" s="1">
        <v>84</v>
      </c>
      <c r="H60" s="1">
        <v>350</v>
      </c>
      <c r="I60" s="1">
        <v>450</v>
      </c>
      <c r="J60" s="1">
        <v>452</v>
      </c>
      <c r="K60" s="1">
        <v>42000</v>
      </c>
      <c r="L60" s="5">
        <v>71.347043658761123</v>
      </c>
      <c r="M60" s="8">
        <v>1.0761904761904762E-2</v>
      </c>
      <c r="N60" s="3">
        <v>45</v>
      </c>
      <c r="O60" s="5">
        <v>290.91872236562153</v>
      </c>
      <c r="P60" s="3">
        <v>0.56000000000000005</v>
      </c>
      <c r="R60" s="12">
        <f t="shared" si="0"/>
        <v>1.4545936118281076E-3</v>
      </c>
    </row>
    <row r="61" spans="1:18" x14ac:dyDescent="0.3">
      <c r="A61" t="s">
        <v>17</v>
      </c>
      <c r="B61" s="1">
        <v>25</v>
      </c>
      <c r="C61" s="1">
        <v>4</v>
      </c>
      <c r="D61" s="4">
        <v>62</v>
      </c>
      <c r="E61" s="3">
        <v>2.6933292113182881</v>
      </c>
      <c r="F61" s="1">
        <v>20</v>
      </c>
      <c r="G61" s="1">
        <v>40.5</v>
      </c>
      <c r="H61" s="1">
        <v>350</v>
      </c>
      <c r="I61" s="1">
        <v>450</v>
      </c>
      <c r="J61" s="1">
        <v>1964</v>
      </c>
      <c r="K61" s="1">
        <v>49612.5</v>
      </c>
      <c r="L61" s="5">
        <v>141.76646013770139</v>
      </c>
      <c r="M61" s="8">
        <v>3.9586797682035775E-2</v>
      </c>
      <c r="N61" s="3">
        <v>150</v>
      </c>
      <c r="O61" s="5">
        <v>210.83754926858927</v>
      </c>
      <c r="P61" s="3">
        <v>0.23</v>
      </c>
      <c r="R61" s="12">
        <f t="shared" si="0"/>
        <v>1.0541877463429463E-3</v>
      </c>
    </row>
    <row r="62" spans="1:18" x14ac:dyDescent="0.3">
      <c r="B62" s="1">
        <v>25</v>
      </c>
      <c r="C62" s="1">
        <v>4</v>
      </c>
      <c r="D62" s="4">
        <v>62</v>
      </c>
      <c r="E62" s="3">
        <v>2.6933292113182881</v>
      </c>
      <c r="F62" s="1">
        <v>20</v>
      </c>
      <c r="G62" s="1">
        <v>40.5</v>
      </c>
      <c r="H62" s="1">
        <v>350</v>
      </c>
      <c r="I62" s="1">
        <v>450</v>
      </c>
      <c r="J62" s="1">
        <v>1964</v>
      </c>
      <c r="K62" s="1">
        <v>49612.5</v>
      </c>
      <c r="L62" s="5">
        <v>141.76646013770139</v>
      </c>
      <c r="M62" s="8">
        <v>3.9586797682035775E-2</v>
      </c>
      <c r="N62" s="3">
        <v>225</v>
      </c>
      <c r="O62" s="5">
        <v>316.25632390288388</v>
      </c>
      <c r="P62" s="3">
        <v>0.35</v>
      </c>
      <c r="R62" s="12">
        <f t="shared" si="0"/>
        <v>1.5812816195144193E-3</v>
      </c>
    </row>
    <row r="63" spans="1:18" x14ac:dyDescent="0.3">
      <c r="B63" s="1">
        <v>25</v>
      </c>
      <c r="C63" s="1">
        <v>4</v>
      </c>
      <c r="D63" s="4">
        <v>62</v>
      </c>
      <c r="E63" s="3">
        <v>2.6933292113182881</v>
      </c>
      <c r="F63" s="1">
        <v>20</v>
      </c>
      <c r="G63" s="1">
        <v>40.5</v>
      </c>
      <c r="H63" s="1">
        <v>350</v>
      </c>
      <c r="I63" s="1">
        <v>450</v>
      </c>
      <c r="J63" s="1">
        <v>1964</v>
      </c>
      <c r="K63" s="1">
        <v>49612.5</v>
      </c>
      <c r="L63" s="5">
        <v>141.76646013770139</v>
      </c>
      <c r="M63" s="8">
        <v>3.9586797682035775E-2</v>
      </c>
      <c r="N63" s="3">
        <v>300</v>
      </c>
      <c r="O63" s="5">
        <v>421.67509853717854</v>
      </c>
      <c r="P63" s="3">
        <v>0.49</v>
      </c>
      <c r="R63" s="12">
        <f t="shared" si="0"/>
        <v>2.1083754926858925E-3</v>
      </c>
    </row>
    <row r="64" spans="1:18" x14ac:dyDescent="0.3">
      <c r="B64" s="1">
        <v>25</v>
      </c>
      <c r="C64" s="1">
        <v>4</v>
      </c>
      <c r="D64" s="4">
        <v>62</v>
      </c>
      <c r="E64" s="3">
        <v>2.6933292113182881</v>
      </c>
      <c r="F64" s="1">
        <v>20</v>
      </c>
      <c r="G64" s="1">
        <v>40.5</v>
      </c>
      <c r="H64" s="1">
        <v>350</v>
      </c>
      <c r="I64" s="1">
        <v>450</v>
      </c>
      <c r="J64" s="1">
        <v>1964</v>
      </c>
      <c r="K64" s="1">
        <v>49612.5</v>
      </c>
      <c r="L64" s="5">
        <v>141.76646013770139</v>
      </c>
      <c r="M64" s="8">
        <v>3.9586797682035775E-2</v>
      </c>
      <c r="N64" s="3">
        <v>375</v>
      </c>
      <c r="O64" s="5">
        <v>500</v>
      </c>
      <c r="P64" s="3">
        <v>0.67</v>
      </c>
      <c r="R64" s="12">
        <f t="shared" si="0"/>
        <v>2.5000000000000001E-3</v>
      </c>
    </row>
    <row r="65" spans="1:18" x14ac:dyDescent="0.3">
      <c r="A65" t="s">
        <v>18</v>
      </c>
      <c r="B65" s="1">
        <v>25</v>
      </c>
      <c r="C65" s="1">
        <v>4</v>
      </c>
      <c r="D65" s="4">
        <v>62</v>
      </c>
      <c r="E65" s="3">
        <v>2.6933292113182881</v>
      </c>
      <c r="F65" s="1">
        <v>20</v>
      </c>
      <c r="G65" s="1">
        <v>40.5</v>
      </c>
      <c r="H65" s="1">
        <v>350</v>
      </c>
      <c r="I65" s="1">
        <v>450</v>
      </c>
      <c r="J65" s="1">
        <v>1964</v>
      </c>
      <c r="K65" s="1">
        <v>49612.5</v>
      </c>
      <c r="L65" s="5">
        <v>141.76646013770139</v>
      </c>
      <c r="M65" s="8">
        <v>3.9586797682035775E-2</v>
      </c>
      <c r="N65" s="3">
        <v>150</v>
      </c>
      <c r="O65" s="5">
        <v>210.83754926858927</v>
      </c>
      <c r="P65" s="3">
        <v>0.27</v>
      </c>
      <c r="R65" s="12">
        <f t="shared" si="0"/>
        <v>1.0541877463429463E-3</v>
      </c>
    </row>
    <row r="66" spans="1:18" x14ac:dyDescent="0.3">
      <c r="B66" s="1">
        <v>25</v>
      </c>
      <c r="C66" s="1">
        <v>4</v>
      </c>
      <c r="D66" s="4">
        <v>62</v>
      </c>
      <c r="E66" s="3">
        <v>2.6933292113182881</v>
      </c>
      <c r="F66" s="1">
        <v>20</v>
      </c>
      <c r="G66" s="1">
        <v>40.5</v>
      </c>
      <c r="H66" s="1">
        <v>350</v>
      </c>
      <c r="I66" s="1">
        <v>450</v>
      </c>
      <c r="J66" s="1">
        <v>1964</v>
      </c>
      <c r="K66" s="1">
        <v>49612.5</v>
      </c>
      <c r="L66" s="5">
        <v>141.76646013770139</v>
      </c>
      <c r="M66" s="8">
        <v>3.9586797682035775E-2</v>
      </c>
      <c r="N66" s="3">
        <v>225</v>
      </c>
      <c r="O66" s="5">
        <v>316.25632390288388</v>
      </c>
      <c r="P66" s="3">
        <v>0.4</v>
      </c>
      <c r="R66" s="12">
        <f t="shared" si="0"/>
        <v>1.5812816195144193E-3</v>
      </c>
    </row>
    <row r="67" spans="1:18" x14ac:dyDescent="0.3">
      <c r="B67" s="1">
        <v>25</v>
      </c>
      <c r="C67" s="1">
        <v>4</v>
      </c>
      <c r="D67" s="4">
        <v>62</v>
      </c>
      <c r="E67" s="3">
        <v>2.6933292113182881</v>
      </c>
      <c r="F67" s="1">
        <v>20</v>
      </c>
      <c r="G67" s="1">
        <v>40.5</v>
      </c>
      <c r="H67" s="1">
        <v>350</v>
      </c>
      <c r="I67" s="1">
        <v>450</v>
      </c>
      <c r="J67" s="1">
        <v>1964</v>
      </c>
      <c r="K67" s="1">
        <v>49612.5</v>
      </c>
      <c r="L67" s="5">
        <v>141.76646013770139</v>
      </c>
      <c r="M67" s="8">
        <v>3.9586797682035775E-2</v>
      </c>
      <c r="N67" s="3">
        <v>300</v>
      </c>
      <c r="O67" s="5">
        <v>421.67509853717854</v>
      </c>
      <c r="P67" s="3">
        <v>0.53</v>
      </c>
      <c r="R67" s="12">
        <f t="shared" si="0"/>
        <v>2.1083754926858925E-3</v>
      </c>
    </row>
    <row r="68" spans="1:18" x14ac:dyDescent="0.3">
      <c r="B68" s="1">
        <v>25</v>
      </c>
      <c r="C68" s="1">
        <v>4</v>
      </c>
      <c r="D68" s="4">
        <v>62</v>
      </c>
      <c r="E68" s="3">
        <v>2.6933292113182881</v>
      </c>
      <c r="F68" s="1">
        <v>20</v>
      </c>
      <c r="G68" s="1">
        <v>40.5</v>
      </c>
      <c r="H68" s="1">
        <v>350</v>
      </c>
      <c r="I68" s="1">
        <v>450</v>
      </c>
      <c r="J68" s="1">
        <v>1964</v>
      </c>
      <c r="K68" s="1">
        <v>49612.5</v>
      </c>
      <c r="L68" s="5">
        <v>141.76646013770139</v>
      </c>
      <c r="M68" s="8">
        <v>3.9586797682035775E-2</v>
      </c>
      <c r="N68" s="3">
        <v>375</v>
      </c>
      <c r="O68" s="5">
        <v>500</v>
      </c>
      <c r="P68" s="3">
        <v>0.72</v>
      </c>
      <c r="R68" s="12">
        <f t="shared" ref="R68:R131" si="1">O68/200000</f>
        <v>2.5000000000000001E-3</v>
      </c>
    </row>
    <row r="69" spans="1:18" x14ac:dyDescent="0.3">
      <c r="A69" t="s">
        <v>19</v>
      </c>
      <c r="B69" s="1">
        <v>25</v>
      </c>
      <c r="C69" s="1">
        <v>4</v>
      </c>
      <c r="D69" s="4">
        <v>28.7</v>
      </c>
      <c r="E69" s="3">
        <v>2.6933292113182881</v>
      </c>
      <c r="F69" s="1">
        <v>70</v>
      </c>
      <c r="G69" s="1">
        <v>94.5</v>
      </c>
      <c r="H69" s="1">
        <v>350</v>
      </c>
      <c r="I69" s="1">
        <v>450</v>
      </c>
      <c r="J69" s="1">
        <v>1964</v>
      </c>
      <c r="K69" s="1">
        <v>76825</v>
      </c>
      <c r="L69" s="5">
        <v>130.08181306692575</v>
      </c>
      <c r="M69" s="8">
        <v>2.5564594858444516E-2</v>
      </c>
      <c r="N69" s="3">
        <v>75</v>
      </c>
      <c r="O69" s="5">
        <v>122.34076582972288</v>
      </c>
      <c r="P69" s="3">
        <v>0.3</v>
      </c>
      <c r="R69" s="12">
        <f t="shared" si="1"/>
        <v>6.1170382914861447E-4</v>
      </c>
    </row>
    <row r="70" spans="1:18" x14ac:dyDescent="0.3">
      <c r="B70" s="1">
        <v>25</v>
      </c>
      <c r="C70" s="1">
        <v>4</v>
      </c>
      <c r="D70" s="4">
        <v>28.7</v>
      </c>
      <c r="E70" s="3">
        <v>2.6933292113182881</v>
      </c>
      <c r="F70" s="1">
        <v>70</v>
      </c>
      <c r="G70" s="1">
        <v>94.5</v>
      </c>
      <c r="H70" s="1">
        <v>350</v>
      </c>
      <c r="I70" s="1">
        <v>450</v>
      </c>
      <c r="J70" s="1">
        <v>1964</v>
      </c>
      <c r="K70" s="1">
        <v>76825</v>
      </c>
      <c r="L70" s="5">
        <v>130.08181306692575</v>
      </c>
      <c r="M70" s="8">
        <v>2.5564594858444516E-2</v>
      </c>
      <c r="N70" s="3">
        <v>150</v>
      </c>
      <c r="O70" s="5">
        <v>244.68153165944577</v>
      </c>
      <c r="P70" s="3">
        <v>0.56999999999999995</v>
      </c>
      <c r="R70" s="12">
        <f t="shared" si="1"/>
        <v>1.2234076582972289E-3</v>
      </c>
    </row>
    <row r="71" spans="1:18" x14ac:dyDescent="0.3">
      <c r="A71" t="s">
        <v>20</v>
      </c>
      <c r="B71" s="1">
        <v>25</v>
      </c>
      <c r="C71" s="1">
        <v>4</v>
      </c>
      <c r="D71" s="4">
        <v>28.7</v>
      </c>
      <c r="E71" s="3">
        <v>2.6933292113182881</v>
      </c>
      <c r="F71" s="1">
        <v>70</v>
      </c>
      <c r="G71" s="1">
        <v>90.5</v>
      </c>
      <c r="H71" s="1">
        <v>350</v>
      </c>
      <c r="I71" s="1">
        <v>450</v>
      </c>
      <c r="J71" s="1">
        <v>1964</v>
      </c>
      <c r="K71" s="1">
        <v>75425</v>
      </c>
      <c r="L71" s="5">
        <v>130.97513055188566</v>
      </c>
      <c r="M71" s="8">
        <v>2.60391117003646E-2</v>
      </c>
      <c r="N71" s="3">
        <v>75</v>
      </c>
      <c r="O71" s="5">
        <v>120.90671371295994</v>
      </c>
      <c r="P71" s="3">
        <v>0.26</v>
      </c>
      <c r="R71" s="12">
        <f t="shared" si="1"/>
        <v>6.0453356856479971E-4</v>
      </c>
    </row>
    <row r="72" spans="1:18" x14ac:dyDescent="0.3">
      <c r="B72" s="1">
        <v>25</v>
      </c>
      <c r="C72" s="1">
        <v>4</v>
      </c>
      <c r="D72" s="4">
        <v>28.7</v>
      </c>
      <c r="E72" s="3">
        <v>2.6933292113182881</v>
      </c>
      <c r="F72" s="1">
        <v>70</v>
      </c>
      <c r="G72" s="1">
        <v>90.5</v>
      </c>
      <c r="H72" s="1">
        <v>350</v>
      </c>
      <c r="I72" s="1">
        <v>450</v>
      </c>
      <c r="J72" s="1">
        <v>1964</v>
      </c>
      <c r="K72" s="1">
        <v>75425</v>
      </c>
      <c r="L72" s="5">
        <v>130.97513055188566</v>
      </c>
      <c r="M72" s="8">
        <v>2.60391117003646E-2</v>
      </c>
      <c r="N72" s="3">
        <v>150</v>
      </c>
      <c r="O72" s="5">
        <v>241.81342742591988</v>
      </c>
      <c r="P72" s="3">
        <v>0.6</v>
      </c>
      <c r="R72" s="12">
        <f t="shared" si="1"/>
        <v>1.2090671371295994E-3</v>
      </c>
    </row>
    <row r="73" spans="1:18" x14ac:dyDescent="0.3">
      <c r="A73" t="s">
        <v>21</v>
      </c>
      <c r="B73" s="1">
        <v>25</v>
      </c>
      <c r="C73" s="1">
        <v>4</v>
      </c>
      <c r="D73" s="4">
        <v>28.7</v>
      </c>
      <c r="E73" s="3">
        <v>2.6933292113182881</v>
      </c>
      <c r="F73" s="1">
        <v>70</v>
      </c>
      <c r="G73" s="1">
        <v>90.5</v>
      </c>
      <c r="H73" s="1">
        <v>350</v>
      </c>
      <c r="I73" s="1">
        <v>450</v>
      </c>
      <c r="J73" s="1">
        <v>1964</v>
      </c>
      <c r="K73" s="1">
        <v>75425</v>
      </c>
      <c r="L73" s="5">
        <v>130.97513055188566</v>
      </c>
      <c r="M73" s="8">
        <v>2.60391117003646E-2</v>
      </c>
      <c r="N73" s="3">
        <v>75</v>
      </c>
      <c r="O73" s="5">
        <v>120.90671371295994</v>
      </c>
      <c r="P73" s="3">
        <v>0.27</v>
      </c>
      <c r="R73" s="12">
        <f t="shared" si="1"/>
        <v>6.0453356856479971E-4</v>
      </c>
    </row>
    <row r="74" spans="1:18" x14ac:dyDescent="0.3">
      <c r="B74" s="1">
        <v>25</v>
      </c>
      <c r="C74" s="1">
        <v>4</v>
      </c>
      <c r="D74" s="4">
        <v>28.7</v>
      </c>
      <c r="E74" s="3">
        <v>2.6933292113182881</v>
      </c>
      <c r="F74" s="1">
        <v>70</v>
      </c>
      <c r="G74" s="1">
        <v>90.5</v>
      </c>
      <c r="H74" s="1">
        <v>350</v>
      </c>
      <c r="I74" s="1">
        <v>450</v>
      </c>
      <c r="J74" s="1">
        <v>1964</v>
      </c>
      <c r="K74" s="1">
        <v>75425</v>
      </c>
      <c r="L74" s="5">
        <v>130.97513055188566</v>
      </c>
      <c r="M74" s="8">
        <v>2.60391117003646E-2</v>
      </c>
      <c r="N74" s="3">
        <v>150</v>
      </c>
      <c r="O74" s="5">
        <v>241.81342742591988</v>
      </c>
      <c r="P74" s="3">
        <v>0.59</v>
      </c>
      <c r="R74" s="12">
        <f t="shared" si="1"/>
        <v>1.2090671371295994E-3</v>
      </c>
    </row>
    <row r="75" spans="1:18" x14ac:dyDescent="0.3">
      <c r="A75" t="s">
        <v>22</v>
      </c>
      <c r="B75" s="1">
        <v>9.52</v>
      </c>
      <c r="C75" s="1">
        <v>3</v>
      </c>
      <c r="D75" s="4">
        <v>22.2</v>
      </c>
      <c r="E75" s="3">
        <v>3.5641600019995088</v>
      </c>
      <c r="F75" s="1">
        <v>20.64</v>
      </c>
      <c r="G75" s="1">
        <v>25.4</v>
      </c>
      <c r="H75" s="1">
        <v>114.3</v>
      </c>
      <c r="I75" s="1">
        <v>228.6</v>
      </c>
      <c r="J75" s="1">
        <v>212.9</v>
      </c>
      <c r="K75" s="1">
        <v>8343.9</v>
      </c>
      <c r="L75" s="5">
        <v>56.390968153098974</v>
      </c>
      <c r="M75" s="8">
        <v>2.5515646160668273E-2</v>
      </c>
      <c r="N75" s="3">
        <v>11.6</v>
      </c>
      <c r="O75" s="5">
        <v>295.47063165325955</v>
      </c>
      <c r="P75" s="3">
        <v>0.15</v>
      </c>
      <c r="R75" s="12">
        <f t="shared" si="1"/>
        <v>1.4773531582662977E-3</v>
      </c>
    </row>
    <row r="76" spans="1:18" x14ac:dyDescent="0.3">
      <c r="B76" s="1">
        <v>9.52</v>
      </c>
      <c r="C76" s="1">
        <v>3</v>
      </c>
      <c r="D76" s="4">
        <v>22.2</v>
      </c>
      <c r="E76" s="3">
        <v>3.5641600019995088</v>
      </c>
      <c r="F76" s="1">
        <v>20.64</v>
      </c>
      <c r="G76" s="1">
        <v>25.4</v>
      </c>
      <c r="H76" s="1">
        <v>114.3</v>
      </c>
      <c r="I76" s="1">
        <v>228.6</v>
      </c>
      <c r="J76" s="1">
        <v>212.9</v>
      </c>
      <c r="K76" s="1">
        <v>8343.9</v>
      </c>
      <c r="L76" s="5">
        <v>56.390968153098974</v>
      </c>
      <c r="M76" s="8">
        <v>2.5515646160668273E-2</v>
      </c>
      <c r="N76" s="3">
        <v>13.5</v>
      </c>
      <c r="O76" s="5">
        <v>343.86668338956935</v>
      </c>
      <c r="P76" s="3">
        <v>0.17</v>
      </c>
      <c r="R76" s="12">
        <f t="shared" si="1"/>
        <v>1.7193334169478467E-3</v>
      </c>
    </row>
    <row r="77" spans="1:18" x14ac:dyDescent="0.3">
      <c r="A77" t="s">
        <v>23</v>
      </c>
      <c r="B77" s="1">
        <v>12.7</v>
      </c>
      <c r="C77" s="1">
        <v>3</v>
      </c>
      <c r="D77" s="4">
        <v>19.05</v>
      </c>
      <c r="E77" s="3">
        <v>3.9766081638229425</v>
      </c>
      <c r="F77" s="1">
        <v>19.05</v>
      </c>
      <c r="G77" s="1">
        <v>25.4</v>
      </c>
      <c r="H77" s="1">
        <v>114.3</v>
      </c>
      <c r="I77" s="1">
        <v>228.6</v>
      </c>
      <c r="J77" s="1">
        <v>387.1</v>
      </c>
      <c r="K77" s="1">
        <v>10161.269999999999</v>
      </c>
      <c r="L77" s="5">
        <v>70.373657577616456</v>
      </c>
      <c r="M77" s="8">
        <v>3.8095631746819056E-2</v>
      </c>
      <c r="N77" s="3">
        <v>21.1</v>
      </c>
      <c r="O77" s="5">
        <v>303.25602523129726</v>
      </c>
      <c r="P77" s="3">
        <v>0.15</v>
      </c>
      <c r="R77" s="12">
        <f t="shared" si="1"/>
        <v>1.5162801261564864E-3</v>
      </c>
    </row>
    <row r="78" spans="1:18" x14ac:dyDescent="0.3">
      <c r="B78" s="1">
        <v>12.7</v>
      </c>
      <c r="C78" s="1">
        <v>3</v>
      </c>
      <c r="D78" s="4">
        <v>19.05</v>
      </c>
      <c r="E78" s="3">
        <v>3.9766081638229425</v>
      </c>
      <c r="F78" s="1">
        <v>19.05</v>
      </c>
      <c r="G78" s="1">
        <v>25.4</v>
      </c>
      <c r="H78" s="1">
        <v>114.3</v>
      </c>
      <c r="I78" s="1">
        <v>228.6</v>
      </c>
      <c r="J78" s="1">
        <v>387.1</v>
      </c>
      <c r="K78" s="1">
        <v>10161.269999999999</v>
      </c>
      <c r="L78" s="5">
        <v>70.373657577616456</v>
      </c>
      <c r="M78" s="8">
        <v>3.8095631746819056E-2</v>
      </c>
      <c r="N78" s="3">
        <v>24.2</v>
      </c>
      <c r="O78" s="5">
        <v>347.81022799039772</v>
      </c>
      <c r="P78" s="3">
        <v>0.17</v>
      </c>
      <c r="R78" s="12">
        <f t="shared" si="1"/>
        <v>1.7390511399519885E-3</v>
      </c>
    </row>
    <row r="79" spans="1:18" x14ac:dyDescent="0.3">
      <c r="B79" s="1">
        <v>12.7</v>
      </c>
      <c r="C79" s="1">
        <v>3</v>
      </c>
      <c r="D79" s="4">
        <v>19.05</v>
      </c>
      <c r="E79" s="3">
        <v>3.9766081638229425</v>
      </c>
      <c r="F79" s="1">
        <v>19.05</v>
      </c>
      <c r="G79" s="1">
        <v>25.4</v>
      </c>
      <c r="H79" s="1">
        <v>114.3</v>
      </c>
      <c r="I79" s="1">
        <v>228.6</v>
      </c>
      <c r="J79" s="1">
        <v>387.1</v>
      </c>
      <c r="K79" s="1">
        <v>10161.269999999999</v>
      </c>
      <c r="L79" s="5">
        <v>70.373657577616456</v>
      </c>
      <c r="M79" s="8">
        <v>3.8095631746819056E-2</v>
      </c>
      <c r="N79" s="3">
        <v>28.6</v>
      </c>
      <c r="O79" s="5">
        <v>411.04845126137917</v>
      </c>
      <c r="P79" s="3">
        <v>0.2</v>
      </c>
      <c r="R79" s="12">
        <f t="shared" si="1"/>
        <v>2.0552422563068959E-3</v>
      </c>
    </row>
    <row r="80" spans="1:18" x14ac:dyDescent="0.3">
      <c r="A80" t="s">
        <v>24</v>
      </c>
      <c r="B80" s="1">
        <v>15.9</v>
      </c>
      <c r="C80" s="1">
        <v>3</v>
      </c>
      <c r="D80" s="4">
        <v>15.9</v>
      </c>
      <c r="E80" s="3">
        <v>3.9766081638229425</v>
      </c>
      <c r="F80" s="1">
        <v>17.46</v>
      </c>
      <c r="G80" s="1">
        <v>25.4</v>
      </c>
      <c r="H80" s="1">
        <v>114.3</v>
      </c>
      <c r="I80" s="1">
        <v>228.6</v>
      </c>
      <c r="J80" s="1">
        <v>600</v>
      </c>
      <c r="K80" s="1">
        <v>10161.269999999999</v>
      </c>
      <c r="L80" s="5">
        <v>83.256822362436324</v>
      </c>
      <c r="M80" s="8">
        <v>5.9047737143093339E-2</v>
      </c>
      <c r="N80" s="3">
        <v>30.5</v>
      </c>
      <c r="O80" s="5">
        <v>289.73492291565424</v>
      </c>
      <c r="P80" s="3">
        <v>0.16</v>
      </c>
      <c r="R80" s="12">
        <f t="shared" si="1"/>
        <v>1.4486746145782711E-3</v>
      </c>
    </row>
    <row r="81" spans="1:18" x14ac:dyDescent="0.3">
      <c r="B81" s="1">
        <v>15.9</v>
      </c>
      <c r="C81" s="1">
        <v>3</v>
      </c>
      <c r="D81" s="4">
        <v>15.9</v>
      </c>
      <c r="E81" s="3">
        <v>3.9766081638229425</v>
      </c>
      <c r="F81" s="1">
        <v>17.46</v>
      </c>
      <c r="G81" s="1">
        <v>25.4</v>
      </c>
      <c r="H81" s="1">
        <v>114.3</v>
      </c>
      <c r="I81" s="1">
        <v>228.6</v>
      </c>
      <c r="J81" s="1">
        <v>600</v>
      </c>
      <c r="K81" s="1">
        <v>10161.269999999999</v>
      </c>
      <c r="L81" s="5">
        <v>83.256822362436324</v>
      </c>
      <c r="M81" s="8">
        <v>5.9047737143093339E-2</v>
      </c>
      <c r="N81" s="3">
        <v>40</v>
      </c>
      <c r="O81" s="5">
        <v>379.98022677462848</v>
      </c>
      <c r="P81" s="3">
        <v>0.21</v>
      </c>
      <c r="R81" s="12">
        <f t="shared" si="1"/>
        <v>1.8999011338731425E-3</v>
      </c>
    </row>
    <row r="82" spans="1:18" x14ac:dyDescent="0.3">
      <c r="A82" t="s">
        <v>25</v>
      </c>
      <c r="B82" s="1">
        <v>16</v>
      </c>
      <c r="C82" s="1">
        <v>2</v>
      </c>
      <c r="D82" s="4">
        <v>138</v>
      </c>
      <c r="E82" s="3">
        <v>3.2689999999999997</v>
      </c>
      <c r="F82" s="1">
        <v>40</v>
      </c>
      <c r="G82" s="1">
        <v>48</v>
      </c>
      <c r="H82" s="1">
        <v>250</v>
      </c>
      <c r="I82" s="1">
        <v>348</v>
      </c>
      <c r="J82" s="1">
        <v>400</v>
      </c>
      <c r="K82" s="1">
        <v>32000</v>
      </c>
      <c r="L82" s="5">
        <v>73.386285342529078</v>
      </c>
      <c r="M82" s="8">
        <v>1.2500000000000001E-2</v>
      </c>
      <c r="N82" s="3">
        <v>20.420000000000002</v>
      </c>
      <c r="O82" s="5">
        <v>185.27396447016579</v>
      </c>
      <c r="P82" s="3">
        <v>0.15</v>
      </c>
      <c r="R82" s="12">
        <f t="shared" si="1"/>
        <v>9.2636982235082895E-4</v>
      </c>
    </row>
    <row r="83" spans="1:18" x14ac:dyDescent="0.3">
      <c r="B83" s="1">
        <v>16</v>
      </c>
      <c r="C83" s="1">
        <v>2</v>
      </c>
      <c r="D83" s="4">
        <v>138</v>
      </c>
      <c r="E83" s="3">
        <v>3.2689999999999997</v>
      </c>
      <c r="F83" s="1">
        <v>40</v>
      </c>
      <c r="G83" s="1">
        <v>48</v>
      </c>
      <c r="H83" s="1">
        <v>250</v>
      </c>
      <c r="I83" s="1">
        <v>348</v>
      </c>
      <c r="J83" s="1">
        <v>400</v>
      </c>
      <c r="K83" s="1">
        <v>32000</v>
      </c>
      <c r="L83" s="5">
        <v>73.386285342529078</v>
      </c>
      <c r="M83" s="8">
        <v>1.2500000000000001E-2</v>
      </c>
      <c r="N83" s="3">
        <v>23.34</v>
      </c>
      <c r="O83" s="5">
        <v>211.76759699968991</v>
      </c>
      <c r="P83" s="3">
        <v>0.2</v>
      </c>
      <c r="R83" s="12">
        <f t="shared" si="1"/>
        <v>1.0588379849984495E-3</v>
      </c>
    </row>
    <row r="84" spans="1:18" x14ac:dyDescent="0.3">
      <c r="B84" s="1">
        <v>16</v>
      </c>
      <c r="C84" s="1">
        <v>2</v>
      </c>
      <c r="D84" s="4">
        <v>138</v>
      </c>
      <c r="E84" s="3">
        <v>3.2689999999999997</v>
      </c>
      <c r="F84" s="1">
        <v>40</v>
      </c>
      <c r="G84" s="1">
        <v>48</v>
      </c>
      <c r="H84" s="1">
        <v>250</v>
      </c>
      <c r="I84" s="1">
        <v>348</v>
      </c>
      <c r="J84" s="1">
        <v>400</v>
      </c>
      <c r="K84" s="1">
        <v>32000</v>
      </c>
      <c r="L84" s="5">
        <v>73.386285342529078</v>
      </c>
      <c r="M84" s="8">
        <v>1.2500000000000001E-2</v>
      </c>
      <c r="N84" s="3">
        <v>26.26</v>
      </c>
      <c r="O84" s="5">
        <v>238.26122952921415</v>
      </c>
      <c r="P84" s="3">
        <v>0.25</v>
      </c>
      <c r="R84" s="12">
        <f t="shared" si="1"/>
        <v>1.1913061476460708E-3</v>
      </c>
    </row>
    <row r="85" spans="1:18" x14ac:dyDescent="0.3">
      <c r="B85" s="1">
        <v>16</v>
      </c>
      <c r="C85" s="1">
        <v>2</v>
      </c>
      <c r="D85" s="4">
        <v>138</v>
      </c>
      <c r="E85" s="3">
        <v>3.2689999999999997</v>
      </c>
      <c r="F85" s="1">
        <v>40</v>
      </c>
      <c r="G85" s="1">
        <v>48</v>
      </c>
      <c r="H85" s="1">
        <v>250</v>
      </c>
      <c r="I85" s="1">
        <v>348</v>
      </c>
      <c r="J85" s="1">
        <v>400</v>
      </c>
      <c r="K85" s="1">
        <v>32000</v>
      </c>
      <c r="L85" s="5">
        <v>73.386285342529078</v>
      </c>
      <c r="M85" s="8">
        <v>1.2500000000000001E-2</v>
      </c>
      <c r="N85" s="3">
        <v>29.175000000000001</v>
      </c>
      <c r="O85" s="5">
        <v>264.70949624961241</v>
      </c>
      <c r="P85" s="3">
        <v>0.28000000000000003</v>
      </c>
      <c r="R85" s="12">
        <f t="shared" si="1"/>
        <v>1.323547481248062E-3</v>
      </c>
    </row>
    <row r="86" spans="1:18" x14ac:dyDescent="0.3">
      <c r="B86" s="1">
        <v>16</v>
      </c>
      <c r="C86" s="1">
        <v>2</v>
      </c>
      <c r="D86" s="4">
        <v>138</v>
      </c>
      <c r="E86" s="3">
        <v>3.2689999999999997</v>
      </c>
      <c r="F86" s="1">
        <v>40</v>
      </c>
      <c r="G86" s="1">
        <v>48</v>
      </c>
      <c r="H86" s="1">
        <v>250</v>
      </c>
      <c r="I86" s="1">
        <v>348</v>
      </c>
      <c r="J86" s="1">
        <v>400</v>
      </c>
      <c r="K86" s="1">
        <v>32000</v>
      </c>
      <c r="L86" s="5">
        <v>73.386285342529078</v>
      </c>
      <c r="M86" s="8">
        <v>1.2500000000000001E-2</v>
      </c>
      <c r="N86" s="3">
        <v>32.090000000000003</v>
      </c>
      <c r="O86" s="5">
        <v>291.15776297001077</v>
      </c>
      <c r="P86" s="3">
        <v>0.28000000000000003</v>
      </c>
      <c r="R86" s="12">
        <f t="shared" si="1"/>
        <v>1.4557888148500539E-3</v>
      </c>
    </row>
    <row r="87" spans="1:18" x14ac:dyDescent="0.3">
      <c r="B87" s="1">
        <v>16</v>
      </c>
      <c r="C87" s="1">
        <v>2</v>
      </c>
      <c r="D87" s="4">
        <v>138</v>
      </c>
      <c r="E87" s="3">
        <v>3.2689999999999997</v>
      </c>
      <c r="F87" s="1">
        <v>40</v>
      </c>
      <c r="G87" s="1">
        <v>48</v>
      </c>
      <c r="H87" s="1">
        <v>250</v>
      </c>
      <c r="I87" s="1">
        <v>348</v>
      </c>
      <c r="J87" s="1">
        <v>400</v>
      </c>
      <c r="K87" s="1">
        <v>32000</v>
      </c>
      <c r="L87" s="5">
        <v>73.386285342529078</v>
      </c>
      <c r="M87" s="8">
        <v>1.2500000000000001E-2</v>
      </c>
      <c r="N87" s="3">
        <v>35.01</v>
      </c>
      <c r="O87" s="5">
        <v>317.65139549953489</v>
      </c>
      <c r="P87" s="3">
        <v>0.3</v>
      </c>
      <c r="R87" s="12">
        <f t="shared" si="1"/>
        <v>1.5882569774976745E-3</v>
      </c>
    </row>
    <row r="88" spans="1:18" x14ac:dyDescent="0.3">
      <c r="B88" s="1">
        <v>16</v>
      </c>
      <c r="C88" s="1">
        <v>2</v>
      </c>
      <c r="D88" s="4">
        <v>138</v>
      </c>
      <c r="E88" s="3">
        <v>3.2689999999999997</v>
      </c>
      <c r="F88" s="1">
        <v>40</v>
      </c>
      <c r="G88" s="1">
        <v>48</v>
      </c>
      <c r="H88" s="1">
        <v>250</v>
      </c>
      <c r="I88" s="1">
        <v>348</v>
      </c>
      <c r="J88" s="1">
        <v>400</v>
      </c>
      <c r="K88" s="1">
        <v>32000</v>
      </c>
      <c r="L88" s="5">
        <v>73.386285342529078</v>
      </c>
      <c r="M88" s="8">
        <v>1.2500000000000001E-2</v>
      </c>
      <c r="N88" s="3">
        <v>37.93</v>
      </c>
      <c r="O88" s="5">
        <v>344.14502802905912</v>
      </c>
      <c r="P88" s="3">
        <v>0.33</v>
      </c>
      <c r="R88" s="12">
        <f t="shared" si="1"/>
        <v>1.7207251401452955E-3</v>
      </c>
    </row>
    <row r="89" spans="1:18" x14ac:dyDescent="0.3">
      <c r="B89" s="1">
        <v>16</v>
      </c>
      <c r="C89" s="1">
        <v>2</v>
      </c>
      <c r="D89" s="4">
        <v>138</v>
      </c>
      <c r="E89" s="3">
        <v>3.2689999999999997</v>
      </c>
      <c r="F89" s="1">
        <v>40</v>
      </c>
      <c r="G89" s="1">
        <v>48</v>
      </c>
      <c r="H89" s="1">
        <v>250</v>
      </c>
      <c r="I89" s="1">
        <v>348</v>
      </c>
      <c r="J89" s="1">
        <v>400</v>
      </c>
      <c r="K89" s="1">
        <v>32000</v>
      </c>
      <c r="L89" s="5">
        <v>73.386285342529078</v>
      </c>
      <c r="M89" s="8">
        <v>1.2500000000000001E-2</v>
      </c>
      <c r="N89" s="3">
        <v>40.840000000000003</v>
      </c>
      <c r="O89" s="5">
        <v>370.54792894033159</v>
      </c>
      <c r="P89" s="3">
        <v>0.33</v>
      </c>
      <c r="R89" s="12">
        <f t="shared" si="1"/>
        <v>1.8527396447016579E-3</v>
      </c>
    </row>
    <row r="90" spans="1:18" x14ac:dyDescent="0.3">
      <c r="A90" t="s">
        <v>26</v>
      </c>
      <c r="B90" s="1">
        <v>16</v>
      </c>
      <c r="C90" s="1">
        <v>2</v>
      </c>
      <c r="D90" s="4">
        <v>138</v>
      </c>
      <c r="E90" s="3">
        <v>3.2689999999999997</v>
      </c>
      <c r="F90" s="1">
        <v>40</v>
      </c>
      <c r="G90" s="1">
        <v>48</v>
      </c>
      <c r="H90" s="1">
        <v>250</v>
      </c>
      <c r="I90" s="1">
        <v>348</v>
      </c>
      <c r="J90" s="1">
        <v>400</v>
      </c>
      <c r="K90" s="1">
        <v>32000</v>
      </c>
      <c r="L90" s="5">
        <v>73.386285342529078</v>
      </c>
      <c r="M90" s="8">
        <v>1.2500000000000001E-2</v>
      </c>
      <c r="N90" s="3">
        <v>23.34</v>
      </c>
      <c r="O90" s="5">
        <v>211.76759699968991</v>
      </c>
      <c r="P90" s="3">
        <v>0.15</v>
      </c>
      <c r="R90" s="12">
        <f t="shared" si="1"/>
        <v>1.0588379849984495E-3</v>
      </c>
    </row>
    <row r="91" spans="1:18" x14ac:dyDescent="0.3">
      <c r="B91" s="1">
        <v>16</v>
      </c>
      <c r="C91" s="1">
        <v>2</v>
      </c>
      <c r="D91" s="4">
        <v>138</v>
      </c>
      <c r="E91" s="3">
        <v>3.2689999999999997</v>
      </c>
      <c r="F91" s="1">
        <v>40</v>
      </c>
      <c r="G91" s="1">
        <v>48</v>
      </c>
      <c r="H91" s="1">
        <v>250</v>
      </c>
      <c r="I91" s="1">
        <v>348</v>
      </c>
      <c r="J91" s="1">
        <v>400</v>
      </c>
      <c r="K91" s="1">
        <v>32000</v>
      </c>
      <c r="L91" s="5">
        <v>73.386285342529078</v>
      </c>
      <c r="M91" s="8">
        <v>1.2500000000000001E-2</v>
      </c>
      <c r="N91" s="3">
        <v>26.26</v>
      </c>
      <c r="O91" s="5">
        <v>238.26122952921415</v>
      </c>
      <c r="P91" s="3">
        <v>0.18</v>
      </c>
      <c r="R91" s="12">
        <f t="shared" si="1"/>
        <v>1.1913061476460708E-3</v>
      </c>
    </row>
    <row r="92" spans="1:18" x14ac:dyDescent="0.3">
      <c r="B92" s="1">
        <v>16</v>
      </c>
      <c r="C92" s="1">
        <v>2</v>
      </c>
      <c r="D92" s="4">
        <v>138</v>
      </c>
      <c r="E92" s="3">
        <v>3.2689999999999997</v>
      </c>
      <c r="F92" s="1">
        <v>40</v>
      </c>
      <c r="G92" s="1">
        <v>48</v>
      </c>
      <c r="H92" s="1">
        <v>250</v>
      </c>
      <c r="I92" s="1">
        <v>348</v>
      </c>
      <c r="J92" s="1">
        <v>400</v>
      </c>
      <c r="K92" s="1">
        <v>32000</v>
      </c>
      <c r="L92" s="5">
        <v>73.386285342529078</v>
      </c>
      <c r="M92" s="8">
        <v>1.2500000000000001E-2</v>
      </c>
      <c r="N92" s="3">
        <v>29.175000000000001</v>
      </c>
      <c r="O92" s="5">
        <v>264.70949624961241</v>
      </c>
      <c r="P92" s="3">
        <v>0.2</v>
      </c>
      <c r="R92" s="12">
        <f t="shared" si="1"/>
        <v>1.323547481248062E-3</v>
      </c>
    </row>
    <row r="93" spans="1:18" x14ac:dyDescent="0.3">
      <c r="B93" s="1">
        <v>16</v>
      </c>
      <c r="C93" s="1">
        <v>2</v>
      </c>
      <c r="D93" s="4">
        <v>138</v>
      </c>
      <c r="E93" s="3">
        <v>3.2689999999999997</v>
      </c>
      <c r="F93" s="1">
        <v>40</v>
      </c>
      <c r="G93" s="1">
        <v>48</v>
      </c>
      <c r="H93" s="1">
        <v>250</v>
      </c>
      <c r="I93" s="1">
        <v>348</v>
      </c>
      <c r="J93" s="1">
        <v>400</v>
      </c>
      <c r="K93" s="1">
        <v>32000</v>
      </c>
      <c r="L93" s="5">
        <v>73.386285342529078</v>
      </c>
      <c r="M93" s="8">
        <v>1.2500000000000001E-2</v>
      </c>
      <c r="N93" s="3">
        <v>32.090000000000003</v>
      </c>
      <c r="O93" s="5">
        <v>291.15776297001077</v>
      </c>
      <c r="P93" s="3">
        <v>0.25</v>
      </c>
      <c r="R93" s="12">
        <f t="shared" si="1"/>
        <v>1.4557888148500539E-3</v>
      </c>
    </row>
    <row r="94" spans="1:18" x14ac:dyDescent="0.3">
      <c r="B94" s="1">
        <v>16</v>
      </c>
      <c r="C94" s="1">
        <v>2</v>
      </c>
      <c r="D94" s="4">
        <v>138</v>
      </c>
      <c r="E94" s="3">
        <v>3.2689999999999997</v>
      </c>
      <c r="F94" s="1">
        <v>40</v>
      </c>
      <c r="G94" s="1">
        <v>48</v>
      </c>
      <c r="H94" s="1">
        <v>250</v>
      </c>
      <c r="I94" s="1">
        <v>348</v>
      </c>
      <c r="J94" s="1">
        <v>400</v>
      </c>
      <c r="K94" s="1">
        <v>32000</v>
      </c>
      <c r="L94" s="5">
        <v>73.386285342529078</v>
      </c>
      <c r="M94" s="8">
        <v>1.2500000000000001E-2</v>
      </c>
      <c r="N94" s="3">
        <v>35.01</v>
      </c>
      <c r="O94" s="5">
        <v>317.65139549953489</v>
      </c>
      <c r="P94" s="3">
        <v>0.3</v>
      </c>
      <c r="R94" s="12">
        <f t="shared" si="1"/>
        <v>1.5882569774976745E-3</v>
      </c>
    </row>
    <row r="95" spans="1:18" x14ac:dyDescent="0.3">
      <c r="B95" s="1">
        <v>16</v>
      </c>
      <c r="C95" s="1">
        <v>2</v>
      </c>
      <c r="D95" s="4">
        <v>138</v>
      </c>
      <c r="E95" s="3">
        <v>3.2689999999999997</v>
      </c>
      <c r="F95" s="1">
        <v>40</v>
      </c>
      <c r="G95" s="1">
        <v>48</v>
      </c>
      <c r="H95" s="1">
        <v>250</v>
      </c>
      <c r="I95" s="1">
        <v>348</v>
      </c>
      <c r="J95" s="1">
        <v>400</v>
      </c>
      <c r="K95" s="1">
        <v>32000</v>
      </c>
      <c r="L95" s="5">
        <v>73.386285342529078</v>
      </c>
      <c r="M95" s="8">
        <v>1.2500000000000001E-2</v>
      </c>
      <c r="N95" s="3">
        <v>37.93</v>
      </c>
      <c r="O95" s="5">
        <v>344.14502802905912</v>
      </c>
      <c r="P95" s="3">
        <v>0.33</v>
      </c>
      <c r="R95" s="12">
        <f t="shared" si="1"/>
        <v>1.7207251401452955E-3</v>
      </c>
    </row>
    <row r="96" spans="1:18" x14ac:dyDescent="0.3">
      <c r="B96" s="1">
        <v>16</v>
      </c>
      <c r="C96" s="1">
        <v>2</v>
      </c>
      <c r="D96" s="4">
        <v>138</v>
      </c>
      <c r="E96" s="3">
        <v>3.2689999999999997</v>
      </c>
      <c r="F96" s="1">
        <v>40</v>
      </c>
      <c r="G96" s="1">
        <v>48</v>
      </c>
      <c r="H96" s="1">
        <v>250</v>
      </c>
      <c r="I96" s="1">
        <v>348</v>
      </c>
      <c r="J96" s="1">
        <v>400</v>
      </c>
      <c r="K96" s="1">
        <v>32000</v>
      </c>
      <c r="L96" s="5">
        <v>73.386285342529078</v>
      </c>
      <c r="M96" s="8">
        <v>1.2500000000000001E-2</v>
      </c>
      <c r="N96" s="3">
        <v>40.840000000000003</v>
      </c>
      <c r="O96" s="5">
        <v>370.54792894033159</v>
      </c>
      <c r="P96" s="3">
        <v>0.38</v>
      </c>
      <c r="R96" s="12">
        <f t="shared" si="1"/>
        <v>1.8527396447016579E-3</v>
      </c>
    </row>
    <row r="97" spans="1:18" x14ac:dyDescent="0.3">
      <c r="A97" t="s">
        <v>27</v>
      </c>
      <c r="B97" s="1">
        <v>16</v>
      </c>
      <c r="C97" s="1">
        <v>2</v>
      </c>
      <c r="D97" s="4">
        <v>168</v>
      </c>
      <c r="E97" s="3">
        <v>3.2689999999999997</v>
      </c>
      <c r="F97" s="1">
        <v>25</v>
      </c>
      <c r="G97" s="1">
        <v>33</v>
      </c>
      <c r="H97" s="1">
        <v>250</v>
      </c>
      <c r="I97" s="1">
        <v>333</v>
      </c>
      <c r="J97" s="1">
        <v>400</v>
      </c>
      <c r="K97" s="1">
        <v>12769</v>
      </c>
      <c r="L97" s="5">
        <v>73.386285342529078</v>
      </c>
      <c r="M97" s="8">
        <v>1.5746098349890107E-2</v>
      </c>
      <c r="N97" s="3">
        <v>23.34</v>
      </c>
      <c r="O97" s="5">
        <v>211.76759699968994</v>
      </c>
      <c r="P97" s="3">
        <v>0.15</v>
      </c>
      <c r="R97" s="12">
        <f t="shared" si="1"/>
        <v>1.0588379849984497E-3</v>
      </c>
    </row>
    <row r="98" spans="1:18" x14ac:dyDescent="0.3">
      <c r="B98" s="1">
        <v>16</v>
      </c>
      <c r="C98" s="1">
        <v>2</v>
      </c>
      <c r="D98" s="4">
        <v>168</v>
      </c>
      <c r="E98" s="3">
        <v>3.2689999999999997</v>
      </c>
      <c r="F98" s="1">
        <v>25</v>
      </c>
      <c r="G98" s="1">
        <v>33</v>
      </c>
      <c r="H98" s="1">
        <v>250</v>
      </c>
      <c r="I98" s="1">
        <v>333</v>
      </c>
      <c r="J98" s="1">
        <v>400</v>
      </c>
      <c r="K98" s="1">
        <v>12769</v>
      </c>
      <c r="L98" s="5">
        <v>73.386285342529078</v>
      </c>
      <c r="M98" s="8">
        <v>1.5746098349890107E-2</v>
      </c>
      <c r="N98" s="3">
        <v>26.26</v>
      </c>
      <c r="O98" s="5">
        <v>238.26122952921412</v>
      </c>
      <c r="P98" s="3">
        <v>0.18</v>
      </c>
      <c r="R98" s="12">
        <f t="shared" si="1"/>
        <v>1.1913061476460705E-3</v>
      </c>
    </row>
    <row r="99" spans="1:18" x14ac:dyDescent="0.3">
      <c r="B99" s="1">
        <v>16</v>
      </c>
      <c r="C99" s="1">
        <v>2</v>
      </c>
      <c r="D99" s="4">
        <v>168</v>
      </c>
      <c r="E99" s="3">
        <v>3.2689999999999997</v>
      </c>
      <c r="F99" s="1">
        <v>25</v>
      </c>
      <c r="G99" s="1">
        <v>33</v>
      </c>
      <c r="H99" s="1">
        <v>250</v>
      </c>
      <c r="I99" s="1">
        <v>333</v>
      </c>
      <c r="J99" s="1">
        <v>400</v>
      </c>
      <c r="K99" s="1">
        <v>12769</v>
      </c>
      <c r="L99" s="5">
        <v>73.386285342529078</v>
      </c>
      <c r="M99" s="8">
        <v>1.5746098349890107E-2</v>
      </c>
      <c r="N99" s="3">
        <v>29.175000000000001</v>
      </c>
      <c r="O99" s="5">
        <v>264.70949624961241</v>
      </c>
      <c r="P99" s="3">
        <v>0.2</v>
      </c>
      <c r="R99" s="12">
        <f t="shared" si="1"/>
        <v>1.323547481248062E-3</v>
      </c>
    </row>
    <row r="100" spans="1:18" x14ac:dyDescent="0.3">
      <c r="B100" s="1">
        <v>16</v>
      </c>
      <c r="C100" s="1">
        <v>2</v>
      </c>
      <c r="D100" s="4">
        <v>168</v>
      </c>
      <c r="E100" s="3">
        <v>3.2689999999999997</v>
      </c>
      <c r="F100" s="1">
        <v>25</v>
      </c>
      <c r="G100" s="1">
        <v>33</v>
      </c>
      <c r="H100" s="1">
        <v>250</v>
      </c>
      <c r="I100" s="1">
        <v>333</v>
      </c>
      <c r="J100" s="1">
        <v>400</v>
      </c>
      <c r="K100" s="1">
        <v>12769</v>
      </c>
      <c r="L100" s="5">
        <v>73.386285342529078</v>
      </c>
      <c r="M100" s="8">
        <v>1.5746098349890107E-2</v>
      </c>
      <c r="N100" s="3">
        <v>32.090000000000003</v>
      </c>
      <c r="O100" s="5">
        <v>291.15776297001071</v>
      </c>
      <c r="P100" s="3">
        <v>0.23</v>
      </c>
      <c r="R100" s="12">
        <f t="shared" si="1"/>
        <v>1.4557888148500535E-3</v>
      </c>
    </row>
    <row r="101" spans="1:18" x14ac:dyDescent="0.3">
      <c r="B101" s="1">
        <v>16</v>
      </c>
      <c r="C101" s="1">
        <v>2</v>
      </c>
      <c r="D101" s="4">
        <v>168</v>
      </c>
      <c r="E101" s="3">
        <v>3.2689999999999997</v>
      </c>
      <c r="F101" s="1">
        <v>25</v>
      </c>
      <c r="G101" s="1">
        <v>33</v>
      </c>
      <c r="H101" s="1">
        <v>250</v>
      </c>
      <c r="I101" s="1">
        <v>333</v>
      </c>
      <c r="J101" s="1">
        <v>400</v>
      </c>
      <c r="K101" s="1">
        <v>12769</v>
      </c>
      <c r="L101" s="5">
        <v>73.386285342529078</v>
      </c>
      <c r="M101" s="8">
        <v>1.5746098349890107E-2</v>
      </c>
      <c r="N101" s="3">
        <v>35.01</v>
      </c>
      <c r="O101" s="5">
        <v>317.65139549953489</v>
      </c>
      <c r="P101" s="3">
        <v>0.25</v>
      </c>
      <c r="R101" s="12">
        <f t="shared" si="1"/>
        <v>1.5882569774976745E-3</v>
      </c>
    </row>
    <row r="102" spans="1:18" x14ac:dyDescent="0.3">
      <c r="B102" s="1">
        <v>16</v>
      </c>
      <c r="C102" s="1">
        <v>2</v>
      </c>
      <c r="D102" s="4">
        <v>168</v>
      </c>
      <c r="E102" s="3">
        <v>3.2689999999999997</v>
      </c>
      <c r="F102" s="1">
        <v>25</v>
      </c>
      <c r="G102" s="1">
        <v>33</v>
      </c>
      <c r="H102" s="1">
        <v>250</v>
      </c>
      <c r="I102" s="1">
        <v>333</v>
      </c>
      <c r="J102" s="1">
        <v>400</v>
      </c>
      <c r="K102" s="1">
        <v>12769</v>
      </c>
      <c r="L102" s="5">
        <v>73.386285342529078</v>
      </c>
      <c r="M102" s="8">
        <v>1.5746098349890107E-2</v>
      </c>
      <c r="N102" s="3">
        <v>37.93</v>
      </c>
      <c r="O102" s="5">
        <v>344.14502802905906</v>
      </c>
      <c r="P102" s="3">
        <v>0.3</v>
      </c>
      <c r="R102" s="12">
        <f t="shared" si="1"/>
        <v>1.7207251401452953E-3</v>
      </c>
    </row>
    <row r="103" spans="1:18" x14ac:dyDescent="0.3">
      <c r="B103" s="1">
        <v>16</v>
      </c>
      <c r="C103" s="1">
        <v>2</v>
      </c>
      <c r="D103" s="4">
        <v>168</v>
      </c>
      <c r="E103" s="3">
        <v>3.2689999999999997</v>
      </c>
      <c r="F103" s="1">
        <v>25</v>
      </c>
      <c r="G103" s="1">
        <v>33</v>
      </c>
      <c r="H103" s="1">
        <v>250</v>
      </c>
      <c r="I103" s="1">
        <v>333</v>
      </c>
      <c r="J103" s="1">
        <v>400</v>
      </c>
      <c r="K103" s="1">
        <v>12769</v>
      </c>
      <c r="L103" s="5">
        <v>73.386285342529078</v>
      </c>
      <c r="M103" s="8">
        <v>1.5746098349890107E-2</v>
      </c>
      <c r="N103" s="3">
        <v>40.840000000000003</v>
      </c>
      <c r="O103" s="5">
        <v>370.54792894033153</v>
      </c>
      <c r="P103" s="3">
        <v>0.3</v>
      </c>
      <c r="R103" s="12">
        <f t="shared" si="1"/>
        <v>1.8527396447016577E-3</v>
      </c>
    </row>
    <row r="104" spans="1:18" x14ac:dyDescent="0.3">
      <c r="A104" t="s">
        <v>28</v>
      </c>
      <c r="B104" s="1">
        <v>16</v>
      </c>
      <c r="C104" s="1">
        <v>2</v>
      </c>
      <c r="D104" s="4">
        <v>168</v>
      </c>
      <c r="E104" s="3">
        <v>3.2689999999999997</v>
      </c>
      <c r="F104" s="1">
        <v>25</v>
      </c>
      <c r="G104" s="1">
        <v>33</v>
      </c>
      <c r="H104" s="1">
        <v>250</v>
      </c>
      <c r="I104" s="1">
        <v>333</v>
      </c>
      <c r="J104" s="1">
        <v>400</v>
      </c>
      <c r="K104" s="1">
        <v>12769</v>
      </c>
      <c r="L104" s="5">
        <v>73.386285342529078</v>
      </c>
      <c r="M104" s="8">
        <v>1.5746098349890107E-2</v>
      </c>
      <c r="N104" s="3">
        <v>20.420000000000002</v>
      </c>
      <c r="O104" s="5">
        <v>185.27396447016577</v>
      </c>
      <c r="P104" s="3">
        <v>0.15</v>
      </c>
      <c r="R104" s="12">
        <f t="shared" si="1"/>
        <v>9.2636982235082884E-4</v>
      </c>
    </row>
    <row r="105" spans="1:18" x14ac:dyDescent="0.3">
      <c r="B105" s="1">
        <v>16</v>
      </c>
      <c r="C105" s="1">
        <v>2</v>
      </c>
      <c r="D105" s="4">
        <v>168</v>
      </c>
      <c r="E105" s="3">
        <v>3.2689999999999997</v>
      </c>
      <c r="F105" s="1">
        <v>25</v>
      </c>
      <c r="G105" s="1">
        <v>33</v>
      </c>
      <c r="H105" s="1">
        <v>250</v>
      </c>
      <c r="I105" s="1">
        <v>333</v>
      </c>
      <c r="J105" s="1">
        <v>400</v>
      </c>
      <c r="K105" s="1">
        <v>12769</v>
      </c>
      <c r="L105" s="5">
        <v>73.386285342529078</v>
      </c>
      <c r="M105" s="8">
        <v>1.5746098349890107E-2</v>
      </c>
      <c r="N105" s="3">
        <v>23.34</v>
      </c>
      <c r="O105" s="5">
        <v>211.76759699968994</v>
      </c>
      <c r="P105" s="3">
        <v>0.18</v>
      </c>
      <c r="R105" s="12">
        <f t="shared" si="1"/>
        <v>1.0588379849984497E-3</v>
      </c>
    </row>
    <row r="106" spans="1:18" x14ac:dyDescent="0.3">
      <c r="B106" s="1">
        <v>16</v>
      </c>
      <c r="C106" s="1">
        <v>2</v>
      </c>
      <c r="D106" s="4">
        <v>168</v>
      </c>
      <c r="E106" s="3">
        <v>3.2689999999999997</v>
      </c>
      <c r="F106" s="1">
        <v>25</v>
      </c>
      <c r="G106" s="1">
        <v>33</v>
      </c>
      <c r="H106" s="1">
        <v>250</v>
      </c>
      <c r="I106" s="1">
        <v>333</v>
      </c>
      <c r="J106" s="1">
        <v>400</v>
      </c>
      <c r="K106" s="1">
        <v>12769</v>
      </c>
      <c r="L106" s="5">
        <v>73.386285342529078</v>
      </c>
      <c r="M106" s="8">
        <v>1.5746098349890107E-2</v>
      </c>
      <c r="N106" s="3">
        <v>26.26</v>
      </c>
      <c r="O106" s="5">
        <v>238.26122952921412</v>
      </c>
      <c r="P106" s="3">
        <v>0.18</v>
      </c>
      <c r="R106" s="12">
        <f t="shared" si="1"/>
        <v>1.1913061476460705E-3</v>
      </c>
    </row>
    <row r="107" spans="1:18" x14ac:dyDescent="0.3">
      <c r="B107" s="1">
        <v>16</v>
      </c>
      <c r="C107" s="1">
        <v>2</v>
      </c>
      <c r="D107" s="4">
        <v>168</v>
      </c>
      <c r="E107" s="3">
        <v>3.2689999999999997</v>
      </c>
      <c r="F107" s="1">
        <v>25</v>
      </c>
      <c r="G107" s="1">
        <v>33</v>
      </c>
      <c r="H107" s="1">
        <v>250</v>
      </c>
      <c r="I107" s="1">
        <v>333</v>
      </c>
      <c r="J107" s="1">
        <v>400</v>
      </c>
      <c r="K107" s="1">
        <v>12769</v>
      </c>
      <c r="L107" s="5">
        <v>73.386285342529078</v>
      </c>
      <c r="M107" s="8">
        <v>1.5746098349890107E-2</v>
      </c>
      <c r="N107" s="3">
        <v>29.175000000000001</v>
      </c>
      <c r="O107" s="5">
        <v>264.70949624961241</v>
      </c>
      <c r="P107" s="3">
        <v>0.25</v>
      </c>
      <c r="R107" s="12">
        <f t="shared" si="1"/>
        <v>1.323547481248062E-3</v>
      </c>
    </row>
    <row r="108" spans="1:18" x14ac:dyDescent="0.3">
      <c r="B108" s="1">
        <v>16</v>
      </c>
      <c r="C108" s="1">
        <v>2</v>
      </c>
      <c r="D108" s="4">
        <v>168</v>
      </c>
      <c r="E108" s="3">
        <v>3.2689999999999997</v>
      </c>
      <c r="F108" s="1">
        <v>25</v>
      </c>
      <c r="G108" s="1">
        <v>33</v>
      </c>
      <c r="H108" s="1">
        <v>250</v>
      </c>
      <c r="I108" s="1">
        <v>333</v>
      </c>
      <c r="J108" s="1">
        <v>400</v>
      </c>
      <c r="K108" s="1">
        <v>12769</v>
      </c>
      <c r="L108" s="5">
        <v>73.386285342529078</v>
      </c>
      <c r="M108" s="8">
        <v>1.5746098349890107E-2</v>
      </c>
      <c r="N108" s="3">
        <v>32.090000000000003</v>
      </c>
      <c r="O108" s="5">
        <v>291.15776297001071</v>
      </c>
      <c r="P108" s="3">
        <v>0.28000000000000003</v>
      </c>
      <c r="R108" s="12">
        <f t="shared" si="1"/>
        <v>1.4557888148500535E-3</v>
      </c>
    </row>
    <row r="109" spans="1:18" x14ac:dyDescent="0.3">
      <c r="B109" s="1">
        <v>16</v>
      </c>
      <c r="C109" s="1">
        <v>2</v>
      </c>
      <c r="D109" s="4">
        <v>168</v>
      </c>
      <c r="E109" s="3">
        <v>3.2689999999999997</v>
      </c>
      <c r="F109" s="1">
        <v>25</v>
      </c>
      <c r="G109" s="1">
        <v>33</v>
      </c>
      <c r="H109" s="1">
        <v>250</v>
      </c>
      <c r="I109" s="1">
        <v>333</v>
      </c>
      <c r="J109" s="1">
        <v>400</v>
      </c>
      <c r="K109" s="1">
        <v>12769</v>
      </c>
      <c r="L109" s="5">
        <v>73.386285342529078</v>
      </c>
      <c r="M109" s="8">
        <v>1.5746098349890107E-2</v>
      </c>
      <c r="N109" s="3">
        <v>35.01</v>
      </c>
      <c r="O109" s="5">
        <v>317.65139549953489</v>
      </c>
      <c r="P109" s="3">
        <v>0.33</v>
      </c>
      <c r="R109" s="12">
        <f t="shared" si="1"/>
        <v>1.5882569774976745E-3</v>
      </c>
    </row>
    <row r="110" spans="1:18" x14ac:dyDescent="0.3">
      <c r="B110" s="1">
        <v>16</v>
      </c>
      <c r="C110" s="1">
        <v>2</v>
      </c>
      <c r="D110" s="4">
        <v>168</v>
      </c>
      <c r="E110" s="3">
        <v>3.2689999999999997</v>
      </c>
      <c r="F110" s="1">
        <v>25</v>
      </c>
      <c r="G110" s="1">
        <v>33</v>
      </c>
      <c r="H110" s="1">
        <v>250</v>
      </c>
      <c r="I110" s="1">
        <v>333</v>
      </c>
      <c r="J110" s="1">
        <v>400</v>
      </c>
      <c r="K110" s="1">
        <v>12769</v>
      </c>
      <c r="L110" s="5">
        <v>73.386285342529078</v>
      </c>
      <c r="M110" s="8">
        <v>1.5746098349890107E-2</v>
      </c>
      <c r="N110" s="3">
        <v>37.93</v>
      </c>
      <c r="O110" s="5">
        <v>344.14502802905906</v>
      </c>
      <c r="P110" s="3">
        <v>0.38</v>
      </c>
      <c r="R110" s="12">
        <f t="shared" si="1"/>
        <v>1.7207251401452953E-3</v>
      </c>
    </row>
    <row r="111" spans="1:18" x14ac:dyDescent="0.3">
      <c r="B111" s="1">
        <v>16</v>
      </c>
      <c r="C111" s="1">
        <v>2</v>
      </c>
      <c r="D111" s="4">
        <v>168</v>
      </c>
      <c r="E111" s="3">
        <v>3.2689999999999997</v>
      </c>
      <c r="F111" s="1">
        <v>25</v>
      </c>
      <c r="G111" s="1">
        <v>33</v>
      </c>
      <c r="H111" s="1">
        <v>250</v>
      </c>
      <c r="I111" s="1">
        <v>333</v>
      </c>
      <c r="J111" s="1">
        <v>400</v>
      </c>
      <c r="K111" s="1">
        <v>12769</v>
      </c>
      <c r="L111" s="5">
        <v>73.386285342529078</v>
      </c>
      <c r="M111" s="8">
        <v>1.5746098349890107E-2</v>
      </c>
      <c r="N111" s="3">
        <v>40.840000000000003</v>
      </c>
      <c r="O111" s="5">
        <v>370.54792894033153</v>
      </c>
      <c r="P111" s="3">
        <v>0.43</v>
      </c>
      <c r="R111" s="12">
        <f t="shared" si="1"/>
        <v>1.8527396447016577E-3</v>
      </c>
    </row>
    <row r="112" spans="1:18" x14ac:dyDescent="0.3">
      <c r="A112" t="s">
        <v>29</v>
      </c>
      <c r="B112" s="1">
        <v>16</v>
      </c>
      <c r="C112" s="1">
        <v>3</v>
      </c>
      <c r="D112" s="4">
        <v>76</v>
      </c>
      <c r="E112" s="3">
        <v>3.2689999999999997</v>
      </c>
      <c r="F112" s="1">
        <v>25</v>
      </c>
      <c r="G112" s="1">
        <v>33</v>
      </c>
      <c r="H112" s="1">
        <v>250</v>
      </c>
      <c r="I112" s="1">
        <v>333</v>
      </c>
      <c r="J112" s="1">
        <v>600</v>
      </c>
      <c r="K112" s="1">
        <v>28250</v>
      </c>
      <c r="L112" s="5">
        <v>87.114505405349817</v>
      </c>
      <c r="M112" s="8">
        <v>2.1238938053097345E-2</v>
      </c>
      <c r="N112" s="3">
        <v>37.93</v>
      </c>
      <c r="O112" s="5">
        <v>233.30469206437246</v>
      </c>
      <c r="P112" s="3">
        <v>0.15</v>
      </c>
      <c r="R112" s="12">
        <f t="shared" si="1"/>
        <v>1.1665234603218623E-3</v>
      </c>
    </row>
    <row r="113" spans="1:18" x14ac:dyDescent="0.3">
      <c r="B113" s="1">
        <v>16</v>
      </c>
      <c r="C113" s="1">
        <v>3</v>
      </c>
      <c r="D113" s="4">
        <v>76</v>
      </c>
      <c r="E113" s="3">
        <v>3.2689999999999997</v>
      </c>
      <c r="F113" s="1">
        <v>25</v>
      </c>
      <c r="G113" s="1">
        <v>33</v>
      </c>
      <c r="H113" s="1">
        <v>250</v>
      </c>
      <c r="I113" s="1">
        <v>333</v>
      </c>
      <c r="J113" s="1">
        <v>600</v>
      </c>
      <c r="K113" s="1">
        <v>28250</v>
      </c>
      <c r="L113" s="5">
        <v>87.114505405349817</v>
      </c>
      <c r="M113" s="8">
        <v>2.1238938053097345E-2</v>
      </c>
      <c r="N113" s="3">
        <v>40.840000000000003</v>
      </c>
      <c r="O113" s="5">
        <v>251.20389200920044</v>
      </c>
      <c r="P113" s="3">
        <v>0.18</v>
      </c>
      <c r="R113" s="12">
        <f t="shared" si="1"/>
        <v>1.2560194600460023E-3</v>
      </c>
    </row>
    <row r="114" spans="1:18" x14ac:dyDescent="0.3">
      <c r="B114" s="1">
        <v>16</v>
      </c>
      <c r="C114" s="1">
        <v>3</v>
      </c>
      <c r="D114" s="4">
        <v>76</v>
      </c>
      <c r="E114" s="3">
        <v>3.2689999999999997</v>
      </c>
      <c r="F114" s="1">
        <v>25</v>
      </c>
      <c r="G114" s="1">
        <v>33</v>
      </c>
      <c r="H114" s="1">
        <v>250</v>
      </c>
      <c r="I114" s="1">
        <v>333</v>
      </c>
      <c r="J114" s="1">
        <v>600</v>
      </c>
      <c r="K114" s="1">
        <v>28250</v>
      </c>
      <c r="L114" s="5">
        <v>87.114505405349817</v>
      </c>
      <c r="M114" s="8">
        <v>2.1238938053097345E-2</v>
      </c>
      <c r="N114" s="3">
        <v>43.76</v>
      </c>
      <c r="O114" s="5">
        <v>269.16460123218928</v>
      </c>
      <c r="P114" s="3">
        <v>0.18</v>
      </c>
      <c r="R114" s="12">
        <f t="shared" si="1"/>
        <v>1.3458230061609464E-3</v>
      </c>
    </row>
    <row r="115" spans="1:18" x14ac:dyDescent="0.3">
      <c r="B115" s="1">
        <v>16</v>
      </c>
      <c r="C115" s="1">
        <v>3</v>
      </c>
      <c r="D115" s="4">
        <v>76</v>
      </c>
      <c r="E115" s="3">
        <v>3.2689999999999997</v>
      </c>
      <c r="F115" s="1">
        <v>25</v>
      </c>
      <c r="G115" s="1">
        <v>33</v>
      </c>
      <c r="H115" s="1">
        <v>250</v>
      </c>
      <c r="I115" s="1">
        <v>333</v>
      </c>
      <c r="J115" s="1">
        <v>600</v>
      </c>
      <c r="K115" s="1">
        <v>28250</v>
      </c>
      <c r="L115" s="5">
        <v>87.114505405349817</v>
      </c>
      <c r="M115" s="8">
        <v>2.1238938053097345E-2</v>
      </c>
      <c r="N115" s="3">
        <v>46.68</v>
      </c>
      <c r="O115" s="5">
        <v>287.12531045517812</v>
      </c>
      <c r="P115" s="3">
        <v>0.2</v>
      </c>
      <c r="R115" s="12">
        <f t="shared" si="1"/>
        <v>1.4356265522758906E-3</v>
      </c>
    </row>
    <row r="116" spans="1:18" x14ac:dyDescent="0.3">
      <c r="B116" s="1">
        <v>16</v>
      </c>
      <c r="C116" s="1">
        <v>3</v>
      </c>
      <c r="D116" s="4">
        <v>76</v>
      </c>
      <c r="E116" s="3">
        <v>3.2689999999999997</v>
      </c>
      <c r="F116" s="1">
        <v>25</v>
      </c>
      <c r="G116" s="1">
        <v>33</v>
      </c>
      <c r="H116" s="1">
        <v>250</v>
      </c>
      <c r="I116" s="1">
        <v>333</v>
      </c>
      <c r="J116" s="1">
        <v>600</v>
      </c>
      <c r="K116" s="1">
        <v>28250</v>
      </c>
      <c r="L116" s="5">
        <v>87.114505405349817</v>
      </c>
      <c r="M116" s="8">
        <v>2.1238938053097345E-2</v>
      </c>
      <c r="N116" s="3">
        <v>49.6</v>
      </c>
      <c r="O116" s="5">
        <v>305.08601967816708</v>
      </c>
      <c r="P116" s="3">
        <v>0.2</v>
      </c>
      <c r="R116" s="12">
        <f t="shared" si="1"/>
        <v>1.5254300983908353E-3</v>
      </c>
    </row>
    <row r="117" spans="1:18" x14ac:dyDescent="0.3">
      <c r="A117" t="s">
        <v>30</v>
      </c>
      <c r="B117" s="1">
        <v>16</v>
      </c>
      <c r="C117" s="1">
        <v>3</v>
      </c>
      <c r="D117" s="4">
        <v>76</v>
      </c>
      <c r="E117" s="3">
        <v>3.2689999999999997</v>
      </c>
      <c r="F117" s="1">
        <v>25</v>
      </c>
      <c r="G117" s="1">
        <v>33</v>
      </c>
      <c r="H117" s="1">
        <v>250</v>
      </c>
      <c r="I117" s="1">
        <v>333</v>
      </c>
      <c r="J117" s="1">
        <v>600</v>
      </c>
      <c r="K117" s="1">
        <v>28250</v>
      </c>
      <c r="L117" s="5">
        <v>87.114505405349817</v>
      </c>
      <c r="M117" s="8">
        <v>2.1238938053097345E-2</v>
      </c>
      <c r="N117" s="3">
        <v>40.840000000000003</v>
      </c>
      <c r="O117" s="5">
        <v>251.20389200920044</v>
      </c>
      <c r="P117" s="3">
        <v>0.15</v>
      </c>
      <c r="R117" s="12">
        <f t="shared" si="1"/>
        <v>1.2560194600460023E-3</v>
      </c>
    </row>
    <row r="118" spans="1:18" x14ac:dyDescent="0.3">
      <c r="B118" s="1">
        <v>16</v>
      </c>
      <c r="C118" s="1">
        <v>3</v>
      </c>
      <c r="D118" s="4">
        <v>76</v>
      </c>
      <c r="E118" s="3">
        <v>3.2689999999999997</v>
      </c>
      <c r="F118" s="1">
        <v>25</v>
      </c>
      <c r="G118" s="1">
        <v>33</v>
      </c>
      <c r="H118" s="1">
        <v>250</v>
      </c>
      <c r="I118" s="1">
        <v>333</v>
      </c>
      <c r="J118" s="1">
        <v>600</v>
      </c>
      <c r="K118" s="1">
        <v>28250</v>
      </c>
      <c r="L118" s="5">
        <v>87.114505405349817</v>
      </c>
      <c r="M118" s="8">
        <v>2.1238938053097345E-2</v>
      </c>
      <c r="N118" s="3">
        <v>43.76</v>
      </c>
      <c r="O118" s="5">
        <v>269.16460123218928</v>
      </c>
      <c r="P118" s="3">
        <v>0.18</v>
      </c>
      <c r="R118" s="12">
        <f t="shared" si="1"/>
        <v>1.3458230061609464E-3</v>
      </c>
    </row>
    <row r="119" spans="1:18" x14ac:dyDescent="0.3">
      <c r="B119" s="1">
        <v>16</v>
      </c>
      <c r="C119" s="1">
        <v>3</v>
      </c>
      <c r="D119" s="4">
        <v>76</v>
      </c>
      <c r="E119" s="3">
        <v>3.2689999999999997</v>
      </c>
      <c r="F119" s="1">
        <v>25</v>
      </c>
      <c r="G119" s="1">
        <v>33</v>
      </c>
      <c r="H119" s="1">
        <v>250</v>
      </c>
      <c r="I119" s="1">
        <v>333</v>
      </c>
      <c r="J119" s="1">
        <v>600</v>
      </c>
      <c r="K119" s="1">
        <v>28250</v>
      </c>
      <c r="L119" s="5">
        <v>87.114505405349817</v>
      </c>
      <c r="M119" s="8">
        <v>2.1238938053097345E-2</v>
      </c>
      <c r="N119" s="3">
        <v>46.68</v>
      </c>
      <c r="O119" s="5">
        <v>287.12531045517812</v>
      </c>
      <c r="P119" s="3">
        <v>0.2</v>
      </c>
      <c r="R119" s="12">
        <f t="shared" si="1"/>
        <v>1.4356265522758906E-3</v>
      </c>
    </row>
    <row r="120" spans="1:18" x14ac:dyDescent="0.3">
      <c r="B120" s="1">
        <v>16</v>
      </c>
      <c r="C120" s="1">
        <v>3</v>
      </c>
      <c r="D120" s="4">
        <v>76</v>
      </c>
      <c r="E120" s="3">
        <v>3.2689999999999997</v>
      </c>
      <c r="F120" s="1">
        <v>25</v>
      </c>
      <c r="G120" s="1">
        <v>33</v>
      </c>
      <c r="H120" s="1">
        <v>250</v>
      </c>
      <c r="I120" s="1">
        <v>333</v>
      </c>
      <c r="J120" s="1">
        <v>600</v>
      </c>
      <c r="K120" s="1">
        <v>28250</v>
      </c>
      <c r="L120" s="5">
        <v>87.114505405349817</v>
      </c>
      <c r="M120" s="8">
        <v>2.1238938053097345E-2</v>
      </c>
      <c r="N120" s="3">
        <v>49.6</v>
      </c>
      <c r="O120" s="5">
        <v>305.08601967816708</v>
      </c>
      <c r="P120" s="3">
        <v>0.2</v>
      </c>
      <c r="R120" s="12">
        <f t="shared" si="1"/>
        <v>1.5254300983908353E-3</v>
      </c>
    </row>
    <row r="121" spans="1:18" x14ac:dyDescent="0.3">
      <c r="A121" t="s">
        <v>31</v>
      </c>
      <c r="B121" s="1">
        <v>12</v>
      </c>
      <c r="C121" s="1">
        <v>2</v>
      </c>
      <c r="D121" s="4">
        <v>296</v>
      </c>
      <c r="E121" s="3">
        <v>3.2689999999999997</v>
      </c>
      <c r="F121" s="1">
        <v>25</v>
      </c>
      <c r="G121" s="1">
        <v>31</v>
      </c>
      <c r="H121" s="1">
        <v>400</v>
      </c>
      <c r="I121" s="1">
        <v>161</v>
      </c>
      <c r="J121" s="1">
        <v>220</v>
      </c>
      <c r="K121" s="1">
        <v>9646</v>
      </c>
      <c r="L121" s="5">
        <v>28.758860606294373</v>
      </c>
      <c r="M121" s="8">
        <v>1.1724791159986788E-2</v>
      </c>
      <c r="N121" s="3">
        <v>4.67</v>
      </c>
      <c r="O121" s="5">
        <v>176.28617352026819</v>
      </c>
      <c r="P121" s="3">
        <v>0.2</v>
      </c>
      <c r="R121" s="12">
        <f t="shared" si="1"/>
        <v>8.8143086760134092E-4</v>
      </c>
    </row>
    <row r="122" spans="1:18" x14ac:dyDescent="0.3">
      <c r="B122" s="1">
        <v>12</v>
      </c>
      <c r="C122" s="1">
        <v>2</v>
      </c>
      <c r="D122" s="4">
        <v>296</v>
      </c>
      <c r="E122" s="3">
        <v>3.2689999999999997</v>
      </c>
      <c r="F122" s="1">
        <v>25</v>
      </c>
      <c r="G122" s="1">
        <v>31</v>
      </c>
      <c r="H122" s="1">
        <v>400</v>
      </c>
      <c r="I122" s="1">
        <v>161</v>
      </c>
      <c r="J122" s="1">
        <v>220</v>
      </c>
      <c r="K122" s="1">
        <v>9646</v>
      </c>
      <c r="L122" s="5">
        <v>28.758860606294373</v>
      </c>
      <c r="M122" s="8">
        <v>1.1724791159986788E-2</v>
      </c>
      <c r="N122" s="3">
        <v>6.42</v>
      </c>
      <c r="O122" s="5">
        <v>242.34630278375195</v>
      </c>
      <c r="P122" s="3">
        <v>0.25</v>
      </c>
      <c r="R122" s="12">
        <f t="shared" si="1"/>
        <v>1.2117315139187597E-3</v>
      </c>
    </row>
    <row r="123" spans="1:18" x14ac:dyDescent="0.3">
      <c r="B123" s="1">
        <v>12</v>
      </c>
      <c r="C123" s="1">
        <v>2</v>
      </c>
      <c r="D123" s="4">
        <v>296</v>
      </c>
      <c r="E123" s="3">
        <v>3.2689999999999997</v>
      </c>
      <c r="F123" s="1">
        <v>25</v>
      </c>
      <c r="G123" s="1">
        <v>31</v>
      </c>
      <c r="H123" s="1">
        <v>400</v>
      </c>
      <c r="I123" s="1">
        <v>161</v>
      </c>
      <c r="J123" s="1">
        <v>220</v>
      </c>
      <c r="K123" s="1">
        <v>9646</v>
      </c>
      <c r="L123" s="5">
        <v>28.758860606294373</v>
      </c>
      <c r="M123" s="8">
        <v>1.1724791159986788E-2</v>
      </c>
      <c r="N123" s="3">
        <v>8.17</v>
      </c>
      <c r="O123" s="5">
        <v>308.4064320472358</v>
      </c>
      <c r="P123" s="3">
        <v>0.33</v>
      </c>
      <c r="R123" s="12">
        <f t="shared" si="1"/>
        <v>1.542032160236179E-3</v>
      </c>
    </row>
    <row r="124" spans="1:18" x14ac:dyDescent="0.3">
      <c r="A124" t="s">
        <v>32</v>
      </c>
      <c r="B124" s="1">
        <v>12</v>
      </c>
      <c r="C124" s="1">
        <v>2</v>
      </c>
      <c r="D124" s="4">
        <v>296</v>
      </c>
      <c r="E124" s="3">
        <v>3.2689999999999997</v>
      </c>
      <c r="F124" s="1">
        <v>25</v>
      </c>
      <c r="G124" s="1">
        <v>31</v>
      </c>
      <c r="H124" s="1">
        <v>400</v>
      </c>
      <c r="I124" s="1">
        <v>161</v>
      </c>
      <c r="J124" s="1">
        <v>220</v>
      </c>
      <c r="K124" s="1">
        <v>9646</v>
      </c>
      <c r="L124" s="5">
        <v>28.758860606294373</v>
      </c>
      <c r="M124" s="8">
        <v>1.1724791159986788E-2</v>
      </c>
      <c r="N124" s="3">
        <v>6.42</v>
      </c>
      <c r="O124" s="5">
        <v>242.34630278375195</v>
      </c>
      <c r="P124" s="3">
        <v>0.23</v>
      </c>
      <c r="R124" s="12">
        <f t="shared" si="1"/>
        <v>1.2117315139187597E-3</v>
      </c>
    </row>
    <row r="125" spans="1:18" x14ac:dyDescent="0.3">
      <c r="B125" s="1">
        <v>12</v>
      </c>
      <c r="C125" s="1">
        <v>2</v>
      </c>
      <c r="D125" s="4">
        <v>296</v>
      </c>
      <c r="E125" s="3">
        <v>3.2689999999999997</v>
      </c>
      <c r="F125" s="1">
        <v>25</v>
      </c>
      <c r="G125" s="1">
        <v>31</v>
      </c>
      <c r="H125" s="1">
        <v>400</v>
      </c>
      <c r="I125" s="1">
        <v>161</v>
      </c>
      <c r="J125" s="1">
        <v>220</v>
      </c>
      <c r="K125" s="1">
        <v>9646</v>
      </c>
      <c r="L125" s="5">
        <v>28.758860606294373</v>
      </c>
      <c r="M125" s="8">
        <v>1.1724791159986788E-2</v>
      </c>
      <c r="N125" s="3">
        <v>8.17</v>
      </c>
      <c r="O125" s="5">
        <v>308.4064320472358</v>
      </c>
      <c r="P125" s="3">
        <v>0.28000000000000003</v>
      </c>
      <c r="R125" s="12">
        <f t="shared" si="1"/>
        <v>1.542032160236179E-3</v>
      </c>
    </row>
    <row r="126" spans="1:18" x14ac:dyDescent="0.3">
      <c r="A126" t="s">
        <v>33</v>
      </c>
      <c r="B126" s="1">
        <v>12</v>
      </c>
      <c r="C126" s="1">
        <v>3</v>
      </c>
      <c r="D126" s="4">
        <v>142</v>
      </c>
      <c r="E126" s="3">
        <v>3.2689999999999997</v>
      </c>
      <c r="F126" s="1">
        <v>25</v>
      </c>
      <c r="G126" s="1">
        <v>31</v>
      </c>
      <c r="H126" s="1">
        <v>400</v>
      </c>
      <c r="I126" s="1">
        <v>161</v>
      </c>
      <c r="J126" s="1">
        <v>330</v>
      </c>
      <c r="K126" s="1">
        <v>9646</v>
      </c>
      <c r="L126" s="5">
        <v>34.253185076505957</v>
      </c>
      <c r="M126" s="8">
        <v>1.1724791159986788E-2</v>
      </c>
      <c r="N126" s="3">
        <v>8.17</v>
      </c>
      <c r="O126" s="5">
        <v>208.77973928930371</v>
      </c>
      <c r="P126" s="3">
        <v>0.18</v>
      </c>
      <c r="R126" s="12">
        <f t="shared" si="1"/>
        <v>1.0438986964465184E-3</v>
      </c>
    </row>
    <row r="127" spans="1:18" x14ac:dyDescent="0.3">
      <c r="B127" s="1">
        <v>12</v>
      </c>
      <c r="C127" s="1">
        <v>3</v>
      </c>
      <c r="D127" s="4">
        <v>142</v>
      </c>
      <c r="E127" s="3">
        <v>3.2689999999999997</v>
      </c>
      <c r="F127" s="1">
        <v>25</v>
      </c>
      <c r="G127" s="1">
        <v>31</v>
      </c>
      <c r="H127" s="1">
        <v>400</v>
      </c>
      <c r="I127" s="1">
        <v>161</v>
      </c>
      <c r="J127" s="1">
        <v>330</v>
      </c>
      <c r="K127" s="1">
        <v>9646</v>
      </c>
      <c r="L127" s="5">
        <v>34.253185076505957</v>
      </c>
      <c r="M127" s="8">
        <v>1.1724791159986788E-2</v>
      </c>
      <c r="N127" s="3">
        <v>9.92</v>
      </c>
      <c r="O127" s="5">
        <v>253.50000168297348</v>
      </c>
      <c r="P127" s="3">
        <v>0.23</v>
      </c>
      <c r="R127" s="12">
        <f t="shared" si="1"/>
        <v>1.2675000084148673E-3</v>
      </c>
    </row>
    <row r="128" spans="1:18" x14ac:dyDescent="0.3">
      <c r="B128" s="1">
        <v>12</v>
      </c>
      <c r="C128" s="1">
        <v>3</v>
      </c>
      <c r="D128" s="4">
        <v>142</v>
      </c>
      <c r="E128" s="3">
        <v>3.2689999999999997</v>
      </c>
      <c r="F128" s="1">
        <v>25</v>
      </c>
      <c r="G128" s="1">
        <v>31</v>
      </c>
      <c r="H128" s="1">
        <v>400</v>
      </c>
      <c r="I128" s="1">
        <v>161</v>
      </c>
      <c r="J128" s="1">
        <v>330</v>
      </c>
      <c r="K128" s="1">
        <v>9646</v>
      </c>
      <c r="L128" s="5">
        <v>34.253185076505957</v>
      </c>
      <c r="M128" s="8">
        <v>1.1724791159986788E-2</v>
      </c>
      <c r="N128" s="3">
        <v>11.67</v>
      </c>
      <c r="O128" s="5">
        <v>298.2202640766431</v>
      </c>
      <c r="P128" s="3">
        <v>0.25</v>
      </c>
      <c r="R128" s="12">
        <f t="shared" si="1"/>
        <v>1.4911013203832155E-3</v>
      </c>
    </row>
    <row r="129" spans="1:18" x14ac:dyDescent="0.3">
      <c r="A129" t="s">
        <v>34</v>
      </c>
      <c r="B129" s="1">
        <v>12</v>
      </c>
      <c r="C129" s="1">
        <v>3</v>
      </c>
      <c r="D129" s="4">
        <v>142</v>
      </c>
      <c r="E129" s="3">
        <v>3.2689999999999997</v>
      </c>
      <c r="F129" s="1">
        <v>25</v>
      </c>
      <c r="G129" s="1">
        <v>31</v>
      </c>
      <c r="H129" s="1">
        <v>400</v>
      </c>
      <c r="I129" s="1">
        <v>161</v>
      </c>
      <c r="J129" s="1">
        <v>330</v>
      </c>
      <c r="K129" s="1">
        <v>9646</v>
      </c>
      <c r="L129" s="5">
        <v>34.253185076505957</v>
      </c>
      <c r="M129" s="8">
        <v>1.1724791159986788E-2</v>
      </c>
      <c r="N129" s="3">
        <v>8.17</v>
      </c>
      <c r="O129" s="5">
        <v>208.77973928930371</v>
      </c>
      <c r="P129" s="3">
        <v>0.18</v>
      </c>
      <c r="R129" s="12">
        <f t="shared" si="1"/>
        <v>1.0438986964465184E-3</v>
      </c>
    </row>
    <row r="130" spans="1:18" x14ac:dyDescent="0.3">
      <c r="B130" s="1">
        <v>12</v>
      </c>
      <c r="C130" s="1">
        <v>3</v>
      </c>
      <c r="D130" s="4">
        <v>142</v>
      </c>
      <c r="E130" s="3">
        <v>3.2689999999999997</v>
      </c>
      <c r="F130" s="1">
        <v>25</v>
      </c>
      <c r="G130" s="1">
        <v>31</v>
      </c>
      <c r="H130" s="1">
        <v>400</v>
      </c>
      <c r="I130" s="1">
        <v>161</v>
      </c>
      <c r="J130" s="1">
        <v>330</v>
      </c>
      <c r="K130" s="1">
        <v>9646</v>
      </c>
      <c r="L130" s="5">
        <v>34.253185076505957</v>
      </c>
      <c r="M130" s="8">
        <v>1.1724791159986788E-2</v>
      </c>
      <c r="N130" s="3">
        <v>9.92</v>
      </c>
      <c r="O130" s="5">
        <v>253.50000168297348</v>
      </c>
      <c r="P130" s="3">
        <v>0.23</v>
      </c>
      <c r="R130" s="12">
        <f t="shared" si="1"/>
        <v>1.2675000084148673E-3</v>
      </c>
    </row>
    <row r="131" spans="1:18" x14ac:dyDescent="0.3">
      <c r="B131" s="1">
        <v>12</v>
      </c>
      <c r="C131" s="1">
        <v>3</v>
      </c>
      <c r="D131" s="4">
        <v>142</v>
      </c>
      <c r="E131" s="3">
        <v>3.2689999999999997</v>
      </c>
      <c r="F131" s="1">
        <v>25</v>
      </c>
      <c r="G131" s="1">
        <v>31</v>
      </c>
      <c r="H131" s="1">
        <v>400</v>
      </c>
      <c r="I131" s="1">
        <v>161</v>
      </c>
      <c r="J131" s="1">
        <v>330</v>
      </c>
      <c r="K131" s="1">
        <v>9646</v>
      </c>
      <c r="L131" s="5">
        <v>34.253185076505957</v>
      </c>
      <c r="M131" s="8">
        <v>1.1724791159986788E-2</v>
      </c>
      <c r="N131" s="3">
        <v>11.67</v>
      </c>
      <c r="O131" s="5">
        <v>298.2202640766431</v>
      </c>
      <c r="P131" s="3">
        <v>0.25</v>
      </c>
      <c r="R131" s="12">
        <f t="shared" si="1"/>
        <v>1.4911013203832155E-3</v>
      </c>
    </row>
    <row r="132" spans="1:18" x14ac:dyDescent="0.3">
      <c r="A132" t="s">
        <v>35</v>
      </c>
      <c r="B132" s="1">
        <v>12</v>
      </c>
      <c r="C132" s="1">
        <v>4</v>
      </c>
      <c r="D132" s="4">
        <v>90.67</v>
      </c>
      <c r="E132" s="3">
        <v>3.2689999999999997</v>
      </c>
      <c r="F132" s="1">
        <v>25</v>
      </c>
      <c r="G132" s="1">
        <v>31</v>
      </c>
      <c r="H132" s="1">
        <v>400</v>
      </c>
      <c r="I132" s="1">
        <v>161</v>
      </c>
      <c r="J132" s="1">
        <v>440</v>
      </c>
      <c r="K132" s="1">
        <v>36400</v>
      </c>
      <c r="L132" s="5">
        <v>38.636261189159299</v>
      </c>
      <c r="M132" s="8">
        <v>1.2087912087912088E-2</v>
      </c>
      <c r="N132" s="3">
        <v>11.67</v>
      </c>
      <c r="O132" s="5">
        <v>226.45530266575949</v>
      </c>
      <c r="P132" s="3">
        <v>0.15</v>
      </c>
      <c r="R132" s="12">
        <f t="shared" ref="R132:R195" si="2">O132/200000</f>
        <v>1.1322765133287974E-3</v>
      </c>
    </row>
    <row r="133" spans="1:18" x14ac:dyDescent="0.3">
      <c r="B133" s="1">
        <v>12</v>
      </c>
      <c r="C133" s="1">
        <v>4</v>
      </c>
      <c r="D133" s="4">
        <v>90.67</v>
      </c>
      <c r="E133" s="3">
        <v>3.2689999999999997</v>
      </c>
      <c r="F133" s="1">
        <v>25</v>
      </c>
      <c r="G133" s="1">
        <v>31</v>
      </c>
      <c r="H133" s="1">
        <v>400</v>
      </c>
      <c r="I133" s="1">
        <v>161</v>
      </c>
      <c r="J133" s="1">
        <v>440</v>
      </c>
      <c r="K133" s="1">
        <v>36400</v>
      </c>
      <c r="L133" s="5">
        <v>38.636261189159299</v>
      </c>
      <c r="M133" s="8">
        <v>1.2087912087912088E-2</v>
      </c>
      <c r="N133" s="3">
        <v>13.42</v>
      </c>
      <c r="O133" s="5">
        <v>260.41389561049635</v>
      </c>
      <c r="P133" s="3">
        <v>0.15</v>
      </c>
      <c r="R133" s="12">
        <f t="shared" si="2"/>
        <v>1.3020694780524818E-3</v>
      </c>
    </row>
    <row r="134" spans="1:18" x14ac:dyDescent="0.3">
      <c r="B134" s="1">
        <v>12</v>
      </c>
      <c r="C134" s="1">
        <v>4</v>
      </c>
      <c r="D134" s="4">
        <v>90.67</v>
      </c>
      <c r="E134" s="3">
        <v>3.2689999999999997</v>
      </c>
      <c r="F134" s="1">
        <v>25</v>
      </c>
      <c r="G134" s="1">
        <v>31</v>
      </c>
      <c r="H134" s="1">
        <v>400</v>
      </c>
      <c r="I134" s="1">
        <v>161</v>
      </c>
      <c r="J134" s="1">
        <v>440</v>
      </c>
      <c r="K134" s="1">
        <v>36400</v>
      </c>
      <c r="L134" s="5">
        <v>38.636261189159299</v>
      </c>
      <c r="M134" s="8">
        <v>1.2087912087912088E-2</v>
      </c>
      <c r="N134" s="3">
        <v>15.17</v>
      </c>
      <c r="O134" s="5">
        <v>294.3724885552333</v>
      </c>
      <c r="P134" s="3">
        <v>0.18</v>
      </c>
      <c r="R134" s="12">
        <f t="shared" si="2"/>
        <v>1.4718624427761664E-3</v>
      </c>
    </row>
    <row r="135" spans="1:18" x14ac:dyDescent="0.3">
      <c r="A135" t="s">
        <v>36</v>
      </c>
      <c r="B135" s="1">
        <v>12</v>
      </c>
      <c r="C135" s="1">
        <v>4</v>
      </c>
      <c r="D135" s="4">
        <v>90.67</v>
      </c>
      <c r="E135" s="3">
        <v>3.2689999999999997</v>
      </c>
      <c r="F135" s="1">
        <v>25</v>
      </c>
      <c r="G135" s="1">
        <v>31</v>
      </c>
      <c r="H135" s="1">
        <v>400</v>
      </c>
      <c r="I135" s="1">
        <v>161</v>
      </c>
      <c r="J135" s="1">
        <v>440</v>
      </c>
      <c r="K135" s="1">
        <v>36400</v>
      </c>
      <c r="L135" s="5">
        <v>38.636261189159299</v>
      </c>
      <c r="M135" s="8">
        <v>1.2087912087912088E-2</v>
      </c>
      <c r="N135" s="3">
        <v>11.67</v>
      </c>
      <c r="O135" s="5">
        <v>226.45530266575949</v>
      </c>
      <c r="P135" s="3">
        <v>0.18</v>
      </c>
      <c r="R135" s="12">
        <f t="shared" si="2"/>
        <v>1.1322765133287974E-3</v>
      </c>
    </row>
    <row r="136" spans="1:18" x14ac:dyDescent="0.3">
      <c r="B136" s="1">
        <v>12</v>
      </c>
      <c r="C136" s="1">
        <v>4</v>
      </c>
      <c r="D136" s="4">
        <v>90.67</v>
      </c>
      <c r="E136" s="3">
        <v>3.2689999999999997</v>
      </c>
      <c r="F136" s="1">
        <v>25</v>
      </c>
      <c r="G136" s="1">
        <v>31</v>
      </c>
      <c r="H136" s="1">
        <v>400</v>
      </c>
      <c r="I136" s="1">
        <v>161</v>
      </c>
      <c r="J136" s="1">
        <v>440</v>
      </c>
      <c r="K136" s="1">
        <v>36400</v>
      </c>
      <c r="L136" s="5">
        <v>38.636261189159299</v>
      </c>
      <c r="M136" s="8">
        <v>1.2087912087912088E-2</v>
      </c>
      <c r="N136" s="3">
        <v>13.42</v>
      </c>
      <c r="O136" s="5">
        <v>260.41389561049635</v>
      </c>
      <c r="P136" s="3">
        <v>0.2</v>
      </c>
      <c r="R136" s="12">
        <f t="shared" si="2"/>
        <v>1.3020694780524818E-3</v>
      </c>
    </row>
    <row r="137" spans="1:18" x14ac:dyDescent="0.3">
      <c r="B137" s="1">
        <v>12</v>
      </c>
      <c r="C137" s="1">
        <v>4</v>
      </c>
      <c r="D137" s="4">
        <v>90.67</v>
      </c>
      <c r="E137" s="3">
        <v>3.2689999999999997</v>
      </c>
      <c r="F137" s="1">
        <v>25</v>
      </c>
      <c r="G137" s="1">
        <v>31</v>
      </c>
      <c r="H137" s="1">
        <v>400</v>
      </c>
      <c r="I137" s="1">
        <v>161</v>
      </c>
      <c r="J137" s="1">
        <v>440</v>
      </c>
      <c r="K137" s="1">
        <v>36400</v>
      </c>
      <c r="L137" s="5">
        <v>38.636261189159299</v>
      </c>
      <c r="M137" s="8">
        <v>1.2087912087912088E-2</v>
      </c>
      <c r="N137" s="3">
        <v>15.17</v>
      </c>
      <c r="O137" s="5">
        <v>294.3724885552333</v>
      </c>
      <c r="P137" s="3">
        <v>0.23</v>
      </c>
      <c r="R137" s="12">
        <f t="shared" si="2"/>
        <v>1.4718624427761664E-3</v>
      </c>
    </row>
    <row r="138" spans="1:18" x14ac:dyDescent="0.3">
      <c r="A138" t="s">
        <v>37</v>
      </c>
      <c r="B138" s="1">
        <v>10</v>
      </c>
      <c r="C138" s="1">
        <v>1</v>
      </c>
      <c r="D138" s="4">
        <v>45</v>
      </c>
      <c r="E138" s="3">
        <v>2.8</v>
      </c>
      <c r="F138" s="1">
        <v>40</v>
      </c>
      <c r="G138" s="1">
        <v>45</v>
      </c>
      <c r="H138" s="1">
        <v>100</v>
      </c>
      <c r="I138" s="1">
        <v>250</v>
      </c>
      <c r="J138" s="1">
        <v>78.5</v>
      </c>
      <c r="K138" s="1">
        <v>9500</v>
      </c>
      <c r="L138" s="5">
        <v>43.445968908792679</v>
      </c>
      <c r="M138" s="8">
        <v>8.263157894736842E-3</v>
      </c>
      <c r="N138" s="3">
        <v>4.0999999999999996</v>
      </c>
      <c r="O138" s="5">
        <v>274.14363221273135</v>
      </c>
      <c r="P138" s="3">
        <v>0.16</v>
      </c>
      <c r="R138" s="12">
        <f t="shared" si="2"/>
        <v>1.3707181610636567E-3</v>
      </c>
    </row>
    <row r="139" spans="1:18" x14ac:dyDescent="0.3">
      <c r="B139" s="1">
        <v>10</v>
      </c>
      <c r="C139" s="1">
        <v>1</v>
      </c>
      <c r="D139" s="4">
        <v>45</v>
      </c>
      <c r="E139" s="3">
        <v>2.8</v>
      </c>
      <c r="F139" s="1">
        <v>40</v>
      </c>
      <c r="G139" s="1">
        <v>45</v>
      </c>
      <c r="H139" s="1">
        <v>100</v>
      </c>
      <c r="I139" s="1">
        <v>250</v>
      </c>
      <c r="J139" s="1">
        <v>78.5</v>
      </c>
      <c r="K139" s="1">
        <v>9500</v>
      </c>
      <c r="L139" s="5">
        <v>43.445968908792679</v>
      </c>
      <c r="M139" s="8">
        <v>8.263157894736842E-3</v>
      </c>
      <c r="N139" s="3">
        <v>4.4000000000000004</v>
      </c>
      <c r="O139" s="5">
        <v>294.20292237463855</v>
      </c>
      <c r="P139" s="3">
        <v>0.18</v>
      </c>
      <c r="R139" s="12">
        <f t="shared" si="2"/>
        <v>1.4710146118731928E-3</v>
      </c>
    </row>
    <row r="140" spans="1:18" x14ac:dyDescent="0.3">
      <c r="B140" s="1">
        <v>10</v>
      </c>
      <c r="C140" s="1">
        <v>1</v>
      </c>
      <c r="D140" s="4">
        <v>45</v>
      </c>
      <c r="E140" s="3">
        <v>2.8</v>
      </c>
      <c r="F140" s="1">
        <v>40</v>
      </c>
      <c r="G140" s="1">
        <v>45</v>
      </c>
      <c r="H140" s="1">
        <v>100</v>
      </c>
      <c r="I140" s="1">
        <v>250</v>
      </c>
      <c r="J140" s="1">
        <v>78.5</v>
      </c>
      <c r="K140" s="1">
        <v>9500</v>
      </c>
      <c r="L140" s="5">
        <v>43.445968908792679</v>
      </c>
      <c r="M140" s="8">
        <v>8.263157894736842E-3</v>
      </c>
      <c r="N140" s="3">
        <v>4.74</v>
      </c>
      <c r="O140" s="5">
        <v>316.93678455813335</v>
      </c>
      <c r="P140" s="3">
        <v>0.2</v>
      </c>
      <c r="R140" s="12">
        <f t="shared" si="2"/>
        <v>1.5846839227906667E-3</v>
      </c>
    </row>
    <row r="141" spans="1:18" x14ac:dyDescent="0.3">
      <c r="B141" s="1">
        <v>10</v>
      </c>
      <c r="C141" s="1">
        <v>1</v>
      </c>
      <c r="D141" s="4">
        <v>45</v>
      </c>
      <c r="E141" s="3">
        <v>2.8</v>
      </c>
      <c r="F141" s="1">
        <v>40</v>
      </c>
      <c r="G141" s="1">
        <v>45</v>
      </c>
      <c r="H141" s="1">
        <v>100</v>
      </c>
      <c r="I141" s="1">
        <v>250</v>
      </c>
      <c r="J141" s="1">
        <v>78.5</v>
      </c>
      <c r="K141" s="1">
        <v>9500</v>
      </c>
      <c r="L141" s="5">
        <v>43.445968908792679</v>
      </c>
      <c r="M141" s="8">
        <v>8.263157894736842E-3</v>
      </c>
      <c r="N141" s="3">
        <v>5.04</v>
      </c>
      <c r="O141" s="5">
        <v>336.9960747200405</v>
      </c>
      <c r="P141" s="3">
        <v>0.22</v>
      </c>
      <c r="R141" s="12">
        <f t="shared" si="2"/>
        <v>1.6849803736002024E-3</v>
      </c>
    </row>
    <row r="142" spans="1:18" x14ac:dyDescent="0.3">
      <c r="B142" s="1">
        <v>10</v>
      </c>
      <c r="C142" s="1">
        <v>1</v>
      </c>
      <c r="D142" s="4">
        <v>45</v>
      </c>
      <c r="E142" s="3">
        <v>2.8</v>
      </c>
      <c r="F142" s="1">
        <v>40</v>
      </c>
      <c r="G142" s="1">
        <v>45</v>
      </c>
      <c r="H142" s="1">
        <v>100</v>
      </c>
      <c r="I142" s="1">
        <v>250</v>
      </c>
      <c r="J142" s="1">
        <v>78.5</v>
      </c>
      <c r="K142" s="1">
        <v>9500</v>
      </c>
      <c r="L142" s="5">
        <v>43.445968908792679</v>
      </c>
      <c r="M142" s="8">
        <v>8.263157894736842E-3</v>
      </c>
      <c r="N142" s="3">
        <v>5.38</v>
      </c>
      <c r="O142" s="5">
        <v>359.72993690353525</v>
      </c>
      <c r="P142" s="3">
        <v>0.24</v>
      </c>
      <c r="R142" s="12">
        <f t="shared" si="2"/>
        <v>1.7986496845176763E-3</v>
      </c>
    </row>
    <row r="143" spans="1:18" x14ac:dyDescent="0.3">
      <c r="B143" s="1">
        <v>10</v>
      </c>
      <c r="C143" s="1">
        <v>1</v>
      </c>
      <c r="D143" s="4">
        <v>45</v>
      </c>
      <c r="E143" s="3">
        <v>2.8</v>
      </c>
      <c r="F143" s="1">
        <v>40</v>
      </c>
      <c r="G143" s="1">
        <v>45</v>
      </c>
      <c r="H143" s="1">
        <v>100</v>
      </c>
      <c r="I143" s="1">
        <v>250</v>
      </c>
      <c r="J143" s="1">
        <v>78.5</v>
      </c>
      <c r="K143" s="1">
        <v>9500</v>
      </c>
      <c r="L143" s="5">
        <v>43.445968908792679</v>
      </c>
      <c r="M143" s="8">
        <v>8.263157894736842E-3</v>
      </c>
      <c r="N143" s="3">
        <v>5.68</v>
      </c>
      <c r="O143" s="5">
        <v>379.78922706544245</v>
      </c>
      <c r="P143" s="3">
        <v>0.26</v>
      </c>
      <c r="R143" s="12">
        <f t="shared" si="2"/>
        <v>1.8989461353272122E-3</v>
      </c>
    </row>
    <row r="144" spans="1:18" x14ac:dyDescent="0.3">
      <c r="B144" s="1">
        <v>10</v>
      </c>
      <c r="C144" s="1">
        <v>1</v>
      </c>
      <c r="D144" s="4">
        <v>45</v>
      </c>
      <c r="E144" s="3">
        <v>2.8</v>
      </c>
      <c r="F144" s="1">
        <v>40</v>
      </c>
      <c r="G144" s="1">
        <v>45</v>
      </c>
      <c r="H144" s="1">
        <v>100</v>
      </c>
      <c r="I144" s="1">
        <v>250</v>
      </c>
      <c r="J144" s="1">
        <v>78.5</v>
      </c>
      <c r="K144" s="1">
        <v>9500</v>
      </c>
      <c r="L144" s="5">
        <v>43.445968908792679</v>
      </c>
      <c r="M144" s="8">
        <v>8.263157894736842E-3</v>
      </c>
      <c r="N144" s="3">
        <v>6.04</v>
      </c>
      <c r="O144" s="5">
        <v>403.86037525973109</v>
      </c>
      <c r="P144" s="3">
        <v>0.28000000000000003</v>
      </c>
      <c r="R144" s="12">
        <f t="shared" si="2"/>
        <v>2.0193018762986554E-3</v>
      </c>
    </row>
    <row r="145" spans="1:18" x14ac:dyDescent="0.3">
      <c r="A145" t="s">
        <v>38</v>
      </c>
      <c r="B145" s="1">
        <v>10</v>
      </c>
      <c r="C145" s="1">
        <v>1</v>
      </c>
      <c r="D145" s="4">
        <v>45</v>
      </c>
      <c r="E145" s="3">
        <v>2.8</v>
      </c>
      <c r="F145" s="1">
        <v>40</v>
      </c>
      <c r="G145" s="1">
        <v>45</v>
      </c>
      <c r="H145" s="1">
        <v>100</v>
      </c>
      <c r="I145" s="1">
        <v>250</v>
      </c>
      <c r="J145" s="1">
        <v>78.5</v>
      </c>
      <c r="K145" s="1">
        <v>9500</v>
      </c>
      <c r="L145" s="5">
        <v>43.445968908792679</v>
      </c>
      <c r="M145" s="8">
        <v>8.263157894736842E-3</v>
      </c>
      <c r="N145" s="3">
        <v>3.76</v>
      </c>
      <c r="O145" s="5">
        <v>251.40977002923657</v>
      </c>
      <c r="P145" s="3">
        <v>0.15</v>
      </c>
      <c r="R145" s="12">
        <f t="shared" si="2"/>
        <v>1.2570488501461828E-3</v>
      </c>
    </row>
    <row r="146" spans="1:18" x14ac:dyDescent="0.3">
      <c r="B146" s="1">
        <v>10</v>
      </c>
      <c r="C146" s="1">
        <v>1</v>
      </c>
      <c r="D146" s="4">
        <v>45</v>
      </c>
      <c r="E146" s="3">
        <v>2.8</v>
      </c>
      <c r="F146" s="1">
        <v>40</v>
      </c>
      <c r="G146" s="1">
        <v>45</v>
      </c>
      <c r="H146" s="1">
        <v>100</v>
      </c>
      <c r="I146" s="1">
        <v>250</v>
      </c>
      <c r="J146" s="1">
        <v>78.5</v>
      </c>
      <c r="K146" s="1">
        <v>9500</v>
      </c>
      <c r="L146" s="5">
        <v>43.445968908792679</v>
      </c>
      <c r="M146" s="8">
        <v>8.263157894736842E-3</v>
      </c>
      <c r="N146" s="3">
        <v>4.0999999999999996</v>
      </c>
      <c r="O146" s="5">
        <v>274.14363221273135</v>
      </c>
      <c r="P146" s="3">
        <v>0.17</v>
      </c>
      <c r="R146" s="12">
        <f t="shared" si="2"/>
        <v>1.3707181610636567E-3</v>
      </c>
    </row>
    <row r="147" spans="1:18" x14ac:dyDescent="0.3">
      <c r="B147" s="1">
        <v>10</v>
      </c>
      <c r="C147" s="1">
        <v>1</v>
      </c>
      <c r="D147" s="4">
        <v>45</v>
      </c>
      <c r="E147" s="3">
        <v>2.8</v>
      </c>
      <c r="F147" s="1">
        <v>40</v>
      </c>
      <c r="G147" s="1">
        <v>45</v>
      </c>
      <c r="H147" s="1">
        <v>100</v>
      </c>
      <c r="I147" s="1">
        <v>250</v>
      </c>
      <c r="J147" s="1">
        <v>78.5</v>
      </c>
      <c r="K147" s="1">
        <v>9500</v>
      </c>
      <c r="L147" s="5">
        <v>43.445968908792679</v>
      </c>
      <c r="M147" s="8">
        <v>8.263157894736842E-3</v>
      </c>
      <c r="N147" s="3">
        <v>4.42</v>
      </c>
      <c r="O147" s="5">
        <v>295.54020838543232</v>
      </c>
      <c r="P147" s="3">
        <v>0.19</v>
      </c>
      <c r="R147" s="12">
        <f t="shared" si="2"/>
        <v>1.4777010419271617E-3</v>
      </c>
    </row>
    <row r="148" spans="1:18" x14ac:dyDescent="0.3">
      <c r="B148" s="1">
        <v>10</v>
      </c>
      <c r="C148" s="1">
        <v>1</v>
      </c>
      <c r="D148" s="4">
        <v>45</v>
      </c>
      <c r="E148" s="3">
        <v>2.8</v>
      </c>
      <c r="F148" s="1">
        <v>40</v>
      </c>
      <c r="G148" s="1">
        <v>45</v>
      </c>
      <c r="H148" s="1">
        <v>100</v>
      </c>
      <c r="I148" s="1">
        <v>250</v>
      </c>
      <c r="J148" s="1">
        <v>78.5</v>
      </c>
      <c r="K148" s="1">
        <v>9500</v>
      </c>
      <c r="L148" s="5">
        <v>43.445968908792679</v>
      </c>
      <c r="M148" s="8">
        <v>8.263157894736842E-3</v>
      </c>
      <c r="N148" s="3">
        <v>4.71</v>
      </c>
      <c r="O148" s="5">
        <v>314.93085554194266</v>
      </c>
      <c r="P148" s="3">
        <v>0.2</v>
      </c>
      <c r="R148" s="12">
        <f t="shared" si="2"/>
        <v>1.5746542777097133E-3</v>
      </c>
    </row>
    <row r="149" spans="1:18" x14ac:dyDescent="0.3">
      <c r="B149" s="1">
        <v>10</v>
      </c>
      <c r="C149" s="1">
        <v>1</v>
      </c>
      <c r="D149" s="4">
        <v>45</v>
      </c>
      <c r="E149" s="3">
        <v>2.8</v>
      </c>
      <c r="F149" s="1">
        <v>40</v>
      </c>
      <c r="G149" s="1">
        <v>45</v>
      </c>
      <c r="H149" s="1">
        <v>100</v>
      </c>
      <c r="I149" s="1">
        <v>250</v>
      </c>
      <c r="J149" s="1">
        <v>78.5</v>
      </c>
      <c r="K149" s="1">
        <v>9500</v>
      </c>
      <c r="L149" s="5">
        <v>43.445968908792679</v>
      </c>
      <c r="M149" s="8">
        <v>8.263157894736842E-3</v>
      </c>
      <c r="N149" s="3">
        <v>5.04</v>
      </c>
      <c r="O149" s="5">
        <v>336.9960747200405</v>
      </c>
      <c r="P149" s="3">
        <v>0.22</v>
      </c>
      <c r="R149" s="12">
        <f t="shared" si="2"/>
        <v>1.6849803736002024E-3</v>
      </c>
    </row>
    <row r="150" spans="1:18" x14ac:dyDescent="0.3">
      <c r="B150" s="1">
        <v>10</v>
      </c>
      <c r="C150" s="1">
        <v>1</v>
      </c>
      <c r="D150" s="4">
        <v>45</v>
      </c>
      <c r="E150" s="3">
        <v>2.8</v>
      </c>
      <c r="F150" s="1">
        <v>40</v>
      </c>
      <c r="G150" s="1">
        <v>45</v>
      </c>
      <c r="H150" s="1">
        <v>100</v>
      </c>
      <c r="I150" s="1">
        <v>250</v>
      </c>
      <c r="J150" s="1">
        <v>78.5</v>
      </c>
      <c r="K150" s="1">
        <v>9500</v>
      </c>
      <c r="L150" s="5">
        <v>43.445968908792679</v>
      </c>
      <c r="M150" s="8">
        <v>8.263157894736842E-3</v>
      </c>
      <c r="N150" s="3">
        <v>5.37</v>
      </c>
      <c r="O150" s="5">
        <v>359.06129389813839</v>
      </c>
      <c r="P150" s="3">
        <v>0.24</v>
      </c>
      <c r="R150" s="12">
        <f t="shared" si="2"/>
        <v>1.795306469490692E-3</v>
      </c>
    </row>
    <row r="151" spans="1:18" x14ac:dyDescent="0.3">
      <c r="B151" s="1">
        <v>10</v>
      </c>
      <c r="C151" s="1">
        <v>1</v>
      </c>
      <c r="D151" s="4">
        <v>45</v>
      </c>
      <c r="E151" s="3">
        <v>2.8</v>
      </c>
      <c r="F151" s="1">
        <v>40</v>
      </c>
      <c r="G151" s="1">
        <v>45</v>
      </c>
      <c r="H151" s="1">
        <v>100</v>
      </c>
      <c r="I151" s="1">
        <v>250</v>
      </c>
      <c r="J151" s="1">
        <v>78.5</v>
      </c>
      <c r="K151" s="1">
        <v>9500</v>
      </c>
      <c r="L151" s="5">
        <v>43.445968908792679</v>
      </c>
      <c r="M151" s="8">
        <v>8.263157894736842E-3</v>
      </c>
      <c r="N151" s="3">
        <v>5.65</v>
      </c>
      <c r="O151" s="5">
        <v>377.78329804925175</v>
      </c>
      <c r="P151" s="3">
        <v>0.26</v>
      </c>
      <c r="R151" s="12">
        <f t="shared" si="2"/>
        <v>1.8889164902462588E-3</v>
      </c>
    </row>
    <row r="152" spans="1:18" x14ac:dyDescent="0.3">
      <c r="B152" s="1">
        <v>10</v>
      </c>
      <c r="C152" s="1">
        <v>1</v>
      </c>
      <c r="D152" s="4">
        <v>45</v>
      </c>
      <c r="E152" s="3">
        <v>2.8</v>
      </c>
      <c r="F152" s="1">
        <v>40</v>
      </c>
      <c r="G152" s="1">
        <v>45</v>
      </c>
      <c r="H152" s="1">
        <v>100</v>
      </c>
      <c r="I152" s="1">
        <v>250</v>
      </c>
      <c r="J152" s="1">
        <v>78.5</v>
      </c>
      <c r="K152" s="1">
        <v>9500</v>
      </c>
      <c r="L152" s="5">
        <v>43.445968908792679</v>
      </c>
      <c r="M152" s="8">
        <v>8.263157894736842E-3</v>
      </c>
      <c r="N152" s="3">
        <v>5.92</v>
      </c>
      <c r="O152" s="5">
        <v>395.83665919496815</v>
      </c>
      <c r="P152" s="3">
        <v>0.28999999999999998</v>
      </c>
      <c r="R152" s="12">
        <f t="shared" si="2"/>
        <v>1.9791832959748408E-3</v>
      </c>
    </row>
    <row r="153" spans="1:18" x14ac:dyDescent="0.3">
      <c r="A153" t="s">
        <v>39</v>
      </c>
      <c r="B153" s="1">
        <v>20</v>
      </c>
      <c r="C153" s="1">
        <v>1</v>
      </c>
      <c r="D153" s="4">
        <v>40</v>
      </c>
      <c r="E153" s="3">
        <v>2.8</v>
      </c>
      <c r="F153" s="1">
        <v>40</v>
      </c>
      <c r="G153" s="1">
        <v>50</v>
      </c>
      <c r="H153" s="1">
        <v>100</v>
      </c>
      <c r="I153" s="1">
        <v>250</v>
      </c>
      <c r="J153" s="1">
        <v>315</v>
      </c>
      <c r="K153" s="1">
        <v>15000</v>
      </c>
      <c r="L153" s="5">
        <v>75.400393066082174</v>
      </c>
      <c r="M153" s="8">
        <v>2.1000000000000001E-2</v>
      </c>
      <c r="N153" s="3">
        <v>11.09</v>
      </c>
      <c r="O153" s="5">
        <v>201.33268539095971</v>
      </c>
      <c r="P153" s="3">
        <v>0.17</v>
      </c>
      <c r="R153" s="12">
        <f t="shared" si="2"/>
        <v>1.0066634269547986E-3</v>
      </c>
    </row>
    <row r="154" spans="1:18" x14ac:dyDescent="0.3">
      <c r="B154" s="1">
        <v>20</v>
      </c>
      <c r="C154" s="1">
        <v>1</v>
      </c>
      <c r="D154" s="4">
        <v>40</v>
      </c>
      <c r="E154" s="3">
        <v>2.8</v>
      </c>
      <c r="F154" s="1">
        <v>40</v>
      </c>
      <c r="G154" s="1">
        <v>50</v>
      </c>
      <c r="H154" s="1">
        <v>100</v>
      </c>
      <c r="I154" s="1">
        <v>250</v>
      </c>
      <c r="J154" s="1">
        <v>315</v>
      </c>
      <c r="K154" s="1">
        <v>15000</v>
      </c>
      <c r="L154" s="5">
        <v>75.400393066082174</v>
      </c>
      <c r="M154" s="8">
        <v>2.1000000000000001E-2</v>
      </c>
      <c r="N154" s="3">
        <v>12.96</v>
      </c>
      <c r="O154" s="5">
        <v>235.28147905021083</v>
      </c>
      <c r="P154" s="3">
        <v>0.2</v>
      </c>
      <c r="R154" s="12">
        <f t="shared" si="2"/>
        <v>1.1764073952510541E-3</v>
      </c>
    </row>
    <row r="155" spans="1:18" x14ac:dyDescent="0.3">
      <c r="B155" s="1">
        <v>20</v>
      </c>
      <c r="C155" s="1">
        <v>1</v>
      </c>
      <c r="D155" s="4">
        <v>40</v>
      </c>
      <c r="E155" s="3">
        <v>2.8</v>
      </c>
      <c r="F155" s="1">
        <v>40</v>
      </c>
      <c r="G155" s="1">
        <v>50</v>
      </c>
      <c r="H155" s="1">
        <v>100</v>
      </c>
      <c r="I155" s="1">
        <v>250</v>
      </c>
      <c r="J155" s="1">
        <v>315</v>
      </c>
      <c r="K155" s="1">
        <v>15000</v>
      </c>
      <c r="L155" s="5">
        <v>75.400393066082174</v>
      </c>
      <c r="M155" s="8">
        <v>2.1000000000000001E-2</v>
      </c>
      <c r="N155" s="3">
        <v>14.77</v>
      </c>
      <c r="O155" s="5">
        <v>268.14100660274795</v>
      </c>
      <c r="P155" s="3">
        <v>0.24</v>
      </c>
      <c r="R155" s="12">
        <f t="shared" si="2"/>
        <v>1.3407050330137397E-3</v>
      </c>
    </row>
    <row r="156" spans="1:18" x14ac:dyDescent="0.3">
      <c r="B156" s="1">
        <v>20</v>
      </c>
      <c r="C156" s="1">
        <v>1</v>
      </c>
      <c r="D156" s="4">
        <v>40</v>
      </c>
      <c r="E156" s="3">
        <v>2.8</v>
      </c>
      <c r="F156" s="1">
        <v>40</v>
      </c>
      <c r="G156" s="1">
        <v>50</v>
      </c>
      <c r="H156" s="1">
        <v>100</v>
      </c>
      <c r="I156" s="1">
        <v>250</v>
      </c>
      <c r="J156" s="1">
        <v>315</v>
      </c>
      <c r="K156" s="1">
        <v>15000</v>
      </c>
      <c r="L156" s="5">
        <v>75.400393066082174</v>
      </c>
      <c r="M156" s="8">
        <v>2.1000000000000001E-2</v>
      </c>
      <c r="N156" s="3">
        <v>16.57</v>
      </c>
      <c r="O156" s="5">
        <v>300.81898980416611</v>
      </c>
      <c r="P156" s="3">
        <v>0.27</v>
      </c>
      <c r="R156" s="12">
        <f t="shared" si="2"/>
        <v>1.5040949490208305E-3</v>
      </c>
    </row>
    <row r="157" spans="1:18" x14ac:dyDescent="0.3">
      <c r="B157" s="1">
        <v>20</v>
      </c>
      <c r="C157" s="1">
        <v>1</v>
      </c>
      <c r="D157" s="4">
        <v>40</v>
      </c>
      <c r="E157" s="3">
        <v>2.8</v>
      </c>
      <c r="F157" s="1">
        <v>40</v>
      </c>
      <c r="G157" s="1">
        <v>50</v>
      </c>
      <c r="H157" s="1">
        <v>100</v>
      </c>
      <c r="I157" s="1">
        <v>250</v>
      </c>
      <c r="J157" s="1">
        <v>315</v>
      </c>
      <c r="K157" s="1">
        <v>15000</v>
      </c>
      <c r="L157" s="5">
        <v>75.400393066082174</v>
      </c>
      <c r="M157" s="8">
        <v>2.1000000000000001E-2</v>
      </c>
      <c r="N157" s="3">
        <v>18.350000000000001</v>
      </c>
      <c r="O157" s="5">
        <v>333.13388430334641</v>
      </c>
      <c r="P157" s="3">
        <v>0.32</v>
      </c>
      <c r="R157" s="12">
        <f t="shared" si="2"/>
        <v>1.6656694215167319E-3</v>
      </c>
    </row>
    <row r="158" spans="1:18" x14ac:dyDescent="0.3">
      <c r="B158" s="1">
        <v>20</v>
      </c>
      <c r="C158" s="1">
        <v>1</v>
      </c>
      <c r="D158" s="4">
        <v>40</v>
      </c>
      <c r="E158" s="3">
        <v>2.8</v>
      </c>
      <c r="F158" s="1">
        <v>40</v>
      </c>
      <c r="G158" s="1">
        <v>50</v>
      </c>
      <c r="H158" s="1">
        <v>100</v>
      </c>
      <c r="I158" s="1">
        <v>250</v>
      </c>
      <c r="J158" s="1">
        <v>315</v>
      </c>
      <c r="K158" s="1">
        <v>15000</v>
      </c>
      <c r="L158" s="5">
        <v>75.400393066082174</v>
      </c>
      <c r="M158" s="8">
        <v>2.1000000000000001E-2</v>
      </c>
      <c r="N158" s="3">
        <v>20.18</v>
      </c>
      <c r="O158" s="5">
        <v>366.35650055812141</v>
      </c>
      <c r="P158" s="3">
        <v>0.34</v>
      </c>
      <c r="R158" s="12">
        <f t="shared" si="2"/>
        <v>1.831782502790607E-3</v>
      </c>
    </row>
    <row r="159" spans="1:18" x14ac:dyDescent="0.3">
      <c r="A159" t="s">
        <v>40</v>
      </c>
      <c r="B159" s="1">
        <v>20</v>
      </c>
      <c r="C159" s="1">
        <v>1</v>
      </c>
      <c r="D159" s="4">
        <v>40</v>
      </c>
      <c r="E159" s="3">
        <v>2.8</v>
      </c>
      <c r="F159" s="1">
        <v>40</v>
      </c>
      <c r="G159" s="1">
        <v>50</v>
      </c>
      <c r="H159" s="1">
        <v>100</v>
      </c>
      <c r="I159" s="1">
        <v>250</v>
      </c>
      <c r="J159" s="1">
        <v>315</v>
      </c>
      <c r="K159" s="1">
        <v>15000</v>
      </c>
      <c r="L159" s="5">
        <v>75.400393066082174</v>
      </c>
      <c r="M159" s="8">
        <v>2.1000000000000001E-2</v>
      </c>
      <c r="N159" s="3">
        <v>9.35</v>
      </c>
      <c r="O159" s="5">
        <v>169.74396829625545</v>
      </c>
      <c r="P159" s="3">
        <v>0.16</v>
      </c>
      <c r="R159" s="12">
        <f t="shared" si="2"/>
        <v>8.4871984148127719E-4</v>
      </c>
    </row>
    <row r="160" spans="1:18" x14ac:dyDescent="0.3">
      <c r="B160" s="1">
        <v>20</v>
      </c>
      <c r="C160" s="1">
        <v>1</v>
      </c>
      <c r="D160" s="4">
        <v>40</v>
      </c>
      <c r="E160" s="3">
        <v>2.8</v>
      </c>
      <c r="F160" s="1">
        <v>40</v>
      </c>
      <c r="G160" s="1">
        <v>50</v>
      </c>
      <c r="H160" s="1">
        <v>100</v>
      </c>
      <c r="I160" s="1">
        <v>250</v>
      </c>
      <c r="J160" s="1">
        <v>315</v>
      </c>
      <c r="K160" s="1">
        <v>15000</v>
      </c>
      <c r="L160" s="5">
        <v>75.400393066082174</v>
      </c>
      <c r="M160" s="8">
        <v>2.1000000000000001E-2</v>
      </c>
      <c r="N160" s="3">
        <v>11.12</v>
      </c>
      <c r="O160" s="5">
        <v>201.87731844431667</v>
      </c>
      <c r="P160" s="3">
        <v>0.2</v>
      </c>
      <c r="R160" s="12">
        <f t="shared" si="2"/>
        <v>1.0093865922215833E-3</v>
      </c>
    </row>
    <row r="161" spans="1:18" x14ac:dyDescent="0.3">
      <c r="B161" s="1">
        <v>20</v>
      </c>
      <c r="C161" s="1">
        <v>1</v>
      </c>
      <c r="D161" s="4">
        <v>40</v>
      </c>
      <c r="E161" s="3">
        <v>2.8</v>
      </c>
      <c r="F161" s="1">
        <v>40</v>
      </c>
      <c r="G161" s="1">
        <v>50</v>
      </c>
      <c r="H161" s="1">
        <v>100</v>
      </c>
      <c r="I161" s="1">
        <v>250</v>
      </c>
      <c r="J161" s="1">
        <v>315</v>
      </c>
      <c r="K161" s="1">
        <v>15000</v>
      </c>
      <c r="L161" s="5">
        <v>75.400393066082174</v>
      </c>
      <c r="M161" s="8">
        <v>2.1000000000000001E-2</v>
      </c>
      <c r="N161" s="3">
        <v>12.93</v>
      </c>
      <c r="O161" s="5">
        <v>234.73684599685382</v>
      </c>
      <c r="P161" s="3">
        <v>0.24</v>
      </c>
      <c r="R161" s="12">
        <f t="shared" si="2"/>
        <v>1.1736842299842692E-3</v>
      </c>
    </row>
    <row r="162" spans="1:18" x14ac:dyDescent="0.3">
      <c r="B162" s="1">
        <v>20</v>
      </c>
      <c r="C162" s="1">
        <v>1</v>
      </c>
      <c r="D162" s="4">
        <v>40</v>
      </c>
      <c r="E162" s="3">
        <v>2.8</v>
      </c>
      <c r="F162" s="1">
        <v>40</v>
      </c>
      <c r="G162" s="1">
        <v>50</v>
      </c>
      <c r="H162" s="1">
        <v>100</v>
      </c>
      <c r="I162" s="1">
        <v>250</v>
      </c>
      <c r="J162" s="1">
        <v>315</v>
      </c>
      <c r="K162" s="1">
        <v>15000</v>
      </c>
      <c r="L162" s="5">
        <v>75.400393066082174</v>
      </c>
      <c r="M162" s="8">
        <v>2.1000000000000001E-2</v>
      </c>
      <c r="N162" s="3">
        <v>14.72</v>
      </c>
      <c r="O162" s="5">
        <v>267.23328484715302</v>
      </c>
      <c r="P162" s="3">
        <v>0.27</v>
      </c>
      <c r="R162" s="12">
        <f t="shared" si="2"/>
        <v>1.3361664242357652E-3</v>
      </c>
    </row>
    <row r="163" spans="1:18" x14ac:dyDescent="0.3">
      <c r="B163" s="1">
        <v>20</v>
      </c>
      <c r="C163" s="1">
        <v>1</v>
      </c>
      <c r="D163" s="4">
        <v>40</v>
      </c>
      <c r="E163" s="3">
        <v>2.8</v>
      </c>
      <c r="F163" s="1">
        <v>40</v>
      </c>
      <c r="G163" s="1">
        <v>50</v>
      </c>
      <c r="H163" s="1">
        <v>100</v>
      </c>
      <c r="I163" s="1">
        <v>250</v>
      </c>
      <c r="J163" s="1">
        <v>315</v>
      </c>
      <c r="K163" s="1">
        <v>15000</v>
      </c>
      <c r="L163" s="5">
        <v>75.400393066082174</v>
      </c>
      <c r="M163" s="8">
        <v>2.1000000000000001E-2</v>
      </c>
      <c r="N163" s="3">
        <v>16.579999999999998</v>
      </c>
      <c r="O163" s="5">
        <v>301.0005341552851</v>
      </c>
      <c r="P163" s="3">
        <v>0.28999999999999998</v>
      </c>
      <c r="R163" s="12">
        <f t="shared" si="2"/>
        <v>1.5050026707764256E-3</v>
      </c>
    </row>
    <row r="164" spans="1:18" x14ac:dyDescent="0.3">
      <c r="B164" s="1">
        <v>20</v>
      </c>
      <c r="C164" s="1">
        <v>1</v>
      </c>
      <c r="D164" s="4">
        <v>40</v>
      </c>
      <c r="E164" s="3">
        <v>2.8</v>
      </c>
      <c r="F164" s="1">
        <v>40</v>
      </c>
      <c r="G164" s="1">
        <v>50</v>
      </c>
      <c r="H164" s="1">
        <v>100</v>
      </c>
      <c r="I164" s="1">
        <v>250</v>
      </c>
      <c r="J164" s="1">
        <v>315</v>
      </c>
      <c r="K164" s="1">
        <v>15000</v>
      </c>
      <c r="L164" s="5">
        <v>75.400393066082174</v>
      </c>
      <c r="M164" s="8">
        <v>2.1000000000000001E-2</v>
      </c>
      <c r="N164" s="3">
        <v>18.350000000000001</v>
      </c>
      <c r="O164" s="5">
        <v>333.13388430334641</v>
      </c>
      <c r="P164" s="3">
        <v>0.32</v>
      </c>
      <c r="R164" s="12">
        <f t="shared" si="2"/>
        <v>1.6656694215167319E-3</v>
      </c>
    </row>
    <row r="165" spans="1:18" x14ac:dyDescent="0.3">
      <c r="B165" s="1">
        <v>20</v>
      </c>
      <c r="C165" s="1">
        <v>1</v>
      </c>
      <c r="D165" s="4">
        <v>40</v>
      </c>
      <c r="E165" s="3">
        <v>2.8</v>
      </c>
      <c r="F165" s="1">
        <v>40</v>
      </c>
      <c r="G165" s="1">
        <v>50</v>
      </c>
      <c r="H165" s="1">
        <v>100</v>
      </c>
      <c r="I165" s="1">
        <v>250</v>
      </c>
      <c r="J165" s="1">
        <v>315</v>
      </c>
      <c r="K165" s="1">
        <v>15000</v>
      </c>
      <c r="L165" s="5">
        <v>75.400393066082174</v>
      </c>
      <c r="M165" s="8">
        <v>2.1000000000000001E-2</v>
      </c>
      <c r="N165" s="3">
        <v>19.21</v>
      </c>
      <c r="O165" s="5">
        <v>348.7466984995794</v>
      </c>
      <c r="P165" s="3">
        <v>0.33</v>
      </c>
      <c r="R165" s="12">
        <f t="shared" si="2"/>
        <v>1.743733492497897E-3</v>
      </c>
    </row>
    <row r="166" spans="1:18" x14ac:dyDescent="0.3">
      <c r="A166" t="s">
        <v>41</v>
      </c>
      <c r="B166" s="1">
        <v>10</v>
      </c>
      <c r="C166" s="1">
        <v>1</v>
      </c>
      <c r="D166" s="4">
        <v>45</v>
      </c>
      <c r="E166" s="3">
        <v>2.8</v>
      </c>
      <c r="F166" s="1">
        <v>40</v>
      </c>
      <c r="G166" s="1">
        <v>45</v>
      </c>
      <c r="H166" s="1">
        <v>100</v>
      </c>
      <c r="I166" s="1">
        <v>350</v>
      </c>
      <c r="J166" s="1">
        <v>78.5</v>
      </c>
      <c r="K166" s="1">
        <v>9500</v>
      </c>
      <c r="L166" s="5">
        <v>54.13865484956586</v>
      </c>
      <c r="M166" s="8">
        <v>8.263157894736842E-3</v>
      </c>
      <c r="N166" s="3">
        <v>6.99</v>
      </c>
      <c r="O166" s="5">
        <v>310.30985357473827</v>
      </c>
      <c r="P166" s="3">
        <v>0.15</v>
      </c>
      <c r="R166" s="12">
        <f t="shared" si="2"/>
        <v>1.5515492678736913E-3</v>
      </c>
    </row>
    <row r="167" spans="1:18" x14ac:dyDescent="0.3">
      <c r="B167" s="1">
        <v>10</v>
      </c>
      <c r="C167" s="1">
        <v>1</v>
      </c>
      <c r="D167" s="4">
        <v>45</v>
      </c>
      <c r="E167" s="3">
        <v>2.8</v>
      </c>
      <c r="F167" s="1">
        <v>40</v>
      </c>
      <c r="G167" s="1">
        <v>45</v>
      </c>
      <c r="H167" s="1">
        <v>100</v>
      </c>
      <c r="I167" s="1">
        <v>350</v>
      </c>
      <c r="J167" s="1">
        <v>78.5</v>
      </c>
      <c r="K167" s="1">
        <v>9500</v>
      </c>
      <c r="L167" s="5">
        <v>54.13865484956586</v>
      </c>
      <c r="M167" s="8">
        <v>8.263157894736842E-3</v>
      </c>
      <c r="N167" s="3">
        <v>7.44</v>
      </c>
      <c r="O167" s="5">
        <v>330.28688277482877</v>
      </c>
      <c r="P167" s="3">
        <v>0.19</v>
      </c>
      <c r="R167" s="12">
        <f t="shared" si="2"/>
        <v>1.6514344138741437E-3</v>
      </c>
    </row>
    <row r="168" spans="1:18" x14ac:dyDescent="0.3">
      <c r="B168" s="1">
        <v>10</v>
      </c>
      <c r="C168" s="1">
        <v>1</v>
      </c>
      <c r="D168" s="4">
        <v>45</v>
      </c>
      <c r="E168" s="3">
        <v>2.8</v>
      </c>
      <c r="F168" s="1">
        <v>40</v>
      </c>
      <c r="G168" s="1">
        <v>45</v>
      </c>
      <c r="H168" s="1">
        <v>100</v>
      </c>
      <c r="I168" s="1">
        <v>350</v>
      </c>
      <c r="J168" s="1">
        <v>78.5</v>
      </c>
      <c r="K168" s="1">
        <v>9500</v>
      </c>
      <c r="L168" s="5">
        <v>54.13865484956586</v>
      </c>
      <c r="M168" s="8">
        <v>8.263157894736842E-3</v>
      </c>
      <c r="N168" s="3">
        <v>7.53</v>
      </c>
      <c r="O168" s="5">
        <v>334.28228861484689</v>
      </c>
      <c r="P168" s="3">
        <v>0.2</v>
      </c>
      <c r="R168" s="12">
        <f t="shared" si="2"/>
        <v>1.6714114430742345E-3</v>
      </c>
    </row>
    <row r="169" spans="1:18" x14ac:dyDescent="0.3">
      <c r="B169" s="1">
        <v>10</v>
      </c>
      <c r="C169" s="1">
        <v>1</v>
      </c>
      <c r="D169" s="4">
        <v>45</v>
      </c>
      <c r="E169" s="3">
        <v>2.8</v>
      </c>
      <c r="F169" s="1">
        <v>40</v>
      </c>
      <c r="G169" s="1">
        <v>45</v>
      </c>
      <c r="H169" s="1">
        <v>100</v>
      </c>
      <c r="I169" s="1">
        <v>350</v>
      </c>
      <c r="J169" s="1">
        <v>78.5</v>
      </c>
      <c r="K169" s="1">
        <v>9500</v>
      </c>
      <c r="L169" s="5">
        <v>54.13865484956586</v>
      </c>
      <c r="M169" s="8">
        <v>8.263157894736842E-3</v>
      </c>
      <c r="N169" s="3">
        <v>7.91</v>
      </c>
      <c r="O169" s="5">
        <v>351.15177993936766</v>
      </c>
      <c r="P169" s="3">
        <v>0.23</v>
      </c>
      <c r="R169" s="12">
        <f t="shared" si="2"/>
        <v>1.7557588996968384E-3</v>
      </c>
    </row>
    <row r="170" spans="1:18" x14ac:dyDescent="0.3">
      <c r="B170" s="1">
        <v>10</v>
      </c>
      <c r="C170" s="1">
        <v>1</v>
      </c>
      <c r="D170" s="4">
        <v>45</v>
      </c>
      <c r="E170" s="3">
        <v>2.8</v>
      </c>
      <c r="F170" s="1">
        <v>40</v>
      </c>
      <c r="G170" s="1">
        <v>45</v>
      </c>
      <c r="H170" s="1">
        <v>100</v>
      </c>
      <c r="I170" s="1">
        <v>350</v>
      </c>
      <c r="J170" s="1">
        <v>78.5</v>
      </c>
      <c r="K170" s="1">
        <v>9500</v>
      </c>
      <c r="L170" s="5">
        <v>54.13865484956586</v>
      </c>
      <c r="M170" s="8">
        <v>8.263157894736842E-3</v>
      </c>
      <c r="N170" s="3">
        <v>8.17</v>
      </c>
      <c r="O170" s="5">
        <v>362.69406347719769</v>
      </c>
      <c r="P170" s="3">
        <v>0.25</v>
      </c>
      <c r="R170" s="12">
        <f t="shared" si="2"/>
        <v>1.8134703173859883E-3</v>
      </c>
    </row>
    <row r="171" spans="1:18" x14ac:dyDescent="0.3">
      <c r="B171" s="1">
        <v>10</v>
      </c>
      <c r="C171" s="1">
        <v>1</v>
      </c>
      <c r="D171" s="4">
        <v>45</v>
      </c>
      <c r="E171" s="3">
        <v>2.8</v>
      </c>
      <c r="F171" s="1">
        <v>40</v>
      </c>
      <c r="G171" s="1">
        <v>45</v>
      </c>
      <c r="H171" s="1">
        <v>100</v>
      </c>
      <c r="I171" s="1">
        <v>350</v>
      </c>
      <c r="J171" s="1">
        <v>78.5</v>
      </c>
      <c r="K171" s="1">
        <v>9500</v>
      </c>
      <c r="L171" s="5">
        <v>54.13865484956586</v>
      </c>
      <c r="M171" s="8">
        <v>8.263157894736842E-3</v>
      </c>
      <c r="N171" s="3">
        <v>8.4600000000000009</v>
      </c>
      <c r="O171" s="5">
        <v>375.5681489617005</v>
      </c>
      <c r="P171" s="3">
        <v>0.28000000000000003</v>
      </c>
      <c r="R171" s="12">
        <f t="shared" si="2"/>
        <v>1.8778407448085026E-3</v>
      </c>
    </row>
    <row r="172" spans="1:18" x14ac:dyDescent="0.3">
      <c r="B172" s="1">
        <v>10</v>
      </c>
      <c r="C172" s="1">
        <v>1</v>
      </c>
      <c r="D172" s="4">
        <v>45</v>
      </c>
      <c r="E172" s="3">
        <v>2.8</v>
      </c>
      <c r="F172" s="1">
        <v>40</v>
      </c>
      <c r="G172" s="1">
        <v>45</v>
      </c>
      <c r="H172" s="1">
        <v>100</v>
      </c>
      <c r="I172" s="1">
        <v>350</v>
      </c>
      <c r="J172" s="1">
        <v>78.5</v>
      </c>
      <c r="K172" s="1">
        <v>9500</v>
      </c>
      <c r="L172" s="5">
        <v>54.13865484956586</v>
      </c>
      <c r="M172" s="8">
        <v>8.263157894736842E-3</v>
      </c>
      <c r="N172" s="3">
        <v>8.7200000000000006</v>
      </c>
      <c r="O172" s="5">
        <v>387.11043249953048</v>
      </c>
      <c r="P172" s="3">
        <v>0.31</v>
      </c>
      <c r="R172" s="12">
        <f t="shared" si="2"/>
        <v>1.9355521624976524E-3</v>
      </c>
    </row>
    <row r="173" spans="1:18" x14ac:dyDescent="0.3">
      <c r="B173" s="1">
        <v>10</v>
      </c>
      <c r="C173" s="1">
        <v>1</v>
      </c>
      <c r="D173" s="4">
        <v>45</v>
      </c>
      <c r="E173" s="3">
        <v>2.8</v>
      </c>
      <c r="F173" s="1">
        <v>40</v>
      </c>
      <c r="G173" s="1">
        <v>45</v>
      </c>
      <c r="H173" s="1">
        <v>100</v>
      </c>
      <c r="I173" s="1">
        <v>350</v>
      </c>
      <c r="J173" s="1">
        <v>78.5</v>
      </c>
      <c r="K173" s="1">
        <v>9500</v>
      </c>
      <c r="L173" s="5">
        <v>54.13865484956586</v>
      </c>
      <c r="M173" s="8">
        <v>8.263157894736842E-3</v>
      </c>
      <c r="N173" s="3">
        <v>9.0299999999999994</v>
      </c>
      <c r="O173" s="5">
        <v>400.87238594848156</v>
      </c>
      <c r="P173" s="3">
        <v>0.36</v>
      </c>
      <c r="R173" s="12">
        <f t="shared" si="2"/>
        <v>2.0043619297424077E-3</v>
      </c>
    </row>
    <row r="174" spans="1:18" x14ac:dyDescent="0.3">
      <c r="A174" t="s">
        <v>42</v>
      </c>
      <c r="B174" s="1">
        <v>10</v>
      </c>
      <c r="C174" s="1">
        <v>1</v>
      </c>
      <c r="D174" s="4">
        <v>45</v>
      </c>
      <c r="E174" s="3">
        <v>2.8</v>
      </c>
      <c r="F174" s="1">
        <v>40</v>
      </c>
      <c r="G174" s="1">
        <v>45</v>
      </c>
      <c r="H174" s="1">
        <v>100</v>
      </c>
      <c r="I174" s="1">
        <v>350</v>
      </c>
      <c r="J174" s="1">
        <v>78.5</v>
      </c>
      <c r="K174" s="1">
        <v>9500</v>
      </c>
      <c r="L174" s="5">
        <v>54.13865484956586</v>
      </c>
      <c r="M174" s="8">
        <v>8.263157894736842E-3</v>
      </c>
      <c r="N174" s="3">
        <v>6.96</v>
      </c>
      <c r="O174" s="5">
        <v>308.9780516280656</v>
      </c>
      <c r="P174" s="3">
        <v>0.16</v>
      </c>
      <c r="R174" s="12">
        <f t="shared" si="2"/>
        <v>1.5448902581403281E-3</v>
      </c>
    </row>
    <row r="175" spans="1:18" x14ac:dyDescent="0.3">
      <c r="B175" s="1">
        <v>10</v>
      </c>
      <c r="C175" s="1">
        <v>1</v>
      </c>
      <c r="D175" s="4">
        <v>45</v>
      </c>
      <c r="E175" s="3">
        <v>2.8</v>
      </c>
      <c r="F175" s="1">
        <v>40</v>
      </c>
      <c r="G175" s="1">
        <v>45</v>
      </c>
      <c r="H175" s="1">
        <v>100</v>
      </c>
      <c r="I175" s="1">
        <v>350</v>
      </c>
      <c r="J175" s="1">
        <v>78.5</v>
      </c>
      <c r="K175" s="1">
        <v>9500</v>
      </c>
      <c r="L175" s="5">
        <v>54.13865484956586</v>
      </c>
      <c r="M175" s="8">
        <v>8.263157894736842E-3</v>
      </c>
      <c r="N175" s="3">
        <v>7.26</v>
      </c>
      <c r="O175" s="5">
        <v>322.29607109479258</v>
      </c>
      <c r="P175" s="3">
        <v>0.18</v>
      </c>
      <c r="R175" s="12">
        <f t="shared" si="2"/>
        <v>1.611480355473963E-3</v>
      </c>
    </row>
    <row r="176" spans="1:18" x14ac:dyDescent="0.3">
      <c r="B176" s="1">
        <v>10</v>
      </c>
      <c r="C176" s="1">
        <v>1</v>
      </c>
      <c r="D176" s="4">
        <v>45</v>
      </c>
      <c r="E176" s="3">
        <v>2.8</v>
      </c>
      <c r="F176" s="1">
        <v>40</v>
      </c>
      <c r="G176" s="1">
        <v>45</v>
      </c>
      <c r="H176" s="1">
        <v>100</v>
      </c>
      <c r="I176" s="1">
        <v>350</v>
      </c>
      <c r="J176" s="1">
        <v>78.5</v>
      </c>
      <c r="K176" s="1">
        <v>9500</v>
      </c>
      <c r="L176" s="5">
        <v>54.13865484956586</v>
      </c>
      <c r="M176" s="8">
        <v>8.263157894736842E-3</v>
      </c>
      <c r="N176" s="3">
        <v>7.54</v>
      </c>
      <c r="O176" s="5">
        <v>334.72622259707111</v>
      </c>
      <c r="P176" s="3">
        <v>0.2</v>
      </c>
      <c r="R176" s="12">
        <f t="shared" si="2"/>
        <v>1.6736311129853555E-3</v>
      </c>
    </row>
    <row r="177" spans="1:18" x14ac:dyDescent="0.3">
      <c r="B177" s="1">
        <v>10</v>
      </c>
      <c r="C177" s="1">
        <v>1</v>
      </c>
      <c r="D177" s="4">
        <v>45</v>
      </c>
      <c r="E177" s="3">
        <v>2.8</v>
      </c>
      <c r="F177" s="1">
        <v>40</v>
      </c>
      <c r="G177" s="1">
        <v>45</v>
      </c>
      <c r="H177" s="1">
        <v>100</v>
      </c>
      <c r="I177" s="1">
        <v>350</v>
      </c>
      <c r="J177" s="1">
        <v>78.5</v>
      </c>
      <c r="K177" s="1">
        <v>9500</v>
      </c>
      <c r="L177" s="5">
        <v>54.13865484956586</v>
      </c>
      <c r="M177" s="8">
        <v>8.263157894736842E-3</v>
      </c>
      <c r="N177" s="3">
        <v>7.83</v>
      </c>
      <c r="O177" s="5">
        <v>347.60030808157381</v>
      </c>
      <c r="P177" s="3">
        <v>0.23</v>
      </c>
      <c r="R177" s="12">
        <f t="shared" si="2"/>
        <v>1.7380015404078691E-3</v>
      </c>
    </row>
    <row r="178" spans="1:18" x14ac:dyDescent="0.3">
      <c r="B178" s="1">
        <v>10</v>
      </c>
      <c r="C178" s="1">
        <v>1</v>
      </c>
      <c r="D178" s="4">
        <v>45</v>
      </c>
      <c r="E178" s="3">
        <v>2.8</v>
      </c>
      <c r="F178" s="1">
        <v>40</v>
      </c>
      <c r="G178" s="1">
        <v>45</v>
      </c>
      <c r="H178" s="1">
        <v>100</v>
      </c>
      <c r="I178" s="1">
        <v>350</v>
      </c>
      <c r="J178" s="1">
        <v>78.5</v>
      </c>
      <c r="K178" s="1">
        <v>9500</v>
      </c>
      <c r="L178" s="5">
        <v>54.13865484956586</v>
      </c>
      <c r="M178" s="8">
        <v>8.263157894736842E-3</v>
      </c>
      <c r="N178" s="3">
        <v>8.14</v>
      </c>
      <c r="O178" s="5">
        <v>361.36226153052507</v>
      </c>
      <c r="P178" s="3">
        <v>0.24</v>
      </c>
      <c r="R178" s="12">
        <f t="shared" si="2"/>
        <v>1.8068113076526253E-3</v>
      </c>
    </row>
    <row r="179" spans="1:18" x14ac:dyDescent="0.3">
      <c r="B179" s="1">
        <v>10</v>
      </c>
      <c r="C179" s="1">
        <v>1</v>
      </c>
      <c r="D179" s="4">
        <v>45</v>
      </c>
      <c r="E179" s="3">
        <v>2.8</v>
      </c>
      <c r="F179" s="1">
        <v>40</v>
      </c>
      <c r="G179" s="1">
        <v>45</v>
      </c>
      <c r="H179" s="1">
        <v>100</v>
      </c>
      <c r="I179" s="1">
        <v>350</v>
      </c>
      <c r="J179" s="1">
        <v>78.5</v>
      </c>
      <c r="K179" s="1">
        <v>9500</v>
      </c>
      <c r="L179" s="5">
        <v>54.13865484956586</v>
      </c>
      <c r="M179" s="8">
        <v>8.263157894736842E-3</v>
      </c>
      <c r="N179" s="3">
        <v>8.4600000000000009</v>
      </c>
      <c r="O179" s="5">
        <v>375.5681489617005</v>
      </c>
      <c r="P179" s="3">
        <v>0.25</v>
      </c>
      <c r="R179" s="12">
        <f t="shared" si="2"/>
        <v>1.8778407448085026E-3</v>
      </c>
    </row>
    <row r="180" spans="1:18" x14ac:dyDescent="0.3">
      <c r="B180" s="1">
        <v>10</v>
      </c>
      <c r="C180" s="1">
        <v>1</v>
      </c>
      <c r="D180" s="4">
        <v>45</v>
      </c>
      <c r="E180" s="3">
        <v>2.8</v>
      </c>
      <c r="F180" s="1">
        <v>40</v>
      </c>
      <c r="G180" s="1">
        <v>45</v>
      </c>
      <c r="H180" s="1">
        <v>100</v>
      </c>
      <c r="I180" s="1">
        <v>350</v>
      </c>
      <c r="J180" s="1">
        <v>78.5</v>
      </c>
      <c r="K180" s="1">
        <v>9500</v>
      </c>
      <c r="L180" s="5">
        <v>54.13865484956586</v>
      </c>
      <c r="M180" s="8">
        <v>8.263157894736842E-3</v>
      </c>
      <c r="N180" s="3">
        <v>8.75</v>
      </c>
      <c r="O180" s="5">
        <v>388.44223444620314</v>
      </c>
      <c r="P180" s="3">
        <v>0.27</v>
      </c>
      <c r="R180" s="12">
        <f t="shared" si="2"/>
        <v>1.9422111722310158E-3</v>
      </c>
    </row>
    <row r="181" spans="1:18" x14ac:dyDescent="0.3">
      <c r="B181" s="1">
        <v>10</v>
      </c>
      <c r="C181" s="1">
        <v>1</v>
      </c>
      <c r="D181" s="4">
        <v>45</v>
      </c>
      <c r="E181" s="3">
        <v>2.8</v>
      </c>
      <c r="F181" s="1">
        <v>40</v>
      </c>
      <c r="G181" s="1">
        <v>45</v>
      </c>
      <c r="H181" s="1">
        <v>100</v>
      </c>
      <c r="I181" s="1">
        <v>350</v>
      </c>
      <c r="J181" s="1">
        <v>78.5</v>
      </c>
      <c r="K181" s="1">
        <v>9500</v>
      </c>
      <c r="L181" s="5">
        <v>54.13865484956586</v>
      </c>
      <c r="M181" s="8">
        <v>8.263157894736842E-3</v>
      </c>
      <c r="N181" s="3">
        <v>9.01</v>
      </c>
      <c r="O181" s="5">
        <v>399.98451798403318</v>
      </c>
      <c r="P181" s="3">
        <v>0.28999999999999998</v>
      </c>
      <c r="R181" s="12">
        <f t="shared" si="2"/>
        <v>1.999922589920166E-3</v>
      </c>
    </row>
    <row r="182" spans="1:18" x14ac:dyDescent="0.3">
      <c r="A182" t="s">
        <v>43</v>
      </c>
      <c r="B182" s="1">
        <v>10</v>
      </c>
      <c r="C182" s="1">
        <v>1</v>
      </c>
      <c r="D182" s="4">
        <v>45</v>
      </c>
      <c r="E182" s="3">
        <v>2.8</v>
      </c>
      <c r="F182" s="1">
        <v>40</v>
      </c>
      <c r="G182" s="1">
        <v>45</v>
      </c>
      <c r="H182" s="1">
        <v>100</v>
      </c>
      <c r="I182" s="1">
        <v>350</v>
      </c>
      <c r="J182" s="1">
        <v>78.5</v>
      </c>
      <c r="K182" s="1">
        <v>9500</v>
      </c>
      <c r="L182" s="5">
        <v>54.13865484956586</v>
      </c>
      <c r="M182" s="8">
        <v>8.263157894736842E-3</v>
      </c>
      <c r="N182" s="3">
        <v>7.29</v>
      </c>
      <c r="O182" s="5">
        <v>323.62787304146531</v>
      </c>
      <c r="P182" s="3">
        <v>0.15</v>
      </c>
      <c r="R182" s="12">
        <f t="shared" si="2"/>
        <v>1.6181393652073266E-3</v>
      </c>
    </row>
    <row r="183" spans="1:18" x14ac:dyDescent="0.3">
      <c r="B183" s="1">
        <v>10</v>
      </c>
      <c r="C183" s="1">
        <v>1</v>
      </c>
      <c r="D183" s="4">
        <v>45</v>
      </c>
      <c r="E183" s="3">
        <v>2.8</v>
      </c>
      <c r="F183" s="1">
        <v>40</v>
      </c>
      <c r="G183" s="1">
        <v>45</v>
      </c>
      <c r="H183" s="1">
        <v>100</v>
      </c>
      <c r="I183" s="1">
        <v>350</v>
      </c>
      <c r="J183" s="1">
        <v>78.5</v>
      </c>
      <c r="K183" s="1">
        <v>9500</v>
      </c>
      <c r="L183" s="5">
        <v>54.13865484956586</v>
      </c>
      <c r="M183" s="8">
        <v>8.263157894736842E-3</v>
      </c>
      <c r="N183" s="3">
        <v>7.58</v>
      </c>
      <c r="O183" s="5">
        <v>336.50195852596801</v>
      </c>
      <c r="P183" s="3">
        <v>0.16</v>
      </c>
      <c r="R183" s="12">
        <f t="shared" si="2"/>
        <v>1.68250979262984E-3</v>
      </c>
    </row>
    <row r="184" spans="1:18" x14ac:dyDescent="0.3">
      <c r="B184" s="1">
        <v>10</v>
      </c>
      <c r="C184" s="1">
        <v>1</v>
      </c>
      <c r="D184" s="4">
        <v>45</v>
      </c>
      <c r="E184" s="3">
        <v>2.8</v>
      </c>
      <c r="F184" s="1">
        <v>40</v>
      </c>
      <c r="G184" s="1">
        <v>45</v>
      </c>
      <c r="H184" s="1">
        <v>100</v>
      </c>
      <c r="I184" s="1">
        <v>350</v>
      </c>
      <c r="J184" s="1">
        <v>78.5</v>
      </c>
      <c r="K184" s="1">
        <v>9500</v>
      </c>
      <c r="L184" s="5">
        <v>54.13865484956586</v>
      </c>
      <c r="M184" s="8">
        <v>8.263157894736842E-3</v>
      </c>
      <c r="N184" s="3">
        <v>7.99</v>
      </c>
      <c r="O184" s="5">
        <v>354.70325179716156</v>
      </c>
      <c r="P184" s="3">
        <v>0.18</v>
      </c>
      <c r="R184" s="12">
        <f t="shared" si="2"/>
        <v>1.7735162589858078E-3</v>
      </c>
    </row>
    <row r="185" spans="1:18" x14ac:dyDescent="0.3">
      <c r="B185" s="1">
        <v>10</v>
      </c>
      <c r="C185" s="1">
        <v>1</v>
      </c>
      <c r="D185" s="4">
        <v>45</v>
      </c>
      <c r="E185" s="3">
        <v>2.8</v>
      </c>
      <c r="F185" s="1">
        <v>40</v>
      </c>
      <c r="G185" s="1">
        <v>45</v>
      </c>
      <c r="H185" s="1">
        <v>100</v>
      </c>
      <c r="I185" s="1">
        <v>350</v>
      </c>
      <c r="J185" s="1">
        <v>78.5</v>
      </c>
      <c r="K185" s="1">
        <v>9500</v>
      </c>
      <c r="L185" s="5">
        <v>54.13865484956586</v>
      </c>
      <c r="M185" s="8">
        <v>8.263157894736842E-3</v>
      </c>
      <c r="N185" s="3">
        <v>8.23</v>
      </c>
      <c r="O185" s="5">
        <v>365.35766737054308</v>
      </c>
      <c r="P185" s="3">
        <v>0.18</v>
      </c>
      <c r="R185" s="12">
        <f t="shared" si="2"/>
        <v>1.8267883368527154E-3</v>
      </c>
    </row>
    <row r="186" spans="1:18" x14ac:dyDescent="0.3">
      <c r="B186" s="1">
        <v>10</v>
      </c>
      <c r="C186" s="1">
        <v>1</v>
      </c>
      <c r="D186" s="4">
        <v>45</v>
      </c>
      <c r="E186" s="3">
        <v>2.8</v>
      </c>
      <c r="F186" s="1">
        <v>40</v>
      </c>
      <c r="G186" s="1">
        <v>45</v>
      </c>
      <c r="H186" s="1">
        <v>100</v>
      </c>
      <c r="I186" s="1">
        <v>350</v>
      </c>
      <c r="J186" s="1">
        <v>78.5</v>
      </c>
      <c r="K186" s="1">
        <v>9500</v>
      </c>
      <c r="L186" s="5">
        <v>54.13865484956586</v>
      </c>
      <c r="M186" s="8">
        <v>8.263157894736842E-3</v>
      </c>
      <c r="N186" s="3">
        <v>8.4600000000000009</v>
      </c>
      <c r="O186" s="5">
        <v>375.5681489617005</v>
      </c>
      <c r="P186" s="3">
        <v>0.19</v>
      </c>
      <c r="R186" s="12">
        <f t="shared" si="2"/>
        <v>1.8778407448085026E-3</v>
      </c>
    </row>
    <row r="187" spans="1:18" x14ac:dyDescent="0.3">
      <c r="B187" s="1">
        <v>10</v>
      </c>
      <c r="C187" s="1">
        <v>1</v>
      </c>
      <c r="D187" s="4">
        <v>45</v>
      </c>
      <c r="E187" s="3">
        <v>2.8</v>
      </c>
      <c r="F187" s="1">
        <v>40</v>
      </c>
      <c r="G187" s="1">
        <v>45</v>
      </c>
      <c r="H187" s="1">
        <v>100</v>
      </c>
      <c r="I187" s="1">
        <v>350</v>
      </c>
      <c r="J187" s="1">
        <v>78.5</v>
      </c>
      <c r="K187" s="1">
        <v>9500</v>
      </c>
      <c r="L187" s="5">
        <v>54.13865484956586</v>
      </c>
      <c r="M187" s="8">
        <v>8.263157894736842E-3</v>
      </c>
      <c r="N187" s="3">
        <v>8.7100000000000009</v>
      </c>
      <c r="O187" s="5">
        <v>386.66649851730631</v>
      </c>
      <c r="P187" s="3">
        <v>0.2</v>
      </c>
      <c r="R187" s="12">
        <f t="shared" si="2"/>
        <v>1.9333324925865315E-3</v>
      </c>
    </row>
    <row r="188" spans="1:18" x14ac:dyDescent="0.3">
      <c r="B188" s="1">
        <v>10</v>
      </c>
      <c r="C188" s="1">
        <v>1</v>
      </c>
      <c r="D188" s="4">
        <v>45</v>
      </c>
      <c r="E188" s="3">
        <v>2.8</v>
      </c>
      <c r="F188" s="1">
        <v>40</v>
      </c>
      <c r="G188" s="1">
        <v>45</v>
      </c>
      <c r="H188" s="1">
        <v>100</v>
      </c>
      <c r="I188" s="1">
        <v>350</v>
      </c>
      <c r="J188" s="1">
        <v>78.5</v>
      </c>
      <c r="K188" s="1">
        <v>9500</v>
      </c>
      <c r="L188" s="5">
        <v>54.13865484956586</v>
      </c>
      <c r="M188" s="8">
        <v>8.263157894736842E-3</v>
      </c>
      <c r="N188" s="3">
        <v>9.0399999999999991</v>
      </c>
      <c r="O188" s="5">
        <v>401.31631993070596</v>
      </c>
      <c r="P188" s="3">
        <v>0.22</v>
      </c>
      <c r="R188" s="12">
        <f t="shared" si="2"/>
        <v>2.0065815996535299E-3</v>
      </c>
    </row>
    <row r="189" spans="1:18" x14ac:dyDescent="0.3">
      <c r="A189" t="s">
        <v>44</v>
      </c>
      <c r="B189" s="1">
        <v>20</v>
      </c>
      <c r="C189" s="1">
        <v>1</v>
      </c>
      <c r="D189" s="4">
        <v>40</v>
      </c>
      <c r="E189" s="3">
        <v>2.8</v>
      </c>
      <c r="F189" s="1">
        <v>40</v>
      </c>
      <c r="G189" s="1">
        <v>50</v>
      </c>
      <c r="H189" s="1">
        <v>100</v>
      </c>
      <c r="I189" s="1">
        <v>350</v>
      </c>
      <c r="J189" s="1">
        <v>315</v>
      </c>
      <c r="K189" s="1">
        <v>15000</v>
      </c>
      <c r="L189" s="5">
        <v>96.386921369125758</v>
      </c>
      <c r="M189" s="8">
        <v>2.1000000000000001E-2</v>
      </c>
      <c r="N189" s="3">
        <v>18.98</v>
      </c>
      <c r="O189" s="5">
        <v>224.93648942333181</v>
      </c>
      <c r="P189" s="3">
        <v>0.16</v>
      </c>
      <c r="R189" s="12">
        <f t="shared" si="2"/>
        <v>1.1246824471166591E-3</v>
      </c>
    </row>
    <row r="190" spans="1:18" x14ac:dyDescent="0.3">
      <c r="B190" s="1">
        <v>20</v>
      </c>
      <c r="C190" s="1">
        <v>1</v>
      </c>
      <c r="D190" s="4">
        <v>40</v>
      </c>
      <c r="E190" s="3">
        <v>2.8</v>
      </c>
      <c r="F190" s="1">
        <v>40</v>
      </c>
      <c r="G190" s="1">
        <v>50</v>
      </c>
      <c r="H190" s="1">
        <v>100</v>
      </c>
      <c r="I190" s="1">
        <v>350</v>
      </c>
      <c r="J190" s="1">
        <v>315</v>
      </c>
      <c r="K190" s="1">
        <v>15000</v>
      </c>
      <c r="L190" s="5">
        <v>96.386921369125758</v>
      </c>
      <c r="M190" s="8">
        <v>2.1000000000000001E-2</v>
      </c>
      <c r="N190" s="3">
        <v>21.93</v>
      </c>
      <c r="O190" s="5">
        <v>259.89764030841235</v>
      </c>
      <c r="P190" s="3">
        <v>0.2</v>
      </c>
      <c r="R190" s="12">
        <f t="shared" si="2"/>
        <v>1.2994882015420618E-3</v>
      </c>
    </row>
    <row r="191" spans="1:18" x14ac:dyDescent="0.3">
      <c r="B191" s="1">
        <v>20</v>
      </c>
      <c r="C191" s="1">
        <v>1</v>
      </c>
      <c r="D191" s="4">
        <v>40</v>
      </c>
      <c r="E191" s="3">
        <v>2.8</v>
      </c>
      <c r="F191" s="1">
        <v>40</v>
      </c>
      <c r="G191" s="1">
        <v>50</v>
      </c>
      <c r="H191" s="1">
        <v>100</v>
      </c>
      <c r="I191" s="1">
        <v>350</v>
      </c>
      <c r="J191" s="1">
        <v>315</v>
      </c>
      <c r="K191" s="1">
        <v>15000</v>
      </c>
      <c r="L191" s="5">
        <v>96.386921369125758</v>
      </c>
      <c r="M191" s="8">
        <v>2.1000000000000001E-2</v>
      </c>
      <c r="N191" s="3">
        <v>24.87</v>
      </c>
      <c r="O191" s="5">
        <v>294.74027881761134</v>
      </c>
      <c r="P191" s="3">
        <v>0.23</v>
      </c>
      <c r="R191" s="12">
        <f t="shared" si="2"/>
        <v>1.4737013940880567E-3</v>
      </c>
    </row>
    <row r="192" spans="1:18" x14ac:dyDescent="0.3">
      <c r="A192" t="s">
        <v>45</v>
      </c>
      <c r="B192" s="1">
        <v>20</v>
      </c>
      <c r="C192" s="1">
        <v>1</v>
      </c>
      <c r="D192" s="4">
        <v>40</v>
      </c>
      <c r="E192" s="3">
        <v>2.8</v>
      </c>
      <c r="F192" s="1">
        <v>40</v>
      </c>
      <c r="G192" s="1">
        <v>50</v>
      </c>
      <c r="H192" s="1">
        <v>100</v>
      </c>
      <c r="I192" s="1">
        <v>350</v>
      </c>
      <c r="J192" s="1">
        <v>315</v>
      </c>
      <c r="K192" s="1">
        <v>15000</v>
      </c>
      <c r="L192" s="5">
        <v>96.386921369125758</v>
      </c>
      <c r="M192" s="8">
        <v>2.1000000000000001E-2</v>
      </c>
      <c r="N192" s="3">
        <v>18.98</v>
      </c>
      <c r="O192" s="5">
        <v>224.93648942333181</v>
      </c>
      <c r="P192" s="3">
        <v>0.14000000000000001</v>
      </c>
      <c r="R192" s="12">
        <f t="shared" si="2"/>
        <v>1.1246824471166591E-3</v>
      </c>
    </row>
    <row r="193" spans="1:18" x14ac:dyDescent="0.3">
      <c r="B193" s="1">
        <v>20</v>
      </c>
      <c r="C193" s="1">
        <v>1</v>
      </c>
      <c r="D193" s="4">
        <v>40</v>
      </c>
      <c r="E193" s="3">
        <v>2.8</v>
      </c>
      <c r="F193" s="1">
        <v>40</v>
      </c>
      <c r="G193" s="1">
        <v>50</v>
      </c>
      <c r="H193" s="1">
        <v>100</v>
      </c>
      <c r="I193" s="1">
        <v>350</v>
      </c>
      <c r="J193" s="1">
        <v>315</v>
      </c>
      <c r="K193" s="1">
        <v>15000</v>
      </c>
      <c r="L193" s="5">
        <v>96.386921369125758</v>
      </c>
      <c r="M193" s="8">
        <v>2.1000000000000001E-2</v>
      </c>
      <c r="N193" s="3">
        <v>21.89</v>
      </c>
      <c r="O193" s="5">
        <v>259.42359080488586</v>
      </c>
      <c r="P193" s="3">
        <v>0.17</v>
      </c>
      <c r="R193" s="12">
        <f t="shared" si="2"/>
        <v>1.2971179540244293E-3</v>
      </c>
    </row>
    <row r="194" spans="1:18" x14ac:dyDescent="0.3">
      <c r="B194" s="1">
        <v>20</v>
      </c>
      <c r="C194" s="1">
        <v>1</v>
      </c>
      <c r="D194" s="4">
        <v>40</v>
      </c>
      <c r="E194" s="3">
        <v>2.8</v>
      </c>
      <c r="F194" s="1">
        <v>40</v>
      </c>
      <c r="G194" s="1">
        <v>50</v>
      </c>
      <c r="H194" s="1">
        <v>100</v>
      </c>
      <c r="I194" s="1">
        <v>350</v>
      </c>
      <c r="J194" s="1">
        <v>315</v>
      </c>
      <c r="K194" s="1">
        <v>15000</v>
      </c>
      <c r="L194" s="5">
        <v>96.386921369125758</v>
      </c>
      <c r="M194" s="8">
        <v>2.1000000000000001E-2</v>
      </c>
      <c r="N194" s="3">
        <v>24.82</v>
      </c>
      <c r="O194" s="5">
        <v>294.14771693820313</v>
      </c>
      <c r="P194" s="3">
        <v>0.21</v>
      </c>
      <c r="R194" s="12">
        <f t="shared" si="2"/>
        <v>1.4707385846910157E-3</v>
      </c>
    </row>
    <row r="195" spans="1:18" x14ac:dyDescent="0.3">
      <c r="A195" t="s">
        <v>46</v>
      </c>
      <c r="B195" s="1">
        <v>20</v>
      </c>
      <c r="C195" s="1">
        <v>1</v>
      </c>
      <c r="D195" s="4">
        <v>40</v>
      </c>
      <c r="E195" s="3">
        <v>2.8</v>
      </c>
      <c r="F195" s="1">
        <v>40</v>
      </c>
      <c r="G195" s="1">
        <v>50</v>
      </c>
      <c r="H195" s="1">
        <v>100</v>
      </c>
      <c r="I195" s="1">
        <v>350</v>
      </c>
      <c r="J195" s="1">
        <v>315</v>
      </c>
      <c r="K195" s="1">
        <v>15000</v>
      </c>
      <c r="L195" s="5">
        <v>96.386921369125758</v>
      </c>
      <c r="M195" s="8">
        <v>2.1000000000000001E-2</v>
      </c>
      <c r="N195" s="3">
        <v>13.02</v>
      </c>
      <c r="O195" s="5">
        <v>154.30311339788094</v>
      </c>
      <c r="P195" s="3">
        <v>0.21</v>
      </c>
      <c r="R195" s="12">
        <f t="shared" si="2"/>
        <v>7.7151556698940472E-4</v>
      </c>
    </row>
    <row r="196" spans="1:18" x14ac:dyDescent="0.3">
      <c r="B196" s="1">
        <v>20</v>
      </c>
      <c r="C196" s="1">
        <v>1</v>
      </c>
      <c r="D196" s="4">
        <v>40</v>
      </c>
      <c r="E196" s="3">
        <v>2.8</v>
      </c>
      <c r="F196" s="1">
        <v>40</v>
      </c>
      <c r="G196" s="1">
        <v>50</v>
      </c>
      <c r="H196" s="1">
        <v>100</v>
      </c>
      <c r="I196" s="1">
        <v>350</v>
      </c>
      <c r="J196" s="1">
        <v>315</v>
      </c>
      <c r="K196" s="1">
        <v>15000</v>
      </c>
      <c r="L196" s="5">
        <v>96.386921369125758</v>
      </c>
      <c r="M196" s="8">
        <v>2.1000000000000001E-2</v>
      </c>
      <c r="N196" s="3">
        <v>16.059999999999999</v>
      </c>
      <c r="O196" s="5">
        <v>190.33087566589617</v>
      </c>
      <c r="P196" s="3">
        <v>0.25</v>
      </c>
      <c r="R196" s="12">
        <f t="shared" ref="R196:R259" si="3">O196/200000</f>
        <v>9.5165437832948083E-4</v>
      </c>
    </row>
    <row r="197" spans="1:18" x14ac:dyDescent="0.3">
      <c r="B197" s="1">
        <v>20</v>
      </c>
      <c r="C197" s="1">
        <v>1</v>
      </c>
      <c r="D197" s="4">
        <v>40</v>
      </c>
      <c r="E197" s="3">
        <v>2.8</v>
      </c>
      <c r="F197" s="1">
        <v>40</v>
      </c>
      <c r="G197" s="1">
        <v>50</v>
      </c>
      <c r="H197" s="1">
        <v>100</v>
      </c>
      <c r="I197" s="1">
        <v>350</v>
      </c>
      <c r="J197" s="1">
        <v>315</v>
      </c>
      <c r="K197" s="1">
        <v>15000</v>
      </c>
      <c r="L197" s="5">
        <v>96.386921369125758</v>
      </c>
      <c r="M197" s="8">
        <v>2.1000000000000001E-2</v>
      </c>
      <c r="N197" s="3">
        <v>18.93</v>
      </c>
      <c r="O197" s="5">
        <v>224.34392754392366</v>
      </c>
      <c r="P197" s="3">
        <v>0.28999999999999998</v>
      </c>
      <c r="R197" s="12">
        <f t="shared" si="3"/>
        <v>1.1217196377196182E-3</v>
      </c>
    </row>
    <row r="198" spans="1:18" x14ac:dyDescent="0.3">
      <c r="B198" s="1">
        <v>20</v>
      </c>
      <c r="C198" s="1">
        <v>1</v>
      </c>
      <c r="D198" s="4">
        <v>40</v>
      </c>
      <c r="E198" s="3">
        <v>2.8</v>
      </c>
      <c r="F198" s="1">
        <v>40</v>
      </c>
      <c r="G198" s="1">
        <v>50</v>
      </c>
      <c r="H198" s="1">
        <v>100</v>
      </c>
      <c r="I198" s="1">
        <v>350</v>
      </c>
      <c r="J198" s="1">
        <v>315</v>
      </c>
      <c r="K198" s="1">
        <v>15000</v>
      </c>
      <c r="L198" s="5">
        <v>96.386921369125758</v>
      </c>
      <c r="M198" s="8">
        <v>2.1000000000000001E-2</v>
      </c>
      <c r="N198" s="3">
        <v>21.81</v>
      </c>
      <c r="O198" s="5">
        <v>258.47549179783277</v>
      </c>
      <c r="P198" s="3">
        <v>0.33</v>
      </c>
      <c r="R198" s="12">
        <f t="shared" si="3"/>
        <v>1.2923774589891639E-3</v>
      </c>
    </row>
    <row r="199" spans="1:18" x14ac:dyDescent="0.3">
      <c r="B199" s="1">
        <v>20</v>
      </c>
      <c r="C199" s="1">
        <v>1</v>
      </c>
      <c r="D199" s="4">
        <v>40</v>
      </c>
      <c r="E199" s="3">
        <v>2.8</v>
      </c>
      <c r="F199" s="1">
        <v>40</v>
      </c>
      <c r="G199" s="1">
        <v>50</v>
      </c>
      <c r="H199" s="1">
        <v>100</v>
      </c>
      <c r="I199" s="1">
        <v>350</v>
      </c>
      <c r="J199" s="1">
        <v>315</v>
      </c>
      <c r="K199" s="1">
        <v>15000</v>
      </c>
      <c r="L199" s="5">
        <v>96.386921369125758</v>
      </c>
      <c r="M199" s="8">
        <v>2.1000000000000001E-2</v>
      </c>
      <c r="N199" s="3">
        <v>25.88</v>
      </c>
      <c r="O199" s="5">
        <v>306.71002878165581</v>
      </c>
      <c r="P199" s="3">
        <v>0.37</v>
      </c>
      <c r="R199" s="12">
        <f t="shared" si="3"/>
        <v>1.533550143908279E-3</v>
      </c>
    </row>
    <row r="200" spans="1:18" x14ac:dyDescent="0.3">
      <c r="A200" t="s">
        <v>47</v>
      </c>
      <c r="B200" s="1">
        <v>20</v>
      </c>
      <c r="C200" s="1">
        <v>6</v>
      </c>
      <c r="D200" s="4">
        <v>84</v>
      </c>
      <c r="E200" s="3">
        <v>3.5088212858554391</v>
      </c>
      <c r="F200" s="1">
        <v>50</v>
      </c>
      <c r="G200" s="1">
        <v>64</v>
      </c>
      <c r="H200" s="1">
        <v>600</v>
      </c>
      <c r="I200" s="1">
        <v>400</v>
      </c>
      <c r="J200" s="1">
        <v>1884</v>
      </c>
      <c r="K200" s="1">
        <v>98400</v>
      </c>
      <c r="L200" s="5">
        <v>96.251010941284974</v>
      </c>
      <c r="M200" s="8">
        <v>1.9146341463414634E-2</v>
      </c>
      <c r="N200" s="3">
        <v>103</v>
      </c>
      <c r="O200" s="5">
        <v>179.8880402629556</v>
      </c>
      <c r="P200" s="3">
        <v>0.15</v>
      </c>
      <c r="R200" s="12">
        <f t="shared" si="3"/>
        <v>8.9944020131477805E-4</v>
      </c>
    </row>
    <row r="201" spans="1:18" x14ac:dyDescent="0.3">
      <c r="B201" s="1">
        <v>20</v>
      </c>
      <c r="C201" s="1">
        <v>6</v>
      </c>
      <c r="D201" s="4">
        <v>84</v>
      </c>
      <c r="E201" s="3">
        <v>3.5088212858554391</v>
      </c>
      <c r="F201" s="1">
        <v>50</v>
      </c>
      <c r="G201" s="1">
        <v>64</v>
      </c>
      <c r="H201" s="1">
        <v>600</v>
      </c>
      <c r="I201" s="1">
        <v>400</v>
      </c>
      <c r="J201" s="1">
        <v>1884</v>
      </c>
      <c r="K201" s="1">
        <v>98400</v>
      </c>
      <c r="L201" s="5">
        <v>96.251010941284974</v>
      </c>
      <c r="M201" s="8">
        <v>1.9146341463414634E-2</v>
      </c>
      <c r="N201" s="3">
        <v>129</v>
      </c>
      <c r="O201" s="5">
        <v>225.29667178564338</v>
      </c>
      <c r="P201" s="3">
        <v>0.23</v>
      </c>
      <c r="R201" s="12">
        <f t="shared" si="3"/>
        <v>1.126483358928217E-3</v>
      </c>
    </row>
    <row r="202" spans="1:18" x14ac:dyDescent="0.3">
      <c r="B202" s="1">
        <v>20</v>
      </c>
      <c r="C202" s="1">
        <v>6</v>
      </c>
      <c r="D202" s="4">
        <v>84</v>
      </c>
      <c r="E202" s="3">
        <v>3.5088212858554391</v>
      </c>
      <c r="F202" s="1">
        <v>50</v>
      </c>
      <c r="G202" s="1">
        <v>64</v>
      </c>
      <c r="H202" s="1">
        <v>600</v>
      </c>
      <c r="I202" s="1">
        <v>400</v>
      </c>
      <c r="J202" s="1">
        <v>1884</v>
      </c>
      <c r="K202" s="1">
        <v>98400</v>
      </c>
      <c r="L202" s="5">
        <v>96.251010941284974</v>
      </c>
      <c r="M202" s="8">
        <v>1.9146341463414634E-2</v>
      </c>
      <c r="N202" s="3">
        <v>155</v>
      </c>
      <c r="O202" s="5">
        <v>270.70530330833117</v>
      </c>
      <c r="P202" s="3">
        <v>0.28000000000000003</v>
      </c>
      <c r="R202" s="12">
        <f t="shared" si="3"/>
        <v>1.3535265165416559E-3</v>
      </c>
    </row>
    <row r="203" spans="1:18" x14ac:dyDescent="0.3">
      <c r="A203" t="s">
        <v>48</v>
      </c>
      <c r="B203" s="1">
        <v>20</v>
      </c>
      <c r="C203" s="1">
        <v>9</v>
      </c>
      <c r="D203" s="4">
        <v>45</v>
      </c>
      <c r="E203" s="3">
        <v>3.5088212858554391</v>
      </c>
      <c r="F203" s="1">
        <v>50</v>
      </c>
      <c r="G203" s="1">
        <v>64</v>
      </c>
      <c r="H203" s="1">
        <v>600</v>
      </c>
      <c r="I203" s="1">
        <v>400</v>
      </c>
      <c r="J203" s="1">
        <v>2826</v>
      </c>
      <c r="K203" s="1">
        <v>98400</v>
      </c>
      <c r="L203" s="5">
        <v>113.55033398296069</v>
      </c>
      <c r="M203" s="8">
        <v>2.8719512195121952E-2</v>
      </c>
      <c r="N203" s="3">
        <v>149</v>
      </c>
      <c r="O203" s="5">
        <v>176.83957373352104</v>
      </c>
      <c r="P203" s="3">
        <v>0.18</v>
      </c>
      <c r="R203" s="12">
        <f t="shared" si="3"/>
        <v>8.8419786866760516E-4</v>
      </c>
    </row>
    <row r="204" spans="1:18" x14ac:dyDescent="0.3">
      <c r="B204" s="1">
        <v>20</v>
      </c>
      <c r="C204" s="1">
        <v>9</v>
      </c>
      <c r="D204" s="4">
        <v>45</v>
      </c>
      <c r="E204" s="3">
        <v>3.5088212858554391</v>
      </c>
      <c r="F204" s="1">
        <v>50</v>
      </c>
      <c r="G204" s="1">
        <v>64</v>
      </c>
      <c r="H204" s="1">
        <v>600</v>
      </c>
      <c r="I204" s="1">
        <v>400</v>
      </c>
      <c r="J204" s="1">
        <v>2826</v>
      </c>
      <c r="K204" s="1">
        <v>98400</v>
      </c>
      <c r="L204" s="5">
        <v>113.55033398296069</v>
      </c>
      <c r="M204" s="8">
        <v>2.8719512195121952E-2</v>
      </c>
      <c r="N204" s="3">
        <v>186</v>
      </c>
      <c r="O204" s="5">
        <v>220.75275647271758</v>
      </c>
      <c r="P204" s="3">
        <v>0.26</v>
      </c>
      <c r="R204" s="12">
        <f t="shared" si="3"/>
        <v>1.103763782363588E-3</v>
      </c>
    </row>
    <row r="205" spans="1:18" x14ac:dyDescent="0.3">
      <c r="B205" s="1">
        <v>20</v>
      </c>
      <c r="C205" s="1">
        <v>9</v>
      </c>
      <c r="D205" s="4">
        <v>45</v>
      </c>
      <c r="E205" s="3">
        <v>3.5088212858554391</v>
      </c>
      <c r="F205" s="1">
        <v>50</v>
      </c>
      <c r="G205" s="1">
        <v>64</v>
      </c>
      <c r="H205" s="1">
        <v>600</v>
      </c>
      <c r="I205" s="1">
        <v>400</v>
      </c>
      <c r="J205" s="1">
        <v>2826</v>
      </c>
      <c r="K205" s="1">
        <v>98400</v>
      </c>
      <c r="L205" s="5">
        <v>113.55033398296069</v>
      </c>
      <c r="M205" s="8">
        <v>2.8719512195121952E-2</v>
      </c>
      <c r="N205" s="3">
        <v>223</v>
      </c>
      <c r="O205" s="5">
        <v>264.66593921191406</v>
      </c>
      <c r="P205" s="3">
        <v>0.34</v>
      </c>
      <c r="R205" s="12">
        <f t="shared" si="3"/>
        <v>1.3233296960595703E-3</v>
      </c>
    </row>
    <row r="206" spans="1:18" x14ac:dyDescent="0.3">
      <c r="A206" t="s">
        <v>49</v>
      </c>
      <c r="B206" s="1">
        <v>16</v>
      </c>
      <c r="C206" s="1">
        <v>2</v>
      </c>
      <c r="D206" s="4">
        <v>52</v>
      </c>
      <c r="E206" s="3">
        <v>3.42</v>
      </c>
      <c r="F206" s="1">
        <v>27</v>
      </c>
      <c r="G206" s="1">
        <v>35</v>
      </c>
      <c r="H206" s="1">
        <v>150</v>
      </c>
      <c r="I206" s="1">
        <v>235</v>
      </c>
      <c r="J206" s="1">
        <v>402</v>
      </c>
      <c r="K206" s="1">
        <v>17250</v>
      </c>
      <c r="L206" s="5">
        <v>69.840426640711158</v>
      </c>
      <c r="M206" s="8">
        <v>2.3304347826086955E-2</v>
      </c>
      <c r="N206" s="3">
        <v>16.674999999999997</v>
      </c>
      <c r="O206" s="5">
        <v>234.72234542321382</v>
      </c>
      <c r="P206" s="3">
        <v>0.15</v>
      </c>
      <c r="R206" s="12">
        <f t="shared" si="3"/>
        <v>1.1736117271160691E-3</v>
      </c>
    </row>
    <row r="207" spans="1:18" x14ac:dyDescent="0.3">
      <c r="B207" s="1">
        <v>16</v>
      </c>
      <c r="C207" s="1">
        <v>2</v>
      </c>
      <c r="D207" s="4">
        <v>52</v>
      </c>
      <c r="E207" s="3">
        <v>3.42</v>
      </c>
      <c r="F207" s="1">
        <v>27</v>
      </c>
      <c r="G207" s="1">
        <v>35</v>
      </c>
      <c r="H207" s="1">
        <v>150</v>
      </c>
      <c r="I207" s="1">
        <v>235</v>
      </c>
      <c r="J207" s="1">
        <v>402</v>
      </c>
      <c r="K207" s="1">
        <v>17250</v>
      </c>
      <c r="L207" s="5">
        <v>69.840426640711158</v>
      </c>
      <c r="M207" s="8">
        <v>2.3304347826086955E-2</v>
      </c>
      <c r="N207" s="3">
        <v>22.424999999999997</v>
      </c>
      <c r="O207" s="5">
        <v>315.66108522432211</v>
      </c>
      <c r="P207" s="3">
        <v>0.19</v>
      </c>
      <c r="R207" s="12">
        <f t="shared" si="3"/>
        <v>1.5783054261216106E-3</v>
      </c>
    </row>
    <row r="208" spans="1:18" x14ac:dyDescent="0.3">
      <c r="B208" s="1">
        <v>16</v>
      </c>
      <c r="C208" s="1">
        <v>2</v>
      </c>
      <c r="D208" s="4">
        <v>52</v>
      </c>
      <c r="E208" s="3">
        <v>3.42</v>
      </c>
      <c r="F208" s="1">
        <v>27</v>
      </c>
      <c r="G208" s="1">
        <v>35</v>
      </c>
      <c r="H208" s="1">
        <v>150</v>
      </c>
      <c r="I208" s="1">
        <v>235</v>
      </c>
      <c r="J208" s="1">
        <v>402</v>
      </c>
      <c r="K208" s="1">
        <v>17250</v>
      </c>
      <c r="L208" s="5">
        <v>69.840426640711158</v>
      </c>
      <c r="M208" s="8">
        <v>2.3304347826086955E-2</v>
      </c>
      <c r="N208" s="3">
        <v>25.874999999999996</v>
      </c>
      <c r="O208" s="5">
        <v>364.22432910498702</v>
      </c>
      <c r="P208" s="3">
        <v>0.22</v>
      </c>
      <c r="R208" s="12">
        <f t="shared" si="3"/>
        <v>1.8211216455249351E-3</v>
      </c>
    </row>
    <row r="209" spans="1:18" x14ac:dyDescent="0.3">
      <c r="B209" s="1">
        <v>16</v>
      </c>
      <c r="C209" s="1">
        <v>2</v>
      </c>
      <c r="D209" s="4">
        <v>52</v>
      </c>
      <c r="E209" s="3">
        <v>3.42</v>
      </c>
      <c r="F209" s="1">
        <v>27</v>
      </c>
      <c r="G209" s="1">
        <v>35</v>
      </c>
      <c r="H209" s="1">
        <v>150</v>
      </c>
      <c r="I209" s="1">
        <v>235</v>
      </c>
      <c r="J209" s="1">
        <v>402</v>
      </c>
      <c r="K209" s="1">
        <v>17250</v>
      </c>
      <c r="L209" s="5">
        <v>69.840426640711158</v>
      </c>
      <c r="M209" s="8">
        <v>2.3304347826086955E-2</v>
      </c>
      <c r="N209" s="3">
        <v>28.749999999999996</v>
      </c>
      <c r="O209" s="5">
        <v>404.69369900554108</v>
      </c>
      <c r="P209" s="3">
        <v>0.22</v>
      </c>
      <c r="R209" s="12">
        <f t="shared" si="3"/>
        <v>2.0234684950277055E-3</v>
      </c>
    </row>
    <row r="210" spans="1:18" x14ac:dyDescent="0.3">
      <c r="B210" s="1">
        <v>16</v>
      </c>
      <c r="C210" s="1">
        <v>2</v>
      </c>
      <c r="D210" s="4">
        <v>52</v>
      </c>
      <c r="E210" s="3">
        <v>3.42</v>
      </c>
      <c r="F210" s="1">
        <v>27</v>
      </c>
      <c r="G210" s="1">
        <v>35</v>
      </c>
      <c r="H210" s="1">
        <v>150</v>
      </c>
      <c r="I210" s="1">
        <v>235</v>
      </c>
      <c r="J210" s="1">
        <v>402</v>
      </c>
      <c r="K210" s="1">
        <v>17250</v>
      </c>
      <c r="L210" s="5">
        <v>69.840426640711158</v>
      </c>
      <c r="M210" s="8">
        <v>2.3304347826086955E-2</v>
      </c>
      <c r="N210" s="3">
        <v>33.349999999999994</v>
      </c>
      <c r="O210" s="5">
        <v>469.44469084642765</v>
      </c>
      <c r="P210" s="3">
        <v>0.25</v>
      </c>
      <c r="R210" s="12">
        <f t="shared" si="3"/>
        <v>2.3472234542321383E-3</v>
      </c>
    </row>
    <row r="211" spans="1:18" x14ac:dyDescent="0.3">
      <c r="B211" s="1">
        <v>16</v>
      </c>
      <c r="C211" s="1">
        <v>2</v>
      </c>
      <c r="D211" s="4">
        <v>52</v>
      </c>
      <c r="E211" s="3">
        <v>3.42</v>
      </c>
      <c r="F211" s="1">
        <v>27</v>
      </c>
      <c r="G211" s="1">
        <v>35</v>
      </c>
      <c r="H211" s="1">
        <v>150</v>
      </c>
      <c r="I211" s="1">
        <v>235</v>
      </c>
      <c r="J211" s="1">
        <v>402</v>
      </c>
      <c r="K211" s="1">
        <v>17250</v>
      </c>
      <c r="L211" s="5">
        <v>69.840426640711158</v>
      </c>
      <c r="M211" s="8">
        <v>2.3304347826086955E-2</v>
      </c>
      <c r="N211" s="3">
        <v>37.375</v>
      </c>
      <c r="O211" s="5">
        <v>526.10180870720353</v>
      </c>
      <c r="P211" s="3">
        <v>0.28999999999999998</v>
      </c>
      <c r="R211" s="12">
        <f t="shared" si="3"/>
        <v>2.6305090435360177E-3</v>
      </c>
    </row>
    <row r="212" spans="1:18" x14ac:dyDescent="0.3">
      <c r="A212" t="s">
        <v>50</v>
      </c>
      <c r="B212" s="1">
        <v>20</v>
      </c>
      <c r="C212" s="1">
        <v>2</v>
      </c>
      <c r="D212" s="4">
        <v>44</v>
      </c>
      <c r="E212" s="3">
        <v>3.42</v>
      </c>
      <c r="F212" s="1">
        <v>25</v>
      </c>
      <c r="G212" s="1">
        <v>35</v>
      </c>
      <c r="H212" s="1">
        <v>150</v>
      </c>
      <c r="I212" s="1">
        <v>235</v>
      </c>
      <c r="J212" s="1">
        <v>628</v>
      </c>
      <c r="K212" s="1">
        <v>18375</v>
      </c>
      <c r="L212" s="5">
        <v>82.823824444556394</v>
      </c>
      <c r="M212" s="8">
        <v>3.4176870748299316E-2</v>
      </c>
      <c r="N212" s="3">
        <v>29.324999999999999</v>
      </c>
      <c r="O212" s="5">
        <v>270.87013331072598</v>
      </c>
      <c r="P212" s="3">
        <v>0.17</v>
      </c>
      <c r="R212" s="12">
        <f t="shared" si="3"/>
        <v>1.3543506665536298E-3</v>
      </c>
    </row>
    <row r="213" spans="1:18" x14ac:dyDescent="0.3">
      <c r="B213" s="1">
        <v>20</v>
      </c>
      <c r="C213" s="1">
        <v>2</v>
      </c>
      <c r="D213" s="4">
        <v>44</v>
      </c>
      <c r="E213" s="3">
        <v>3.42</v>
      </c>
      <c r="F213" s="1">
        <v>25</v>
      </c>
      <c r="G213" s="1">
        <v>35</v>
      </c>
      <c r="H213" s="1">
        <v>150</v>
      </c>
      <c r="I213" s="1">
        <v>235</v>
      </c>
      <c r="J213" s="1">
        <v>628</v>
      </c>
      <c r="K213" s="1">
        <v>18375</v>
      </c>
      <c r="L213" s="5">
        <v>82.823824444556394</v>
      </c>
      <c r="M213" s="8">
        <v>3.4176870748299316E-2</v>
      </c>
      <c r="N213" s="3">
        <v>33.349999999999994</v>
      </c>
      <c r="O213" s="5">
        <v>308.0483869023941</v>
      </c>
      <c r="P213" s="3">
        <v>0.19</v>
      </c>
      <c r="R213" s="12">
        <f t="shared" si="3"/>
        <v>1.5402419345119705E-3</v>
      </c>
    </row>
    <row r="214" spans="1:18" x14ac:dyDescent="0.3">
      <c r="B214" s="1">
        <v>20</v>
      </c>
      <c r="C214" s="1">
        <v>2</v>
      </c>
      <c r="D214" s="4">
        <v>44</v>
      </c>
      <c r="E214" s="3">
        <v>3.42</v>
      </c>
      <c r="F214" s="1">
        <v>25</v>
      </c>
      <c r="G214" s="1">
        <v>35</v>
      </c>
      <c r="H214" s="1">
        <v>150</v>
      </c>
      <c r="I214" s="1">
        <v>235</v>
      </c>
      <c r="J214" s="1">
        <v>628</v>
      </c>
      <c r="K214" s="1">
        <v>18375</v>
      </c>
      <c r="L214" s="5">
        <v>82.823824444556394</v>
      </c>
      <c r="M214" s="8">
        <v>3.4176870748299316E-2</v>
      </c>
      <c r="N214" s="3">
        <v>38.524999999999999</v>
      </c>
      <c r="O214" s="5">
        <v>355.84899866311054</v>
      </c>
      <c r="P214" s="3">
        <v>0.21</v>
      </c>
      <c r="R214" s="12">
        <f t="shared" si="3"/>
        <v>1.7792449933155528E-3</v>
      </c>
    </row>
    <row r="215" spans="1:18" x14ac:dyDescent="0.3">
      <c r="B215" s="1">
        <v>20</v>
      </c>
      <c r="C215" s="1">
        <v>2</v>
      </c>
      <c r="D215" s="4">
        <v>44</v>
      </c>
      <c r="E215" s="3">
        <v>3.42</v>
      </c>
      <c r="F215" s="1">
        <v>25</v>
      </c>
      <c r="G215" s="1">
        <v>35</v>
      </c>
      <c r="H215" s="1">
        <v>150</v>
      </c>
      <c r="I215" s="1">
        <v>235</v>
      </c>
      <c r="J215" s="1">
        <v>628</v>
      </c>
      <c r="K215" s="1">
        <v>18375</v>
      </c>
      <c r="L215" s="5">
        <v>82.823824444556394</v>
      </c>
      <c r="M215" s="8">
        <v>3.4176870748299316E-2</v>
      </c>
      <c r="N215" s="3">
        <v>40.824999999999996</v>
      </c>
      <c r="O215" s="5">
        <v>377.09371500120665</v>
      </c>
      <c r="P215" s="3">
        <v>0.23</v>
      </c>
      <c r="R215" s="12">
        <f t="shared" si="3"/>
        <v>1.8854685750060332E-3</v>
      </c>
    </row>
    <row r="216" spans="1:18" x14ac:dyDescent="0.3">
      <c r="B216" s="1">
        <v>20</v>
      </c>
      <c r="C216" s="1">
        <v>2</v>
      </c>
      <c r="D216" s="4">
        <v>44</v>
      </c>
      <c r="E216" s="3">
        <v>3.42</v>
      </c>
      <c r="F216" s="1">
        <v>25</v>
      </c>
      <c r="G216" s="1">
        <v>35</v>
      </c>
      <c r="H216" s="1">
        <v>150</v>
      </c>
      <c r="I216" s="1">
        <v>235</v>
      </c>
      <c r="J216" s="1">
        <v>628</v>
      </c>
      <c r="K216" s="1">
        <v>18375</v>
      </c>
      <c r="L216" s="5">
        <v>82.823824444556394</v>
      </c>
      <c r="M216" s="8">
        <v>3.4176870748299316E-2</v>
      </c>
      <c r="N216" s="3">
        <v>46</v>
      </c>
      <c r="O216" s="5">
        <v>424.89432676192303</v>
      </c>
      <c r="P216" s="3">
        <v>0.25</v>
      </c>
      <c r="R216" s="12">
        <f t="shared" si="3"/>
        <v>2.1244716338096152E-3</v>
      </c>
    </row>
    <row r="217" spans="1:18" x14ac:dyDescent="0.3">
      <c r="B217" s="1">
        <v>20</v>
      </c>
      <c r="C217" s="1">
        <v>2</v>
      </c>
      <c r="D217" s="4">
        <v>44</v>
      </c>
      <c r="E217" s="3">
        <v>3.42</v>
      </c>
      <c r="F217" s="1">
        <v>25</v>
      </c>
      <c r="G217" s="1">
        <v>35</v>
      </c>
      <c r="H217" s="1">
        <v>150</v>
      </c>
      <c r="I217" s="1">
        <v>235</v>
      </c>
      <c r="J217" s="1">
        <v>628</v>
      </c>
      <c r="K217" s="1">
        <v>18375</v>
      </c>
      <c r="L217" s="5">
        <v>82.823824444556394</v>
      </c>
      <c r="M217" s="8">
        <v>3.4176870748299316E-2</v>
      </c>
      <c r="N217" s="3">
        <v>56.924999999999997</v>
      </c>
      <c r="O217" s="5">
        <v>525.80672936787971</v>
      </c>
      <c r="P217" s="3">
        <v>0.25</v>
      </c>
      <c r="R217" s="12">
        <f t="shared" si="3"/>
        <v>2.6290336468393987E-3</v>
      </c>
    </row>
    <row r="218" spans="1:18" x14ac:dyDescent="0.3">
      <c r="A218" t="s">
        <v>51</v>
      </c>
      <c r="B218" s="1">
        <v>20</v>
      </c>
      <c r="C218" s="1">
        <v>3</v>
      </c>
      <c r="D218" s="4">
        <v>12</v>
      </c>
      <c r="E218" s="3">
        <v>3.42</v>
      </c>
      <c r="F218" s="1">
        <v>25</v>
      </c>
      <c r="G218" s="1">
        <v>35</v>
      </c>
      <c r="H218" s="1">
        <v>150</v>
      </c>
      <c r="I218" s="1">
        <v>235</v>
      </c>
      <c r="J218" s="1">
        <v>942</v>
      </c>
      <c r="K218" s="1">
        <v>18375</v>
      </c>
      <c r="L218" s="5">
        <v>95.701732145716321</v>
      </c>
      <c r="M218" s="8">
        <v>5.1265306122448978E-2</v>
      </c>
      <c r="N218" s="3">
        <v>39.099999999999994</v>
      </c>
      <c r="O218" s="5">
        <v>246.92191294539825</v>
      </c>
      <c r="P218" s="3">
        <v>0.18</v>
      </c>
      <c r="R218" s="12">
        <f t="shared" si="3"/>
        <v>1.2346095647269913E-3</v>
      </c>
    </row>
    <row r="219" spans="1:18" x14ac:dyDescent="0.3">
      <c r="B219" s="1">
        <v>20</v>
      </c>
      <c r="C219" s="1">
        <v>3</v>
      </c>
      <c r="D219" s="4">
        <v>12</v>
      </c>
      <c r="E219" s="3">
        <v>3.42</v>
      </c>
      <c r="F219" s="1">
        <v>25</v>
      </c>
      <c r="G219" s="1">
        <v>35</v>
      </c>
      <c r="H219" s="1">
        <v>150</v>
      </c>
      <c r="I219" s="1">
        <v>235</v>
      </c>
      <c r="J219" s="1">
        <v>942</v>
      </c>
      <c r="K219" s="1">
        <v>18375</v>
      </c>
      <c r="L219" s="5">
        <v>95.701732145716321</v>
      </c>
      <c r="M219" s="8">
        <v>5.1265306122448978E-2</v>
      </c>
      <c r="N219" s="3">
        <v>44.849999999999994</v>
      </c>
      <c r="O219" s="5">
        <v>283.23395896678039</v>
      </c>
      <c r="P219" s="3">
        <v>0.19</v>
      </c>
      <c r="R219" s="12">
        <f t="shared" si="3"/>
        <v>1.4161697948339019E-3</v>
      </c>
    </row>
    <row r="220" spans="1:18" x14ac:dyDescent="0.3">
      <c r="B220" s="1">
        <v>20</v>
      </c>
      <c r="C220" s="1">
        <v>3</v>
      </c>
      <c r="D220" s="4">
        <v>12</v>
      </c>
      <c r="E220" s="3">
        <v>3.42</v>
      </c>
      <c r="F220" s="1">
        <v>25</v>
      </c>
      <c r="G220" s="1">
        <v>35</v>
      </c>
      <c r="H220" s="1">
        <v>150</v>
      </c>
      <c r="I220" s="1">
        <v>235</v>
      </c>
      <c r="J220" s="1">
        <v>942</v>
      </c>
      <c r="K220" s="1">
        <v>18375</v>
      </c>
      <c r="L220" s="5">
        <v>95.701732145716321</v>
      </c>
      <c r="M220" s="8">
        <v>5.1265306122448978E-2</v>
      </c>
      <c r="N220" s="3">
        <v>50.024999999999999</v>
      </c>
      <c r="O220" s="5">
        <v>315.9148003860243</v>
      </c>
      <c r="P220" s="3">
        <v>0.21</v>
      </c>
      <c r="R220" s="12">
        <f t="shared" si="3"/>
        <v>1.5795740019301215E-3</v>
      </c>
    </row>
    <row r="221" spans="1:18" x14ac:dyDescent="0.3">
      <c r="B221" s="1">
        <v>20</v>
      </c>
      <c r="C221" s="1">
        <v>3</v>
      </c>
      <c r="D221" s="4">
        <v>12</v>
      </c>
      <c r="E221" s="3">
        <v>3.42</v>
      </c>
      <c r="F221" s="1">
        <v>25</v>
      </c>
      <c r="G221" s="1">
        <v>35</v>
      </c>
      <c r="H221" s="1">
        <v>150</v>
      </c>
      <c r="I221" s="1">
        <v>235</v>
      </c>
      <c r="J221" s="1">
        <v>942</v>
      </c>
      <c r="K221" s="1">
        <v>18375</v>
      </c>
      <c r="L221" s="5">
        <v>95.701732145716321</v>
      </c>
      <c r="M221" s="8">
        <v>5.1265306122448978E-2</v>
      </c>
      <c r="N221" s="3">
        <v>56.349999999999994</v>
      </c>
      <c r="O221" s="5">
        <v>355.85805100954457</v>
      </c>
      <c r="P221" s="3">
        <v>0.23</v>
      </c>
      <c r="R221" s="12">
        <f t="shared" si="3"/>
        <v>1.7792902550477227E-3</v>
      </c>
    </row>
    <row r="222" spans="1:18" x14ac:dyDescent="0.3">
      <c r="B222" s="1">
        <v>20</v>
      </c>
      <c r="C222" s="1">
        <v>3</v>
      </c>
      <c r="D222" s="4">
        <v>12</v>
      </c>
      <c r="E222" s="3">
        <v>3.42</v>
      </c>
      <c r="F222" s="1">
        <v>25</v>
      </c>
      <c r="G222" s="1">
        <v>35</v>
      </c>
      <c r="H222" s="1">
        <v>150</v>
      </c>
      <c r="I222" s="1">
        <v>235</v>
      </c>
      <c r="J222" s="1">
        <v>942</v>
      </c>
      <c r="K222" s="1">
        <v>18375</v>
      </c>
      <c r="L222" s="5">
        <v>95.701732145716321</v>
      </c>
      <c r="M222" s="8">
        <v>5.1265306122448978E-2</v>
      </c>
      <c r="N222" s="3">
        <v>62.674999999999997</v>
      </c>
      <c r="O222" s="5">
        <v>395.80130163306495</v>
      </c>
      <c r="P222" s="3">
        <v>0.25</v>
      </c>
      <c r="R222" s="12">
        <f t="shared" si="3"/>
        <v>1.9790065081653247E-3</v>
      </c>
    </row>
    <row r="223" spans="1:18" x14ac:dyDescent="0.3">
      <c r="B223" s="1">
        <v>20</v>
      </c>
      <c r="C223" s="1">
        <v>3</v>
      </c>
      <c r="D223" s="4">
        <v>12</v>
      </c>
      <c r="E223" s="3">
        <v>3.42</v>
      </c>
      <c r="F223" s="1">
        <v>25</v>
      </c>
      <c r="G223" s="1">
        <v>35</v>
      </c>
      <c r="H223" s="1">
        <v>150</v>
      </c>
      <c r="I223" s="1">
        <v>235</v>
      </c>
      <c r="J223" s="1">
        <v>942</v>
      </c>
      <c r="K223" s="1">
        <v>18375</v>
      </c>
      <c r="L223" s="5">
        <v>95.701732145716321</v>
      </c>
      <c r="M223" s="8">
        <v>5.1265306122448978E-2</v>
      </c>
      <c r="N223" s="3">
        <v>68.424999999999997</v>
      </c>
      <c r="O223" s="5">
        <v>432.11334765444701</v>
      </c>
      <c r="P223" s="3">
        <v>0.28999999999999998</v>
      </c>
      <c r="R223" s="12">
        <f t="shared" si="3"/>
        <v>2.1605667382722351E-3</v>
      </c>
    </row>
    <row r="224" spans="1:18" x14ac:dyDescent="0.3">
      <c r="B224" s="1">
        <v>20</v>
      </c>
      <c r="C224" s="1">
        <v>3</v>
      </c>
      <c r="D224" s="4">
        <v>12</v>
      </c>
      <c r="E224" s="3">
        <v>3.42</v>
      </c>
      <c r="F224" s="1">
        <v>25</v>
      </c>
      <c r="G224" s="1">
        <v>35</v>
      </c>
      <c r="H224" s="1">
        <v>150</v>
      </c>
      <c r="I224" s="1">
        <v>235</v>
      </c>
      <c r="J224" s="1">
        <v>942</v>
      </c>
      <c r="K224" s="1">
        <v>18375</v>
      </c>
      <c r="L224" s="5">
        <v>95.701732145716321</v>
      </c>
      <c r="M224" s="8">
        <v>5.1265306122448978E-2</v>
      </c>
      <c r="N224" s="3">
        <v>74.174999999999997</v>
      </c>
      <c r="O224" s="5">
        <v>468.42539367582907</v>
      </c>
      <c r="P224" s="3">
        <v>0.31</v>
      </c>
      <c r="R224" s="12">
        <f t="shared" si="3"/>
        <v>2.3421269683791455E-3</v>
      </c>
    </row>
    <row r="225" spans="1:18" x14ac:dyDescent="0.3">
      <c r="B225" s="1">
        <v>20</v>
      </c>
      <c r="C225" s="1">
        <v>3</v>
      </c>
      <c r="D225" s="4">
        <v>12</v>
      </c>
      <c r="E225" s="3">
        <v>3.42</v>
      </c>
      <c r="F225" s="1">
        <v>25</v>
      </c>
      <c r="G225" s="1">
        <v>35</v>
      </c>
      <c r="H225" s="1">
        <v>150</v>
      </c>
      <c r="I225" s="1">
        <v>235</v>
      </c>
      <c r="J225" s="1">
        <v>942</v>
      </c>
      <c r="K225" s="1">
        <v>18375</v>
      </c>
      <c r="L225" s="5">
        <v>95.701732145716321</v>
      </c>
      <c r="M225" s="8">
        <v>5.1265306122448978E-2</v>
      </c>
      <c r="N225" s="3">
        <v>79.349999999999994</v>
      </c>
      <c r="O225" s="5">
        <v>501.10623509507292</v>
      </c>
      <c r="P225" s="3">
        <v>0.37</v>
      </c>
      <c r="R225" s="12">
        <f t="shared" si="3"/>
        <v>2.5055311754753648E-3</v>
      </c>
    </row>
    <row r="226" spans="1:18" x14ac:dyDescent="0.3">
      <c r="A226" t="s">
        <v>52</v>
      </c>
      <c r="B226" s="1">
        <v>16</v>
      </c>
      <c r="C226" s="1">
        <v>2</v>
      </c>
      <c r="D226" s="4">
        <v>52</v>
      </c>
      <c r="E226" s="3">
        <v>2.98</v>
      </c>
      <c r="F226" s="1">
        <v>27</v>
      </c>
      <c r="G226" s="1">
        <v>35</v>
      </c>
      <c r="H226" s="1">
        <v>150</v>
      </c>
      <c r="I226" s="1">
        <v>235</v>
      </c>
      <c r="J226" s="1">
        <v>402</v>
      </c>
      <c r="K226" s="1">
        <v>17250</v>
      </c>
      <c r="L226" s="5">
        <v>67.594050734713008</v>
      </c>
      <c r="M226" s="8">
        <v>2.3304347826086955E-2</v>
      </c>
      <c r="N226" s="3">
        <v>26.45</v>
      </c>
      <c r="O226" s="5">
        <v>370.74728404873275</v>
      </c>
      <c r="P226" s="3">
        <v>0.16</v>
      </c>
      <c r="R226" s="12">
        <f t="shared" si="3"/>
        <v>1.8537364202436638E-3</v>
      </c>
    </row>
    <row r="227" spans="1:18" x14ac:dyDescent="0.3">
      <c r="B227" s="1">
        <v>16</v>
      </c>
      <c r="C227" s="1">
        <v>2</v>
      </c>
      <c r="D227" s="4">
        <v>52</v>
      </c>
      <c r="E227" s="3">
        <v>2.98</v>
      </c>
      <c r="F227" s="1">
        <v>27</v>
      </c>
      <c r="G227" s="1">
        <v>35</v>
      </c>
      <c r="H227" s="1">
        <v>150</v>
      </c>
      <c r="I227" s="1">
        <v>235</v>
      </c>
      <c r="J227" s="1">
        <v>402</v>
      </c>
      <c r="K227" s="1">
        <v>17250</v>
      </c>
      <c r="L227" s="5">
        <v>67.594050734713008</v>
      </c>
      <c r="M227" s="8">
        <v>2.3304347826086955E-2</v>
      </c>
      <c r="N227" s="3">
        <v>31.624999999999996</v>
      </c>
      <c r="O227" s="5">
        <v>443.28479614522388</v>
      </c>
      <c r="P227" s="3">
        <v>0.2</v>
      </c>
      <c r="R227" s="12">
        <f t="shared" si="3"/>
        <v>2.2164239807261196E-3</v>
      </c>
    </row>
    <row r="228" spans="1:18" x14ac:dyDescent="0.3">
      <c r="B228" s="1">
        <v>16</v>
      </c>
      <c r="C228" s="1">
        <v>2</v>
      </c>
      <c r="D228" s="4">
        <v>52</v>
      </c>
      <c r="E228" s="3">
        <v>2.98</v>
      </c>
      <c r="F228" s="1">
        <v>27</v>
      </c>
      <c r="G228" s="1">
        <v>35</v>
      </c>
      <c r="H228" s="1">
        <v>150</v>
      </c>
      <c r="I228" s="1">
        <v>235</v>
      </c>
      <c r="J228" s="1">
        <v>402</v>
      </c>
      <c r="K228" s="1">
        <v>17250</v>
      </c>
      <c r="L228" s="5">
        <v>67.594050734713008</v>
      </c>
      <c r="M228" s="8">
        <v>2.3304347826086955E-2</v>
      </c>
      <c r="N228" s="3">
        <v>37.375</v>
      </c>
      <c r="O228" s="5">
        <v>523.88203180799201</v>
      </c>
      <c r="P228" s="3">
        <v>0.26</v>
      </c>
      <c r="R228" s="12">
        <f t="shared" si="3"/>
        <v>2.61941015903996E-3</v>
      </c>
    </row>
    <row r="229" spans="1:18" x14ac:dyDescent="0.3">
      <c r="A229" t="s">
        <v>53</v>
      </c>
      <c r="B229" s="1">
        <v>20</v>
      </c>
      <c r="C229" s="1">
        <v>2</v>
      </c>
      <c r="D229" s="4">
        <v>44</v>
      </c>
      <c r="E229" s="3">
        <v>2.98</v>
      </c>
      <c r="F229" s="1">
        <v>25</v>
      </c>
      <c r="G229" s="1">
        <v>35</v>
      </c>
      <c r="H229" s="1">
        <v>150</v>
      </c>
      <c r="I229" s="1">
        <v>235</v>
      </c>
      <c r="J229" s="1">
        <v>628</v>
      </c>
      <c r="K229" s="1">
        <v>18375</v>
      </c>
      <c r="L229" s="5">
        <v>80.321192218194966</v>
      </c>
      <c r="M229" s="8">
        <v>3.4176870748299316E-2</v>
      </c>
      <c r="N229" s="3">
        <v>28.749999999999996</v>
      </c>
      <c r="O229" s="5">
        <v>264.28009430947355</v>
      </c>
      <c r="P229" s="3">
        <v>0.17</v>
      </c>
      <c r="R229" s="12">
        <f t="shared" si="3"/>
        <v>1.3214004715473677E-3</v>
      </c>
    </row>
    <row r="230" spans="1:18" x14ac:dyDescent="0.3">
      <c r="B230" s="1">
        <v>20</v>
      </c>
      <c r="C230" s="1">
        <v>2</v>
      </c>
      <c r="D230" s="4">
        <v>44</v>
      </c>
      <c r="E230" s="3">
        <v>2.98</v>
      </c>
      <c r="F230" s="1">
        <v>25</v>
      </c>
      <c r="G230" s="1">
        <v>35</v>
      </c>
      <c r="H230" s="1">
        <v>150</v>
      </c>
      <c r="I230" s="1">
        <v>235</v>
      </c>
      <c r="J230" s="1">
        <v>628</v>
      </c>
      <c r="K230" s="1">
        <v>18375</v>
      </c>
      <c r="L230" s="5">
        <v>80.321192218194966</v>
      </c>
      <c r="M230" s="8">
        <v>3.4176870748299316E-2</v>
      </c>
      <c r="N230" s="3">
        <v>32.774999999999999</v>
      </c>
      <c r="O230" s="5">
        <v>301.27930751279979</v>
      </c>
      <c r="P230" s="3">
        <v>0.19</v>
      </c>
      <c r="R230" s="12">
        <f t="shared" si="3"/>
        <v>1.5063965375639989E-3</v>
      </c>
    </row>
    <row r="231" spans="1:18" x14ac:dyDescent="0.3">
      <c r="B231" s="1">
        <v>20</v>
      </c>
      <c r="C231" s="1">
        <v>2</v>
      </c>
      <c r="D231" s="4">
        <v>44</v>
      </c>
      <c r="E231" s="3">
        <v>2.98</v>
      </c>
      <c r="F231" s="1">
        <v>25</v>
      </c>
      <c r="G231" s="1">
        <v>35</v>
      </c>
      <c r="H231" s="1">
        <v>150</v>
      </c>
      <c r="I231" s="1">
        <v>235</v>
      </c>
      <c r="J231" s="1">
        <v>628</v>
      </c>
      <c r="K231" s="1">
        <v>18375</v>
      </c>
      <c r="L231" s="5">
        <v>80.321192218194966</v>
      </c>
      <c r="M231" s="8">
        <v>3.4176870748299316E-2</v>
      </c>
      <c r="N231" s="3">
        <v>37.949999999999996</v>
      </c>
      <c r="O231" s="5">
        <v>348.84972448850499</v>
      </c>
      <c r="P231" s="3">
        <v>0.23</v>
      </c>
      <c r="R231" s="12">
        <f t="shared" si="3"/>
        <v>1.7442486224425249E-3</v>
      </c>
    </row>
    <row r="232" spans="1:18" x14ac:dyDescent="0.3">
      <c r="B232" s="1">
        <v>20</v>
      </c>
      <c r="C232" s="1">
        <v>2</v>
      </c>
      <c r="D232" s="4">
        <v>44</v>
      </c>
      <c r="E232" s="3">
        <v>2.98</v>
      </c>
      <c r="F232" s="1">
        <v>25</v>
      </c>
      <c r="G232" s="1">
        <v>35</v>
      </c>
      <c r="H232" s="1">
        <v>150</v>
      </c>
      <c r="I232" s="1">
        <v>235</v>
      </c>
      <c r="J232" s="1">
        <v>628</v>
      </c>
      <c r="K232" s="1">
        <v>18375</v>
      </c>
      <c r="L232" s="5">
        <v>80.321192218194966</v>
      </c>
      <c r="M232" s="8">
        <v>3.4176870748299316E-2</v>
      </c>
      <c r="N232" s="3">
        <v>40.25</v>
      </c>
      <c r="O232" s="5">
        <v>369.99213203326286</v>
      </c>
      <c r="P232" s="3">
        <v>0.25</v>
      </c>
      <c r="R232" s="12">
        <f t="shared" si="3"/>
        <v>1.8499606601663143E-3</v>
      </c>
    </row>
    <row r="233" spans="1:18" x14ac:dyDescent="0.3">
      <c r="B233" s="1">
        <v>20</v>
      </c>
      <c r="C233" s="1">
        <v>2</v>
      </c>
      <c r="D233" s="4">
        <v>44</v>
      </c>
      <c r="E233" s="3">
        <v>2.98</v>
      </c>
      <c r="F233" s="1">
        <v>25</v>
      </c>
      <c r="G233" s="1">
        <v>35</v>
      </c>
      <c r="H233" s="1">
        <v>150</v>
      </c>
      <c r="I233" s="1">
        <v>235</v>
      </c>
      <c r="J233" s="1">
        <v>628</v>
      </c>
      <c r="K233" s="1">
        <v>18375</v>
      </c>
      <c r="L233" s="5">
        <v>80.321192218194966</v>
      </c>
      <c r="M233" s="8">
        <v>3.4176870748299316E-2</v>
      </c>
      <c r="N233" s="3">
        <v>43.699999999999996</v>
      </c>
      <c r="O233" s="5">
        <v>401.7057433503997</v>
      </c>
      <c r="P233" s="3">
        <v>0.3</v>
      </c>
      <c r="R233" s="12">
        <f t="shared" si="3"/>
        <v>2.0085287167519983E-3</v>
      </c>
    </row>
    <row r="234" spans="1:18" x14ac:dyDescent="0.3">
      <c r="B234" s="1">
        <v>20</v>
      </c>
      <c r="C234" s="1">
        <v>2</v>
      </c>
      <c r="D234" s="4">
        <v>44</v>
      </c>
      <c r="E234" s="3">
        <v>2.98</v>
      </c>
      <c r="F234" s="1">
        <v>25</v>
      </c>
      <c r="G234" s="1">
        <v>35</v>
      </c>
      <c r="H234" s="1">
        <v>150</v>
      </c>
      <c r="I234" s="1">
        <v>235</v>
      </c>
      <c r="J234" s="1">
        <v>628</v>
      </c>
      <c r="K234" s="1">
        <v>18375</v>
      </c>
      <c r="L234" s="5">
        <v>80.321192218194966</v>
      </c>
      <c r="M234" s="8">
        <v>3.4176870748299316E-2</v>
      </c>
      <c r="N234" s="3">
        <v>46</v>
      </c>
      <c r="O234" s="5">
        <v>422.84815089515763</v>
      </c>
      <c r="P234" s="3">
        <v>0.32</v>
      </c>
      <c r="R234" s="12">
        <f t="shared" si="3"/>
        <v>2.1142407544757881E-3</v>
      </c>
    </row>
    <row r="235" spans="1:18" x14ac:dyDescent="0.3">
      <c r="B235" s="1">
        <v>20</v>
      </c>
      <c r="C235" s="1">
        <v>2</v>
      </c>
      <c r="D235" s="4">
        <v>44</v>
      </c>
      <c r="E235" s="3">
        <v>2.98</v>
      </c>
      <c r="F235" s="1">
        <v>25</v>
      </c>
      <c r="G235" s="1">
        <v>35</v>
      </c>
      <c r="H235" s="1">
        <v>150</v>
      </c>
      <c r="I235" s="1">
        <v>235</v>
      </c>
      <c r="J235" s="1">
        <v>628</v>
      </c>
      <c r="K235" s="1">
        <v>18375</v>
      </c>
      <c r="L235" s="5">
        <v>80.321192218194966</v>
      </c>
      <c r="M235" s="8">
        <v>3.4176870748299316E-2</v>
      </c>
      <c r="N235" s="3">
        <v>51.634999999999991</v>
      </c>
      <c r="O235" s="5">
        <v>474.64704937981429</v>
      </c>
      <c r="P235" s="3">
        <v>0.36</v>
      </c>
      <c r="R235" s="12">
        <f t="shared" si="3"/>
        <v>2.3732352468990715E-3</v>
      </c>
    </row>
    <row r="236" spans="1:18" x14ac:dyDescent="0.3">
      <c r="B236" s="1">
        <v>20</v>
      </c>
      <c r="C236" s="1">
        <v>2</v>
      </c>
      <c r="D236" s="4">
        <v>44</v>
      </c>
      <c r="E236" s="3">
        <v>2.98</v>
      </c>
      <c r="F236" s="1">
        <v>25</v>
      </c>
      <c r="G236" s="1">
        <v>35</v>
      </c>
      <c r="H236" s="1">
        <v>150</v>
      </c>
      <c r="I236" s="1">
        <v>235</v>
      </c>
      <c r="J236" s="1">
        <v>628</v>
      </c>
      <c r="K236" s="1">
        <v>18375</v>
      </c>
      <c r="L236" s="5">
        <v>80.321192218194966</v>
      </c>
      <c r="M236" s="8">
        <v>3.4176870748299316E-2</v>
      </c>
      <c r="N236" s="3">
        <v>57.269999999999989</v>
      </c>
      <c r="O236" s="5">
        <v>526.44594786447112</v>
      </c>
      <c r="P236" s="3">
        <v>0.47</v>
      </c>
      <c r="R236" s="12">
        <f t="shared" si="3"/>
        <v>2.6322297393223558E-3</v>
      </c>
    </row>
    <row r="237" spans="1:18" x14ac:dyDescent="0.3">
      <c r="A237" t="s">
        <v>54</v>
      </c>
      <c r="B237" s="1">
        <v>20</v>
      </c>
      <c r="C237" s="1">
        <v>3</v>
      </c>
      <c r="D237" s="4">
        <v>12</v>
      </c>
      <c r="E237" s="3">
        <v>2.98</v>
      </c>
      <c r="F237" s="1">
        <v>25</v>
      </c>
      <c r="G237" s="1">
        <v>35</v>
      </c>
      <c r="H237" s="1">
        <v>150</v>
      </c>
      <c r="I237" s="1">
        <v>235</v>
      </c>
      <c r="J237" s="1">
        <v>942</v>
      </c>
      <c r="K237" s="1">
        <v>18375</v>
      </c>
      <c r="L237" s="5">
        <v>93.01135812514184</v>
      </c>
      <c r="M237" s="8">
        <v>5.1265306122448978E-2</v>
      </c>
      <c r="N237" s="3">
        <v>48.3</v>
      </c>
      <c r="O237" s="5">
        <v>303.4025683141906</v>
      </c>
      <c r="P237" s="3">
        <v>0.16</v>
      </c>
      <c r="R237" s="12">
        <f t="shared" si="3"/>
        <v>1.517012841570953E-3</v>
      </c>
    </row>
    <row r="238" spans="1:18" x14ac:dyDescent="0.3">
      <c r="B238" s="1">
        <v>20</v>
      </c>
      <c r="C238" s="1">
        <v>3</v>
      </c>
      <c r="D238" s="4">
        <v>12</v>
      </c>
      <c r="E238" s="3">
        <v>2.98</v>
      </c>
      <c r="F238" s="1">
        <v>25</v>
      </c>
      <c r="G238" s="1">
        <v>35</v>
      </c>
      <c r="H238" s="1">
        <v>150</v>
      </c>
      <c r="I238" s="1">
        <v>235</v>
      </c>
      <c r="J238" s="1">
        <v>942</v>
      </c>
      <c r="K238" s="1">
        <v>18375</v>
      </c>
      <c r="L238" s="5">
        <v>93.01135812514184</v>
      </c>
      <c r="M238" s="8">
        <v>5.1265306122448978E-2</v>
      </c>
      <c r="N238" s="3">
        <v>50.599999999999994</v>
      </c>
      <c r="O238" s="5">
        <v>317.8503096624853</v>
      </c>
      <c r="P238" s="3">
        <v>0.18</v>
      </c>
      <c r="R238" s="12">
        <f t="shared" si="3"/>
        <v>1.5892515483124266E-3</v>
      </c>
    </row>
    <row r="239" spans="1:18" x14ac:dyDescent="0.3">
      <c r="B239" s="1">
        <v>20</v>
      </c>
      <c r="C239" s="1">
        <v>3</v>
      </c>
      <c r="D239" s="4">
        <v>12</v>
      </c>
      <c r="E239" s="3">
        <v>2.98</v>
      </c>
      <c r="F239" s="1">
        <v>25</v>
      </c>
      <c r="G239" s="1">
        <v>35</v>
      </c>
      <c r="H239" s="1">
        <v>150</v>
      </c>
      <c r="I239" s="1">
        <v>235</v>
      </c>
      <c r="J239" s="1">
        <v>942</v>
      </c>
      <c r="K239" s="1">
        <v>18375</v>
      </c>
      <c r="L239" s="5">
        <v>93.01135812514184</v>
      </c>
      <c r="M239" s="8">
        <v>5.1265306122448978E-2</v>
      </c>
      <c r="N239" s="3">
        <v>56.349999999999994</v>
      </c>
      <c r="O239" s="5">
        <v>353.96966303322239</v>
      </c>
      <c r="P239" s="3">
        <v>0.18</v>
      </c>
      <c r="R239" s="12">
        <f t="shared" si="3"/>
        <v>1.769848315166112E-3</v>
      </c>
    </row>
    <row r="240" spans="1:18" x14ac:dyDescent="0.3">
      <c r="B240" s="1">
        <v>20</v>
      </c>
      <c r="C240" s="1">
        <v>3</v>
      </c>
      <c r="D240" s="4">
        <v>12</v>
      </c>
      <c r="E240" s="3">
        <v>2.98</v>
      </c>
      <c r="F240" s="1">
        <v>25</v>
      </c>
      <c r="G240" s="1">
        <v>35</v>
      </c>
      <c r="H240" s="1">
        <v>150</v>
      </c>
      <c r="I240" s="1">
        <v>235</v>
      </c>
      <c r="J240" s="1">
        <v>942</v>
      </c>
      <c r="K240" s="1">
        <v>18375</v>
      </c>
      <c r="L240" s="5">
        <v>93.01135812514184</v>
      </c>
      <c r="M240" s="8">
        <v>5.1265306122448978E-2</v>
      </c>
      <c r="N240" s="3">
        <v>62.674999999999997</v>
      </c>
      <c r="O240" s="5">
        <v>393.70095174103312</v>
      </c>
      <c r="P240" s="3">
        <v>0.2</v>
      </c>
      <c r="R240" s="12">
        <f t="shared" si="3"/>
        <v>1.9685047587051658E-3</v>
      </c>
    </row>
    <row r="241" spans="1:18" x14ac:dyDescent="0.3">
      <c r="B241" s="1">
        <v>20</v>
      </c>
      <c r="C241" s="1">
        <v>3</v>
      </c>
      <c r="D241" s="4">
        <v>12</v>
      </c>
      <c r="E241" s="3">
        <v>2.98</v>
      </c>
      <c r="F241" s="1">
        <v>25</v>
      </c>
      <c r="G241" s="1">
        <v>35</v>
      </c>
      <c r="H241" s="1">
        <v>150</v>
      </c>
      <c r="I241" s="1">
        <v>235</v>
      </c>
      <c r="J241" s="1">
        <v>942</v>
      </c>
      <c r="K241" s="1">
        <v>18375</v>
      </c>
      <c r="L241" s="5">
        <v>93.01135812514184</v>
      </c>
      <c r="M241" s="8">
        <v>5.1265306122448978E-2</v>
      </c>
      <c r="N241" s="3">
        <v>68.424999999999997</v>
      </c>
      <c r="O241" s="5">
        <v>429.82030511177004</v>
      </c>
      <c r="P241" s="3">
        <v>0.2</v>
      </c>
      <c r="R241" s="12">
        <f t="shared" si="3"/>
        <v>2.1491015255588504E-3</v>
      </c>
    </row>
    <row r="242" spans="1:18" x14ac:dyDescent="0.3">
      <c r="B242" s="1">
        <v>20</v>
      </c>
      <c r="C242" s="1">
        <v>3</v>
      </c>
      <c r="D242" s="4">
        <v>12</v>
      </c>
      <c r="E242" s="3">
        <v>2.98</v>
      </c>
      <c r="F242" s="1">
        <v>25</v>
      </c>
      <c r="G242" s="1">
        <v>35</v>
      </c>
      <c r="H242" s="1">
        <v>150</v>
      </c>
      <c r="I242" s="1">
        <v>235</v>
      </c>
      <c r="J242" s="1">
        <v>942</v>
      </c>
      <c r="K242" s="1">
        <v>18375</v>
      </c>
      <c r="L242" s="5">
        <v>93.01135812514184</v>
      </c>
      <c r="M242" s="8">
        <v>5.1265306122448978E-2</v>
      </c>
      <c r="N242" s="3">
        <v>73.599999999999994</v>
      </c>
      <c r="O242" s="5">
        <v>462.32772314543331</v>
      </c>
      <c r="P242" s="3">
        <v>0.2</v>
      </c>
      <c r="R242" s="12">
        <f t="shared" si="3"/>
        <v>2.3116386157271667E-3</v>
      </c>
    </row>
    <row r="243" spans="1:18" x14ac:dyDescent="0.3">
      <c r="B243" s="1">
        <v>20</v>
      </c>
      <c r="C243" s="1">
        <v>3</v>
      </c>
      <c r="D243" s="4">
        <v>12</v>
      </c>
      <c r="E243" s="3">
        <v>2.98</v>
      </c>
      <c r="F243" s="1">
        <v>25</v>
      </c>
      <c r="G243" s="1">
        <v>35</v>
      </c>
      <c r="H243" s="1">
        <v>150</v>
      </c>
      <c r="I243" s="1">
        <v>235</v>
      </c>
      <c r="J243" s="1">
        <v>942</v>
      </c>
      <c r="K243" s="1">
        <v>18375</v>
      </c>
      <c r="L243" s="5">
        <v>93.01135812514184</v>
      </c>
      <c r="M243" s="8">
        <v>5.1265306122448978E-2</v>
      </c>
      <c r="N243" s="3">
        <v>79.924999999999997</v>
      </c>
      <c r="O243" s="5">
        <v>502.05901185324399</v>
      </c>
      <c r="P243" s="3">
        <v>0.22</v>
      </c>
      <c r="R243" s="12">
        <f t="shared" si="3"/>
        <v>2.51029505926622E-3</v>
      </c>
    </row>
    <row r="244" spans="1:18" x14ac:dyDescent="0.3">
      <c r="A244" t="s">
        <v>55</v>
      </c>
      <c r="B244" s="1">
        <v>28</v>
      </c>
      <c r="C244" s="1">
        <v>4</v>
      </c>
      <c r="D244" s="4">
        <v>16</v>
      </c>
      <c r="E244" s="3">
        <v>5.3084743571011064</v>
      </c>
      <c r="F244" s="1">
        <v>30</v>
      </c>
      <c r="G244" s="1">
        <v>44</v>
      </c>
      <c r="H244" s="1">
        <v>200</v>
      </c>
      <c r="I244" s="1">
        <v>300</v>
      </c>
      <c r="J244" s="1">
        <v>2463</v>
      </c>
      <c r="K244" s="1">
        <v>30800</v>
      </c>
      <c r="L244" s="5">
        <v>133.49341623498307</v>
      </c>
      <c r="M244" s="8">
        <v>7.9967532467532465E-2</v>
      </c>
      <c r="N244" s="3">
        <v>78.75</v>
      </c>
      <c r="O244" s="5">
        <v>151.17196997745879</v>
      </c>
      <c r="P244" s="3">
        <v>0.22</v>
      </c>
      <c r="R244" s="12">
        <f t="shared" si="3"/>
        <v>7.558598498872939E-4</v>
      </c>
    </row>
    <row r="245" spans="1:18" x14ac:dyDescent="0.3">
      <c r="B245" s="1">
        <v>28</v>
      </c>
      <c r="C245" s="1">
        <v>4</v>
      </c>
      <c r="D245" s="4">
        <v>16</v>
      </c>
      <c r="E245" s="3">
        <v>5.3084743571011064</v>
      </c>
      <c r="F245" s="1">
        <v>30</v>
      </c>
      <c r="G245" s="1">
        <v>44</v>
      </c>
      <c r="H245" s="1">
        <v>200</v>
      </c>
      <c r="I245" s="1">
        <v>300</v>
      </c>
      <c r="J245" s="1">
        <v>2463</v>
      </c>
      <c r="K245" s="1">
        <v>30800</v>
      </c>
      <c r="L245" s="5">
        <v>133.49341623498307</v>
      </c>
      <c r="M245" s="8">
        <v>7.9967532467532465E-2</v>
      </c>
      <c r="N245" s="3">
        <v>105.075</v>
      </c>
      <c r="O245" s="5">
        <v>201.70659994135215</v>
      </c>
      <c r="P245" s="3">
        <v>0.25</v>
      </c>
      <c r="R245" s="12">
        <f t="shared" si="3"/>
        <v>1.0085329997067609E-3</v>
      </c>
    </row>
    <row r="246" spans="1:18" x14ac:dyDescent="0.3">
      <c r="B246" s="1">
        <v>28</v>
      </c>
      <c r="C246" s="1">
        <v>4</v>
      </c>
      <c r="D246" s="4">
        <v>16</v>
      </c>
      <c r="E246" s="3">
        <v>5.3084743571011064</v>
      </c>
      <c r="F246" s="1">
        <v>30</v>
      </c>
      <c r="G246" s="1">
        <v>44</v>
      </c>
      <c r="H246" s="1">
        <v>200</v>
      </c>
      <c r="I246" s="1">
        <v>300</v>
      </c>
      <c r="J246" s="1">
        <v>2463</v>
      </c>
      <c r="K246" s="1">
        <v>30800</v>
      </c>
      <c r="L246" s="5">
        <v>133.49341623498307</v>
      </c>
      <c r="M246" s="8">
        <v>7.9967532467532465E-2</v>
      </c>
      <c r="N246" s="3">
        <v>120.15</v>
      </c>
      <c r="O246" s="5">
        <v>230.64523419418001</v>
      </c>
      <c r="P246" s="3">
        <v>0.28999999999999998</v>
      </c>
      <c r="R246" s="12">
        <f t="shared" si="3"/>
        <v>1.1532261709709E-3</v>
      </c>
    </row>
    <row r="247" spans="1:18" x14ac:dyDescent="0.3">
      <c r="B247" s="1">
        <v>28</v>
      </c>
      <c r="C247" s="1">
        <v>4</v>
      </c>
      <c r="D247" s="4">
        <v>16</v>
      </c>
      <c r="E247" s="3">
        <v>5.3084743571011064</v>
      </c>
      <c r="F247" s="1">
        <v>30</v>
      </c>
      <c r="G247" s="1">
        <v>44</v>
      </c>
      <c r="H247" s="1">
        <v>200</v>
      </c>
      <c r="I247" s="1">
        <v>300</v>
      </c>
      <c r="J247" s="1">
        <v>2463</v>
      </c>
      <c r="K247" s="1">
        <v>30800</v>
      </c>
      <c r="L247" s="5">
        <v>133.49341623498307</v>
      </c>
      <c r="M247" s="8">
        <v>7.9967532467532465E-2</v>
      </c>
      <c r="N247" s="3">
        <v>137.47499999999999</v>
      </c>
      <c r="O247" s="5">
        <v>263.90306758922088</v>
      </c>
      <c r="P247" s="3">
        <v>0.31</v>
      </c>
      <c r="R247" s="12">
        <f t="shared" si="3"/>
        <v>1.3195153379461043E-3</v>
      </c>
    </row>
    <row r="248" spans="1:18" x14ac:dyDescent="0.3">
      <c r="B248" s="1">
        <v>28</v>
      </c>
      <c r="C248" s="1">
        <v>4</v>
      </c>
      <c r="D248" s="4">
        <v>16</v>
      </c>
      <c r="E248" s="3">
        <v>5.3084743571011064</v>
      </c>
      <c r="F248" s="1">
        <v>30</v>
      </c>
      <c r="G248" s="1">
        <v>44</v>
      </c>
      <c r="H248" s="1">
        <v>200</v>
      </c>
      <c r="I248" s="1">
        <v>300</v>
      </c>
      <c r="J248" s="1">
        <v>2463</v>
      </c>
      <c r="K248" s="1">
        <v>30800</v>
      </c>
      <c r="L248" s="5">
        <v>133.49341623498307</v>
      </c>
      <c r="M248" s="8">
        <v>7.9967532467532465E-2</v>
      </c>
      <c r="N248" s="3">
        <v>164.47499999999999</v>
      </c>
      <c r="O248" s="5">
        <v>315.73345729577818</v>
      </c>
      <c r="P248" s="3">
        <v>0.33</v>
      </c>
      <c r="R248" s="12">
        <f t="shared" si="3"/>
        <v>1.5786672864788909E-3</v>
      </c>
    </row>
    <row r="249" spans="1:18" x14ac:dyDescent="0.3">
      <c r="B249" s="1">
        <v>28</v>
      </c>
      <c r="C249" s="1">
        <v>4</v>
      </c>
      <c r="D249" s="4">
        <v>16</v>
      </c>
      <c r="E249" s="3">
        <v>5.3084743571011064</v>
      </c>
      <c r="F249" s="1">
        <v>30</v>
      </c>
      <c r="G249" s="1">
        <v>44</v>
      </c>
      <c r="H249" s="1">
        <v>200</v>
      </c>
      <c r="I249" s="1">
        <v>300</v>
      </c>
      <c r="J249" s="1">
        <v>2463</v>
      </c>
      <c r="K249" s="1">
        <v>30800</v>
      </c>
      <c r="L249" s="5">
        <v>133.49341623498307</v>
      </c>
      <c r="M249" s="8">
        <v>7.9967532467532465E-2</v>
      </c>
      <c r="N249" s="3">
        <v>178.20000000000002</v>
      </c>
      <c r="O249" s="5">
        <v>342.08057206327823</v>
      </c>
      <c r="P249" s="3">
        <v>0.34</v>
      </c>
      <c r="R249" s="12">
        <f t="shared" si="3"/>
        <v>1.7104028603163912E-3</v>
      </c>
    </row>
    <row r="250" spans="1:18" x14ac:dyDescent="0.3">
      <c r="B250" s="1">
        <v>28</v>
      </c>
      <c r="C250" s="1">
        <v>4</v>
      </c>
      <c r="D250" s="4">
        <v>16</v>
      </c>
      <c r="E250" s="3">
        <v>5.3084743571011064</v>
      </c>
      <c r="F250" s="1">
        <v>30</v>
      </c>
      <c r="G250" s="1">
        <v>44</v>
      </c>
      <c r="H250" s="1">
        <v>200</v>
      </c>
      <c r="I250" s="1">
        <v>300</v>
      </c>
      <c r="J250" s="1">
        <v>2463</v>
      </c>
      <c r="K250" s="1">
        <v>30800</v>
      </c>
      <c r="L250" s="5">
        <v>133.49341623498307</v>
      </c>
      <c r="M250" s="8">
        <v>7.9967532467532465E-2</v>
      </c>
      <c r="N250" s="3">
        <v>198.22499999999999</v>
      </c>
      <c r="O250" s="5">
        <v>380.5214444289748</v>
      </c>
      <c r="P250" s="3">
        <v>0.37</v>
      </c>
      <c r="R250" s="12">
        <f t="shared" si="3"/>
        <v>1.9026072221448741E-3</v>
      </c>
    </row>
    <row r="251" spans="1:18" x14ac:dyDescent="0.3">
      <c r="A251" t="s">
        <v>56</v>
      </c>
      <c r="B251" s="1">
        <v>15.9</v>
      </c>
      <c r="C251" s="1">
        <v>2</v>
      </c>
      <c r="D251" s="4">
        <v>46</v>
      </c>
      <c r="E251" s="3">
        <v>2.8258773978663156</v>
      </c>
      <c r="F251" s="1">
        <v>30</v>
      </c>
      <c r="G251" s="1">
        <v>38</v>
      </c>
      <c r="H251" s="1">
        <v>150</v>
      </c>
      <c r="I251" s="1">
        <v>250</v>
      </c>
      <c r="J251" s="1">
        <v>397.2</v>
      </c>
      <c r="K251" s="1">
        <v>17625</v>
      </c>
      <c r="L251" s="5">
        <v>70.061381209483116</v>
      </c>
      <c r="M251" s="8">
        <v>2.2536170212765955E-2</v>
      </c>
      <c r="N251" s="3">
        <v>27.1</v>
      </c>
      <c r="O251" s="5">
        <v>361.66957450902817</v>
      </c>
      <c r="P251" s="3">
        <v>0.2</v>
      </c>
      <c r="R251" s="12">
        <f t="shared" si="3"/>
        <v>1.8083478725451408E-3</v>
      </c>
    </row>
    <row r="252" spans="1:18" x14ac:dyDescent="0.3">
      <c r="B252" s="1">
        <v>15.9</v>
      </c>
      <c r="C252" s="1">
        <v>2</v>
      </c>
      <c r="D252" s="4">
        <v>46</v>
      </c>
      <c r="E252" s="3">
        <v>2.8258773978663156</v>
      </c>
      <c r="F252" s="1">
        <v>30</v>
      </c>
      <c r="G252" s="1">
        <v>38</v>
      </c>
      <c r="H252" s="1">
        <v>150</v>
      </c>
      <c r="I252" s="1">
        <v>250</v>
      </c>
      <c r="J252" s="1">
        <v>397.2</v>
      </c>
      <c r="K252" s="1">
        <v>17625</v>
      </c>
      <c r="L252" s="5">
        <v>70.061381209483116</v>
      </c>
      <c r="M252" s="8">
        <v>2.2536170212765955E-2</v>
      </c>
      <c r="N252" s="3">
        <v>35.6</v>
      </c>
      <c r="O252" s="5">
        <v>392.3</v>
      </c>
      <c r="P252" s="3">
        <v>0.35</v>
      </c>
      <c r="R252" s="12">
        <f t="shared" si="3"/>
        <v>1.9615000000000001E-3</v>
      </c>
    </row>
    <row r="253" spans="1:18" x14ac:dyDescent="0.3">
      <c r="A253" t="s">
        <v>57</v>
      </c>
      <c r="B253" s="1">
        <v>15.9</v>
      </c>
      <c r="C253" s="1">
        <v>2</v>
      </c>
      <c r="D253" s="4">
        <v>46</v>
      </c>
      <c r="E253" s="3">
        <v>2.8258773978663156</v>
      </c>
      <c r="F253" s="1">
        <v>30</v>
      </c>
      <c r="G253" s="1">
        <v>38</v>
      </c>
      <c r="H253" s="1">
        <v>150</v>
      </c>
      <c r="I253" s="1">
        <v>250</v>
      </c>
      <c r="J253" s="1">
        <v>397.2</v>
      </c>
      <c r="K253" s="1">
        <v>17625</v>
      </c>
      <c r="L253" s="5">
        <v>70.061381209483116</v>
      </c>
      <c r="M253" s="8">
        <v>2.2536170212765955E-2</v>
      </c>
      <c r="N253" s="3">
        <v>27.2</v>
      </c>
      <c r="O253" s="5">
        <v>363.0041485847072</v>
      </c>
      <c r="P253" s="3">
        <v>0.2</v>
      </c>
      <c r="R253" s="12">
        <f t="shared" si="3"/>
        <v>1.8150207429235359E-3</v>
      </c>
    </row>
    <row r="254" spans="1:18" x14ac:dyDescent="0.3">
      <c r="B254" s="1">
        <v>15.9</v>
      </c>
      <c r="C254" s="1">
        <v>2</v>
      </c>
      <c r="D254" s="4">
        <v>46</v>
      </c>
      <c r="E254" s="3">
        <v>2.8258773978663156</v>
      </c>
      <c r="F254" s="1">
        <v>30</v>
      </c>
      <c r="G254" s="1">
        <v>38</v>
      </c>
      <c r="H254" s="1">
        <v>150</v>
      </c>
      <c r="I254" s="1">
        <v>250</v>
      </c>
      <c r="J254" s="1">
        <v>397.2</v>
      </c>
      <c r="K254" s="1">
        <v>17625</v>
      </c>
      <c r="L254" s="5">
        <v>70.061381209483116</v>
      </c>
      <c r="M254" s="8">
        <v>2.2536170212765955E-2</v>
      </c>
      <c r="N254" s="3">
        <v>35.6</v>
      </c>
      <c r="O254" s="5">
        <v>392.3</v>
      </c>
      <c r="P254" s="3">
        <v>0.25</v>
      </c>
      <c r="R254" s="12">
        <f t="shared" si="3"/>
        <v>1.9615000000000001E-3</v>
      </c>
    </row>
    <row r="255" spans="1:18" x14ac:dyDescent="0.3">
      <c r="A255" t="s">
        <v>58</v>
      </c>
      <c r="B255" s="1">
        <v>15.9</v>
      </c>
      <c r="C255" s="1">
        <v>2</v>
      </c>
      <c r="D255" s="4">
        <v>46</v>
      </c>
      <c r="E255" s="3">
        <v>2.8258773978663156</v>
      </c>
      <c r="F255" s="1">
        <v>30</v>
      </c>
      <c r="G255" s="1">
        <v>38</v>
      </c>
      <c r="H255" s="1">
        <v>150</v>
      </c>
      <c r="I255" s="1">
        <v>250</v>
      </c>
      <c r="J255" s="1">
        <v>397.2</v>
      </c>
      <c r="K255" s="1">
        <v>17625</v>
      </c>
      <c r="L255" s="5">
        <v>70.061381209483116</v>
      </c>
      <c r="M255" s="8">
        <v>2.2536170212765955E-2</v>
      </c>
      <c r="N255" s="3">
        <v>27.2</v>
      </c>
      <c r="O255" s="5">
        <v>363.0041485847072</v>
      </c>
      <c r="P255" s="3">
        <v>0.2</v>
      </c>
      <c r="R255" s="12">
        <f t="shared" si="3"/>
        <v>1.8150207429235359E-3</v>
      </c>
    </row>
    <row r="256" spans="1:18" x14ac:dyDescent="0.3">
      <c r="B256" s="1">
        <v>15.9</v>
      </c>
      <c r="C256" s="1">
        <v>2</v>
      </c>
      <c r="D256" s="4">
        <v>46</v>
      </c>
      <c r="E256" s="3">
        <v>2.8258773978663156</v>
      </c>
      <c r="F256" s="1">
        <v>30</v>
      </c>
      <c r="G256" s="1">
        <v>38</v>
      </c>
      <c r="H256" s="1">
        <v>150</v>
      </c>
      <c r="I256" s="1">
        <v>250</v>
      </c>
      <c r="J256" s="1">
        <v>397.2</v>
      </c>
      <c r="K256" s="1">
        <v>17625</v>
      </c>
      <c r="L256" s="5">
        <v>70.061381209483116</v>
      </c>
      <c r="M256" s="8">
        <v>2.2536170212765955E-2</v>
      </c>
      <c r="N256" s="3">
        <v>35.6</v>
      </c>
      <c r="O256" s="5">
        <v>392.3</v>
      </c>
      <c r="P256" s="3">
        <v>0.25</v>
      </c>
      <c r="R256" s="12">
        <f t="shared" si="3"/>
        <v>1.9615000000000001E-3</v>
      </c>
    </row>
    <row r="257" spans="1:18" x14ac:dyDescent="0.3">
      <c r="A257" t="s">
        <v>59</v>
      </c>
      <c r="B257" s="1">
        <v>15.9</v>
      </c>
      <c r="C257" s="1">
        <v>2</v>
      </c>
      <c r="D257" s="4">
        <v>46</v>
      </c>
      <c r="E257" s="3">
        <v>2.8258773978663156</v>
      </c>
      <c r="F257" s="1">
        <v>30</v>
      </c>
      <c r="G257" s="1">
        <v>38</v>
      </c>
      <c r="H257" s="1">
        <v>150</v>
      </c>
      <c r="I257" s="1">
        <v>250</v>
      </c>
      <c r="J257" s="1">
        <v>397.2</v>
      </c>
      <c r="K257" s="1">
        <v>17625</v>
      </c>
      <c r="L257" s="5">
        <v>70.061381209483116</v>
      </c>
      <c r="M257" s="8">
        <v>2.2536170212765955E-2</v>
      </c>
      <c r="N257" s="3">
        <v>27.3</v>
      </c>
      <c r="O257" s="5">
        <v>364.33872266038628</v>
      </c>
      <c r="P257" s="3">
        <v>0.2</v>
      </c>
      <c r="R257" s="12">
        <f t="shared" si="3"/>
        <v>1.8216936133019315E-3</v>
      </c>
    </row>
    <row r="258" spans="1:18" x14ac:dyDescent="0.3">
      <c r="B258" s="1">
        <v>15.9</v>
      </c>
      <c r="C258" s="1">
        <v>2</v>
      </c>
      <c r="D258" s="4">
        <v>46</v>
      </c>
      <c r="E258" s="3">
        <v>2.8258773978663156</v>
      </c>
      <c r="F258" s="1">
        <v>30</v>
      </c>
      <c r="G258" s="1">
        <v>38</v>
      </c>
      <c r="H258" s="1">
        <v>150</v>
      </c>
      <c r="I258" s="1">
        <v>250</v>
      </c>
      <c r="J258" s="1">
        <v>397.2</v>
      </c>
      <c r="K258" s="1">
        <v>17625</v>
      </c>
      <c r="L258" s="5">
        <v>70.061381209483116</v>
      </c>
      <c r="M258" s="8">
        <v>2.2536170212765955E-2</v>
      </c>
      <c r="N258" s="3">
        <v>35.700000000000003</v>
      </c>
      <c r="O258" s="5">
        <v>392.3</v>
      </c>
      <c r="P258" s="3">
        <v>0.3</v>
      </c>
      <c r="R258" s="12">
        <f t="shared" si="3"/>
        <v>1.9615000000000001E-3</v>
      </c>
    </row>
    <row r="259" spans="1:18" x14ac:dyDescent="0.3">
      <c r="A259" t="s">
        <v>60</v>
      </c>
      <c r="B259" s="1">
        <v>12.7</v>
      </c>
      <c r="C259" s="1">
        <v>2</v>
      </c>
      <c r="D259" s="4">
        <v>52</v>
      </c>
      <c r="E259" s="3">
        <v>2.9208758709847928</v>
      </c>
      <c r="F259" s="1">
        <v>30</v>
      </c>
      <c r="G259" s="1">
        <v>36.5</v>
      </c>
      <c r="H259" s="1">
        <v>150</v>
      </c>
      <c r="I259" s="1">
        <v>250</v>
      </c>
      <c r="J259" s="1">
        <v>253.4</v>
      </c>
      <c r="K259" s="1">
        <v>15000</v>
      </c>
      <c r="L259" s="5">
        <v>58.075942632487219</v>
      </c>
      <c r="M259" s="8">
        <v>1.6893333333333333E-2</v>
      </c>
      <c r="N259" s="3">
        <v>15.6</v>
      </c>
      <c r="O259" s="5">
        <v>317.10269794078823</v>
      </c>
      <c r="P259" s="3">
        <v>0.15</v>
      </c>
      <c r="R259" s="12">
        <f t="shared" si="3"/>
        <v>1.5855134897039412E-3</v>
      </c>
    </row>
    <row r="260" spans="1:18" x14ac:dyDescent="0.3">
      <c r="B260" s="1">
        <v>12.7</v>
      </c>
      <c r="C260" s="1">
        <v>2</v>
      </c>
      <c r="D260" s="4">
        <v>52</v>
      </c>
      <c r="E260" s="3">
        <v>2.9208758709847928</v>
      </c>
      <c r="F260" s="1">
        <v>30</v>
      </c>
      <c r="G260" s="1">
        <v>36.5</v>
      </c>
      <c r="H260" s="1">
        <v>150</v>
      </c>
      <c r="I260" s="1">
        <v>250</v>
      </c>
      <c r="J260" s="1">
        <v>253.4</v>
      </c>
      <c r="K260" s="1">
        <v>15000</v>
      </c>
      <c r="L260" s="5">
        <v>58.075942632487219</v>
      </c>
      <c r="M260" s="8">
        <v>1.6893333333333333E-2</v>
      </c>
      <c r="N260" s="3">
        <v>19.600000000000001</v>
      </c>
      <c r="O260" s="5">
        <v>392.3</v>
      </c>
      <c r="P260" s="3">
        <v>0.2</v>
      </c>
      <c r="R260" s="12">
        <f t="shared" ref="R260:R323" si="4">O260/200000</f>
        <v>1.9615000000000001E-3</v>
      </c>
    </row>
    <row r="261" spans="1:18" x14ac:dyDescent="0.3">
      <c r="A261" t="s">
        <v>61</v>
      </c>
      <c r="B261" s="1">
        <v>12.7</v>
      </c>
      <c r="C261" s="1">
        <v>2</v>
      </c>
      <c r="D261" s="4">
        <v>52</v>
      </c>
      <c r="E261" s="3">
        <v>2.9208758709847928</v>
      </c>
      <c r="F261" s="1">
        <v>30</v>
      </c>
      <c r="G261" s="1">
        <v>36.5</v>
      </c>
      <c r="H261" s="1">
        <v>150</v>
      </c>
      <c r="I261" s="1">
        <v>250</v>
      </c>
      <c r="J261" s="1">
        <v>253.4</v>
      </c>
      <c r="K261" s="1">
        <v>15000</v>
      </c>
      <c r="L261" s="5">
        <v>58.075942632487219</v>
      </c>
      <c r="M261" s="8">
        <v>1.6893333333333333E-2</v>
      </c>
      <c r="N261" s="3">
        <v>15.7</v>
      </c>
      <c r="O261" s="5">
        <v>319.13540754297276</v>
      </c>
      <c r="P261" s="3">
        <v>0.15</v>
      </c>
      <c r="R261" s="12">
        <f t="shared" si="4"/>
        <v>1.5956770377148638E-3</v>
      </c>
    </row>
    <row r="262" spans="1:18" x14ac:dyDescent="0.3">
      <c r="B262" s="1">
        <v>12.7</v>
      </c>
      <c r="C262" s="1">
        <v>2</v>
      </c>
      <c r="D262" s="4">
        <v>52</v>
      </c>
      <c r="E262" s="3">
        <v>2.9208758709847928</v>
      </c>
      <c r="F262" s="1">
        <v>30</v>
      </c>
      <c r="G262" s="1">
        <v>36.5</v>
      </c>
      <c r="H262" s="1">
        <v>150</v>
      </c>
      <c r="I262" s="1">
        <v>250</v>
      </c>
      <c r="J262" s="1">
        <v>253.4</v>
      </c>
      <c r="K262" s="1">
        <v>15000</v>
      </c>
      <c r="L262" s="5">
        <v>58.075942632487219</v>
      </c>
      <c r="M262" s="8">
        <v>1.6893333333333333E-2</v>
      </c>
      <c r="N262" s="3">
        <v>19.600000000000001</v>
      </c>
      <c r="O262" s="5">
        <v>392.3</v>
      </c>
      <c r="P262" s="3">
        <v>0.2</v>
      </c>
      <c r="R262" s="12">
        <f t="shared" si="4"/>
        <v>1.9615000000000001E-3</v>
      </c>
    </row>
    <row r="263" spans="1:18" x14ac:dyDescent="0.3">
      <c r="A263" t="s">
        <v>62</v>
      </c>
      <c r="B263" s="1">
        <v>15.9</v>
      </c>
      <c r="C263" s="1">
        <v>2</v>
      </c>
      <c r="D263" s="4">
        <v>46</v>
      </c>
      <c r="E263" s="3">
        <v>2.9208758709847928</v>
      </c>
      <c r="F263" s="1">
        <v>30</v>
      </c>
      <c r="G263" s="1">
        <v>38</v>
      </c>
      <c r="H263" s="1">
        <v>150</v>
      </c>
      <c r="I263" s="1">
        <v>250</v>
      </c>
      <c r="J263" s="1">
        <v>397.2</v>
      </c>
      <c r="K263" s="1">
        <v>17625</v>
      </c>
      <c r="L263" s="5">
        <v>69.597967277749476</v>
      </c>
      <c r="M263" s="8">
        <v>2.2536170212765955E-2</v>
      </c>
      <c r="N263" s="3">
        <v>19.5</v>
      </c>
      <c r="O263" s="5">
        <v>260.02902224680844</v>
      </c>
      <c r="P263" s="3">
        <v>0.15</v>
      </c>
      <c r="R263" s="12">
        <f t="shared" si="4"/>
        <v>1.3001451112340421E-3</v>
      </c>
    </row>
    <row r="264" spans="1:18" x14ac:dyDescent="0.3">
      <c r="B264" s="1">
        <v>15.9</v>
      </c>
      <c r="C264" s="1">
        <v>2</v>
      </c>
      <c r="D264" s="4">
        <v>46</v>
      </c>
      <c r="E264" s="3">
        <v>2.9208758709847928</v>
      </c>
      <c r="F264" s="1">
        <v>30</v>
      </c>
      <c r="G264" s="1">
        <v>38</v>
      </c>
      <c r="H264" s="1">
        <v>150</v>
      </c>
      <c r="I264" s="1">
        <v>250</v>
      </c>
      <c r="J264" s="1">
        <v>397.2</v>
      </c>
      <c r="K264" s="1">
        <v>17625</v>
      </c>
      <c r="L264" s="5">
        <v>69.597967277749476</v>
      </c>
      <c r="M264" s="8">
        <v>2.2536170212765955E-2</v>
      </c>
      <c r="N264" s="3">
        <v>27.4</v>
      </c>
      <c r="O264" s="5">
        <v>365.37411331090004</v>
      </c>
      <c r="P264" s="3">
        <v>0.25</v>
      </c>
      <c r="R264" s="12">
        <f t="shared" si="4"/>
        <v>1.8268705665545001E-3</v>
      </c>
    </row>
    <row r="265" spans="1:18" x14ac:dyDescent="0.3">
      <c r="B265" s="1">
        <v>15.9</v>
      </c>
      <c r="C265" s="1">
        <v>2</v>
      </c>
      <c r="D265" s="4">
        <v>46</v>
      </c>
      <c r="E265" s="3">
        <v>2.9208758709847928</v>
      </c>
      <c r="F265" s="1">
        <v>30</v>
      </c>
      <c r="G265" s="1">
        <v>38</v>
      </c>
      <c r="H265" s="1">
        <v>150</v>
      </c>
      <c r="I265" s="1">
        <v>250</v>
      </c>
      <c r="J265" s="1">
        <v>397.2</v>
      </c>
      <c r="K265" s="1">
        <v>17625</v>
      </c>
      <c r="L265" s="5">
        <v>69.597967277749476</v>
      </c>
      <c r="M265" s="8">
        <v>2.2536170212765955E-2</v>
      </c>
      <c r="N265" s="3">
        <v>31.3</v>
      </c>
      <c r="O265" s="5">
        <v>392.3</v>
      </c>
      <c r="P265" s="3">
        <v>0.3</v>
      </c>
      <c r="R265" s="12">
        <f t="shared" si="4"/>
        <v>1.9615000000000001E-3</v>
      </c>
    </row>
    <row r="266" spans="1:18" x14ac:dyDescent="0.3">
      <c r="A266" t="s">
        <v>63</v>
      </c>
      <c r="B266" s="1">
        <v>15.9</v>
      </c>
      <c r="C266" s="1">
        <v>2</v>
      </c>
      <c r="D266" s="4">
        <v>46</v>
      </c>
      <c r="E266" s="3">
        <v>2.9208758709847928</v>
      </c>
      <c r="F266" s="1">
        <v>30</v>
      </c>
      <c r="G266" s="1">
        <v>38</v>
      </c>
      <c r="H266" s="1">
        <v>150</v>
      </c>
      <c r="I266" s="1">
        <v>250</v>
      </c>
      <c r="J266" s="1">
        <v>397.2</v>
      </c>
      <c r="K266" s="1">
        <v>17625</v>
      </c>
      <c r="L266" s="5">
        <v>69.597967277749476</v>
      </c>
      <c r="M266" s="8">
        <v>2.2536170212765955E-2</v>
      </c>
      <c r="N266" s="3">
        <v>19.600000000000001</v>
      </c>
      <c r="O266" s="5">
        <v>261.36250441217675</v>
      </c>
      <c r="P266" s="3">
        <v>0.15</v>
      </c>
      <c r="R266" s="12">
        <f t="shared" si="4"/>
        <v>1.3068125220608838E-3</v>
      </c>
    </row>
    <row r="267" spans="1:18" x14ac:dyDescent="0.3">
      <c r="B267" s="1">
        <v>15.9</v>
      </c>
      <c r="C267" s="1">
        <v>2</v>
      </c>
      <c r="D267" s="4">
        <v>46</v>
      </c>
      <c r="E267" s="3">
        <v>2.9208758709847928</v>
      </c>
      <c r="F267" s="1">
        <v>30</v>
      </c>
      <c r="G267" s="1">
        <v>38</v>
      </c>
      <c r="H267" s="1">
        <v>150</v>
      </c>
      <c r="I267" s="1">
        <v>250</v>
      </c>
      <c r="J267" s="1">
        <v>397.2</v>
      </c>
      <c r="K267" s="1">
        <v>17625</v>
      </c>
      <c r="L267" s="5">
        <v>69.597967277749476</v>
      </c>
      <c r="M267" s="8">
        <v>2.2536170212765955E-2</v>
      </c>
      <c r="N267" s="3">
        <v>27.5</v>
      </c>
      <c r="O267" s="5">
        <v>366.70759547626835</v>
      </c>
      <c r="P267" s="3">
        <v>0.25</v>
      </c>
      <c r="R267" s="12">
        <f t="shared" si="4"/>
        <v>1.8335379773813418E-3</v>
      </c>
    </row>
    <row r="268" spans="1:18" x14ac:dyDescent="0.3">
      <c r="A268" t="s">
        <v>64</v>
      </c>
      <c r="B268" s="1">
        <v>19.100000000000001</v>
      </c>
      <c r="C268" s="1">
        <v>2</v>
      </c>
      <c r="D268" s="4">
        <v>40</v>
      </c>
      <c r="E268" s="3">
        <v>2.9208758709847928</v>
      </c>
      <c r="F268" s="1">
        <v>30</v>
      </c>
      <c r="G268" s="1">
        <v>39.5</v>
      </c>
      <c r="H268" s="1">
        <v>150</v>
      </c>
      <c r="I268" s="1">
        <v>250</v>
      </c>
      <c r="J268" s="1">
        <v>573</v>
      </c>
      <c r="K268" s="1">
        <v>20250</v>
      </c>
      <c r="L268" s="5">
        <v>80.017825486464005</v>
      </c>
      <c r="M268" s="8">
        <v>2.8296296296296295E-2</v>
      </c>
      <c r="N268" s="3">
        <v>19.7</v>
      </c>
      <c r="O268" s="5">
        <v>187.02573904138569</v>
      </c>
      <c r="P268" s="3">
        <v>0.15</v>
      </c>
      <c r="R268" s="12">
        <f t="shared" si="4"/>
        <v>9.3512869520692851E-4</v>
      </c>
    </row>
    <row r="269" spans="1:18" x14ac:dyDescent="0.3">
      <c r="B269" s="1">
        <v>19.100000000000001</v>
      </c>
      <c r="C269" s="1">
        <v>2</v>
      </c>
      <c r="D269" s="4">
        <v>40</v>
      </c>
      <c r="E269" s="3">
        <v>2.9208758709847928</v>
      </c>
      <c r="F269" s="1">
        <v>30</v>
      </c>
      <c r="G269" s="1">
        <v>39.5</v>
      </c>
      <c r="H269" s="1">
        <v>150</v>
      </c>
      <c r="I269" s="1">
        <v>250</v>
      </c>
      <c r="J269" s="1">
        <v>573</v>
      </c>
      <c r="K269" s="1">
        <v>20250</v>
      </c>
      <c r="L269" s="5">
        <v>80.017825486464005</v>
      </c>
      <c r="M269" s="8">
        <v>2.8296296296296295E-2</v>
      </c>
      <c r="N269" s="3">
        <v>27.5</v>
      </c>
      <c r="O269" s="5">
        <v>261.07653927096982</v>
      </c>
      <c r="P269" s="3">
        <v>0.2</v>
      </c>
      <c r="R269" s="12">
        <f t="shared" si="4"/>
        <v>1.3053826963548491E-3</v>
      </c>
    </row>
    <row r="270" spans="1:18" x14ac:dyDescent="0.3">
      <c r="B270" s="1">
        <v>19.100000000000001</v>
      </c>
      <c r="C270" s="1">
        <v>2</v>
      </c>
      <c r="D270" s="4">
        <v>40</v>
      </c>
      <c r="E270" s="3">
        <v>2.9208758709847928</v>
      </c>
      <c r="F270" s="1">
        <v>30</v>
      </c>
      <c r="G270" s="1">
        <v>39.5</v>
      </c>
      <c r="H270" s="1">
        <v>150</v>
      </c>
      <c r="I270" s="1">
        <v>250</v>
      </c>
      <c r="J270" s="1">
        <v>573</v>
      </c>
      <c r="K270" s="1">
        <v>20250</v>
      </c>
      <c r="L270" s="5">
        <v>80.017825486464005</v>
      </c>
      <c r="M270" s="8">
        <v>2.8296296296296295E-2</v>
      </c>
      <c r="N270" s="3">
        <v>35.4</v>
      </c>
      <c r="O270" s="5">
        <v>336.07670873426662</v>
      </c>
      <c r="P270" s="3">
        <v>0.3</v>
      </c>
      <c r="R270" s="12">
        <f t="shared" si="4"/>
        <v>1.6803835436713331E-3</v>
      </c>
    </row>
    <row r="271" spans="1:18" x14ac:dyDescent="0.3">
      <c r="B271" s="1">
        <v>19.100000000000001</v>
      </c>
      <c r="C271" s="1">
        <v>2</v>
      </c>
      <c r="D271" s="4">
        <v>40</v>
      </c>
      <c r="E271" s="3">
        <v>2.9208758709847928</v>
      </c>
      <c r="F271" s="1">
        <v>30</v>
      </c>
      <c r="G271" s="1">
        <v>39.5</v>
      </c>
      <c r="H271" s="1">
        <v>150</v>
      </c>
      <c r="I271" s="1">
        <v>250</v>
      </c>
      <c r="J271" s="1">
        <v>573</v>
      </c>
      <c r="K271" s="1">
        <v>20250</v>
      </c>
      <c r="L271" s="5">
        <v>80.017825486464005</v>
      </c>
      <c r="M271" s="8">
        <v>2.8296296296296295E-2</v>
      </c>
      <c r="N271" s="3">
        <v>43.3</v>
      </c>
      <c r="O271" s="5">
        <v>392.3</v>
      </c>
      <c r="P271" s="3">
        <v>0.33</v>
      </c>
      <c r="R271" s="12">
        <f t="shared" si="4"/>
        <v>1.9615000000000001E-3</v>
      </c>
    </row>
    <row r="272" spans="1:18" x14ac:dyDescent="0.3">
      <c r="A272" t="s">
        <v>65</v>
      </c>
      <c r="B272" s="1">
        <v>19.100000000000001</v>
      </c>
      <c r="C272" s="1">
        <v>2</v>
      </c>
      <c r="D272" s="4">
        <v>40</v>
      </c>
      <c r="E272" s="3">
        <v>2.9208758709847928</v>
      </c>
      <c r="F272" s="1">
        <v>30</v>
      </c>
      <c r="G272" s="1">
        <v>39.5</v>
      </c>
      <c r="H272" s="1">
        <v>150</v>
      </c>
      <c r="I272" s="1">
        <v>250</v>
      </c>
      <c r="J272" s="1">
        <v>573</v>
      </c>
      <c r="K272" s="1">
        <v>20250</v>
      </c>
      <c r="L272" s="5">
        <v>80.017825486464005</v>
      </c>
      <c r="M272" s="8">
        <v>2.8296296296296295E-2</v>
      </c>
      <c r="N272" s="3">
        <v>19.600000000000001</v>
      </c>
      <c r="O272" s="5">
        <v>186.07636980767307</v>
      </c>
      <c r="P272" s="3">
        <v>0.15</v>
      </c>
      <c r="R272" s="12">
        <f t="shared" si="4"/>
        <v>9.3038184903836542E-4</v>
      </c>
    </row>
    <row r="273" spans="1:18" x14ac:dyDescent="0.3">
      <c r="B273" s="1">
        <v>19.100000000000001</v>
      </c>
      <c r="C273" s="1">
        <v>2</v>
      </c>
      <c r="D273" s="4">
        <v>40</v>
      </c>
      <c r="E273" s="3">
        <v>2.9208758709847928</v>
      </c>
      <c r="F273" s="1">
        <v>30</v>
      </c>
      <c r="G273" s="1">
        <v>39.5</v>
      </c>
      <c r="H273" s="1">
        <v>150</v>
      </c>
      <c r="I273" s="1">
        <v>250</v>
      </c>
      <c r="J273" s="1">
        <v>573</v>
      </c>
      <c r="K273" s="1">
        <v>20250</v>
      </c>
      <c r="L273" s="5">
        <v>80.017825486464005</v>
      </c>
      <c r="M273" s="8">
        <v>2.8296296296296295E-2</v>
      </c>
      <c r="N273" s="3">
        <v>27.3</v>
      </c>
      <c r="O273" s="5">
        <v>259.17780080354459</v>
      </c>
      <c r="P273" s="3">
        <v>0.25</v>
      </c>
      <c r="R273" s="12">
        <f t="shared" si="4"/>
        <v>1.2958890040177229E-3</v>
      </c>
    </row>
    <row r="274" spans="1:18" x14ac:dyDescent="0.3">
      <c r="B274" s="1">
        <v>19.100000000000001</v>
      </c>
      <c r="C274" s="1">
        <v>2</v>
      </c>
      <c r="D274" s="4">
        <v>40</v>
      </c>
      <c r="E274" s="3">
        <v>2.9208758709847928</v>
      </c>
      <c r="F274" s="1">
        <v>30</v>
      </c>
      <c r="G274" s="1">
        <v>39.5</v>
      </c>
      <c r="H274" s="1">
        <v>150</v>
      </c>
      <c r="I274" s="1">
        <v>250</v>
      </c>
      <c r="J274" s="1">
        <v>573</v>
      </c>
      <c r="K274" s="1">
        <v>20250</v>
      </c>
      <c r="L274" s="5">
        <v>80.017825486464005</v>
      </c>
      <c r="M274" s="8">
        <v>2.8296296296296295E-2</v>
      </c>
      <c r="N274" s="3">
        <v>35.1</v>
      </c>
      <c r="O274" s="5">
        <v>333.22860103312883</v>
      </c>
      <c r="P274" s="3">
        <v>0.28000000000000003</v>
      </c>
      <c r="R274" s="12">
        <f t="shared" si="4"/>
        <v>1.6661430051656441E-3</v>
      </c>
    </row>
    <row r="275" spans="1:18" x14ac:dyDescent="0.3">
      <c r="A275" t="s">
        <v>66</v>
      </c>
      <c r="B275" s="1">
        <v>15.9</v>
      </c>
      <c r="C275" s="1">
        <v>2</v>
      </c>
      <c r="D275" s="4">
        <v>46</v>
      </c>
      <c r="E275" s="3">
        <v>3.3538794827423906</v>
      </c>
      <c r="F275" s="1">
        <v>30</v>
      </c>
      <c r="G275" s="1">
        <v>38</v>
      </c>
      <c r="H275" s="1">
        <v>150</v>
      </c>
      <c r="I275" s="1">
        <v>250</v>
      </c>
      <c r="J275" s="1">
        <v>397.2</v>
      </c>
      <c r="K275" s="1">
        <v>17625</v>
      </c>
      <c r="L275" s="5">
        <v>67.684138613099122</v>
      </c>
      <c r="M275" s="8">
        <v>2.2536170212765955E-2</v>
      </c>
      <c r="N275" s="3">
        <v>27.5</v>
      </c>
      <c r="O275" s="5">
        <v>365.47269151625068</v>
      </c>
      <c r="P275" s="3">
        <v>0.2</v>
      </c>
      <c r="R275" s="12">
        <f t="shared" si="4"/>
        <v>1.8273634575812533E-3</v>
      </c>
    </row>
    <row r="276" spans="1:18" x14ac:dyDescent="0.3">
      <c r="B276" s="1">
        <v>15.9</v>
      </c>
      <c r="C276" s="1">
        <v>2</v>
      </c>
      <c r="D276" s="4">
        <v>46</v>
      </c>
      <c r="E276" s="3">
        <v>3.3538794827423906</v>
      </c>
      <c r="F276" s="1">
        <v>30</v>
      </c>
      <c r="G276" s="1">
        <v>38</v>
      </c>
      <c r="H276" s="1">
        <v>150</v>
      </c>
      <c r="I276" s="1">
        <v>250</v>
      </c>
      <c r="J276" s="1">
        <v>397.2</v>
      </c>
      <c r="K276" s="1">
        <v>17625</v>
      </c>
      <c r="L276" s="5">
        <v>67.684138613099122</v>
      </c>
      <c r="M276" s="8">
        <v>2.2536170212765955E-2</v>
      </c>
      <c r="N276" s="3">
        <v>31.4</v>
      </c>
      <c r="O276" s="5">
        <v>392.3</v>
      </c>
      <c r="P276" s="3">
        <v>0.22</v>
      </c>
      <c r="R276" s="12">
        <f t="shared" si="4"/>
        <v>1.9615000000000001E-3</v>
      </c>
    </row>
    <row r="277" spans="1:18" x14ac:dyDescent="0.3">
      <c r="A277" t="s">
        <v>67</v>
      </c>
      <c r="B277" s="1">
        <v>15.9</v>
      </c>
      <c r="C277" s="1">
        <v>2</v>
      </c>
      <c r="D277" s="4">
        <v>46</v>
      </c>
      <c r="E277" s="3">
        <v>3.3538794827423906</v>
      </c>
      <c r="F277" s="1">
        <v>30</v>
      </c>
      <c r="G277" s="1">
        <v>38</v>
      </c>
      <c r="H277" s="1">
        <v>150</v>
      </c>
      <c r="I277" s="1">
        <v>250</v>
      </c>
      <c r="J277" s="1">
        <v>397.2</v>
      </c>
      <c r="K277" s="1">
        <v>17625</v>
      </c>
      <c r="L277" s="5">
        <v>67.684138613099122</v>
      </c>
      <c r="M277" s="8">
        <v>2.2536170212765955E-2</v>
      </c>
      <c r="N277" s="3">
        <v>27.5</v>
      </c>
      <c r="O277" s="5">
        <v>365.47269151625068</v>
      </c>
      <c r="P277" s="3">
        <v>0.17</v>
      </c>
      <c r="R277" s="12">
        <f t="shared" si="4"/>
        <v>1.8273634575812533E-3</v>
      </c>
    </row>
    <row r="278" spans="1:18" x14ac:dyDescent="0.3">
      <c r="B278" s="1">
        <v>15.9</v>
      </c>
      <c r="C278" s="1">
        <v>2</v>
      </c>
      <c r="D278" s="4">
        <v>46</v>
      </c>
      <c r="E278" s="3">
        <v>3.3538794827423906</v>
      </c>
      <c r="F278" s="1">
        <v>30</v>
      </c>
      <c r="G278" s="1">
        <v>38</v>
      </c>
      <c r="H278" s="1">
        <v>150</v>
      </c>
      <c r="I278" s="1">
        <v>250</v>
      </c>
      <c r="J278" s="1">
        <v>397.2</v>
      </c>
      <c r="K278" s="1">
        <v>17625</v>
      </c>
      <c r="L278" s="5">
        <v>67.684138613099122</v>
      </c>
      <c r="M278" s="8">
        <v>2.2536170212765955E-2</v>
      </c>
      <c r="N278" s="3">
        <v>31.4</v>
      </c>
      <c r="O278" s="5">
        <v>392.3</v>
      </c>
      <c r="P278" s="3">
        <v>0.21</v>
      </c>
      <c r="R278" s="12">
        <f t="shared" si="4"/>
        <v>1.9615000000000001E-3</v>
      </c>
    </row>
    <row r="279" spans="1:18" x14ac:dyDescent="0.3">
      <c r="A279" t="s">
        <v>68</v>
      </c>
      <c r="B279" s="1">
        <v>19.100000000000001</v>
      </c>
      <c r="C279" s="1">
        <v>2</v>
      </c>
      <c r="D279" s="4">
        <v>40</v>
      </c>
      <c r="E279" s="3">
        <v>3.3538794827423906</v>
      </c>
      <c r="F279" s="1">
        <v>30</v>
      </c>
      <c r="G279" s="1">
        <v>39.5</v>
      </c>
      <c r="H279" s="1">
        <v>150</v>
      </c>
      <c r="I279" s="1">
        <v>250</v>
      </c>
      <c r="J279" s="1">
        <v>573</v>
      </c>
      <c r="K279" s="1">
        <v>20250</v>
      </c>
      <c r="L279" s="5">
        <v>77.918977712586056</v>
      </c>
      <c r="M279" s="8">
        <v>2.8296296296296295E-2</v>
      </c>
      <c r="N279" s="3">
        <v>23.4</v>
      </c>
      <c r="O279" s="5">
        <v>221.31013180149799</v>
      </c>
      <c r="P279" s="3">
        <v>0.17</v>
      </c>
      <c r="R279" s="12">
        <f t="shared" si="4"/>
        <v>1.1065506590074898E-3</v>
      </c>
    </row>
    <row r="280" spans="1:18" x14ac:dyDescent="0.3">
      <c r="B280" s="1">
        <v>19.100000000000001</v>
      </c>
      <c r="C280" s="1">
        <v>2</v>
      </c>
      <c r="D280" s="4">
        <v>40</v>
      </c>
      <c r="E280" s="3">
        <v>3.3538794827423906</v>
      </c>
      <c r="F280" s="1">
        <v>30</v>
      </c>
      <c r="G280" s="1">
        <v>39.5</v>
      </c>
      <c r="H280" s="1">
        <v>150</v>
      </c>
      <c r="I280" s="1">
        <v>250</v>
      </c>
      <c r="J280" s="1">
        <v>573</v>
      </c>
      <c r="K280" s="1">
        <v>20250</v>
      </c>
      <c r="L280" s="5">
        <v>77.918977712586056</v>
      </c>
      <c r="M280" s="8">
        <v>2.8296296296296295E-2</v>
      </c>
      <c r="N280" s="3">
        <v>27.4</v>
      </c>
      <c r="O280" s="5">
        <v>259.14092356243782</v>
      </c>
      <c r="P280" s="3">
        <v>0.18</v>
      </c>
      <c r="R280" s="12">
        <f t="shared" si="4"/>
        <v>1.2957046178121892E-3</v>
      </c>
    </row>
    <row r="281" spans="1:18" x14ac:dyDescent="0.3">
      <c r="B281" s="1">
        <v>19.100000000000001</v>
      </c>
      <c r="C281" s="1">
        <v>2</v>
      </c>
      <c r="D281" s="4">
        <v>40</v>
      </c>
      <c r="E281" s="3">
        <v>3.3538794827423906</v>
      </c>
      <c r="F281" s="1">
        <v>30</v>
      </c>
      <c r="G281" s="1">
        <v>39.5</v>
      </c>
      <c r="H281" s="1">
        <v>150</v>
      </c>
      <c r="I281" s="1">
        <v>250</v>
      </c>
      <c r="J281" s="1">
        <v>573</v>
      </c>
      <c r="K281" s="1">
        <v>20250</v>
      </c>
      <c r="L281" s="5">
        <v>77.918977712586056</v>
      </c>
      <c r="M281" s="8">
        <v>2.8296296296296295E-2</v>
      </c>
      <c r="N281" s="3">
        <v>31.3</v>
      </c>
      <c r="O281" s="5">
        <v>296.0259455293542</v>
      </c>
      <c r="P281" s="3">
        <v>0.2</v>
      </c>
      <c r="R281" s="12">
        <f t="shared" si="4"/>
        <v>1.4801297276467709E-3</v>
      </c>
    </row>
    <row r="282" spans="1:18" x14ac:dyDescent="0.3">
      <c r="B282" s="1">
        <v>19.100000000000001</v>
      </c>
      <c r="C282" s="1">
        <v>2</v>
      </c>
      <c r="D282" s="4">
        <v>40</v>
      </c>
      <c r="E282" s="3">
        <v>3.3538794827423906</v>
      </c>
      <c r="F282" s="1">
        <v>30</v>
      </c>
      <c r="G282" s="1">
        <v>39.5</v>
      </c>
      <c r="H282" s="1">
        <v>150</v>
      </c>
      <c r="I282" s="1">
        <v>250</v>
      </c>
      <c r="J282" s="1">
        <v>573</v>
      </c>
      <c r="K282" s="1">
        <v>20250</v>
      </c>
      <c r="L282" s="5">
        <v>77.918977712586056</v>
      </c>
      <c r="M282" s="8">
        <v>2.8296296296296295E-2</v>
      </c>
      <c r="N282" s="3">
        <v>35.299999999999997</v>
      </c>
      <c r="O282" s="5">
        <v>333.85673729029395</v>
      </c>
      <c r="P282" s="3">
        <v>0.2</v>
      </c>
      <c r="R282" s="12">
        <f t="shared" si="4"/>
        <v>1.6692836864514698E-3</v>
      </c>
    </row>
    <row r="283" spans="1:18" x14ac:dyDescent="0.3">
      <c r="B283" s="1">
        <v>19.100000000000001</v>
      </c>
      <c r="C283" s="1">
        <v>2</v>
      </c>
      <c r="D283" s="4">
        <v>40</v>
      </c>
      <c r="E283" s="3">
        <v>3.3538794827423906</v>
      </c>
      <c r="F283" s="1">
        <v>30</v>
      </c>
      <c r="G283" s="1">
        <v>39.5</v>
      </c>
      <c r="H283" s="1">
        <v>150</v>
      </c>
      <c r="I283" s="1">
        <v>250</v>
      </c>
      <c r="J283" s="1">
        <v>573</v>
      </c>
      <c r="K283" s="1">
        <v>20250</v>
      </c>
      <c r="L283" s="5">
        <v>77.918977712586056</v>
      </c>
      <c r="M283" s="8">
        <v>2.8296296296296295E-2</v>
      </c>
      <c r="N283" s="3">
        <v>39.1</v>
      </c>
      <c r="O283" s="5">
        <v>369.79598946318686</v>
      </c>
      <c r="P283" s="3">
        <v>0.25</v>
      </c>
      <c r="R283" s="12">
        <f t="shared" si="4"/>
        <v>1.8489799473159342E-3</v>
      </c>
    </row>
    <row r="284" spans="1:18" x14ac:dyDescent="0.3">
      <c r="B284" s="1">
        <v>19.100000000000001</v>
      </c>
      <c r="C284" s="1">
        <v>2</v>
      </c>
      <c r="D284" s="4">
        <v>40</v>
      </c>
      <c r="E284" s="3">
        <v>3.3538794827423906</v>
      </c>
      <c r="F284" s="1">
        <v>30</v>
      </c>
      <c r="G284" s="1">
        <v>39.5</v>
      </c>
      <c r="H284" s="1">
        <v>150</v>
      </c>
      <c r="I284" s="1">
        <v>250</v>
      </c>
      <c r="J284" s="1">
        <v>573</v>
      </c>
      <c r="K284" s="1">
        <v>20250</v>
      </c>
      <c r="L284" s="5">
        <v>77.918977712586056</v>
      </c>
      <c r="M284" s="8">
        <v>2.8296296296296295E-2</v>
      </c>
      <c r="N284" s="3">
        <v>43.1</v>
      </c>
      <c r="O284" s="5">
        <v>392.3</v>
      </c>
      <c r="P284" s="3">
        <v>0.27</v>
      </c>
      <c r="R284" s="12">
        <f t="shared" si="4"/>
        <v>1.9615000000000001E-3</v>
      </c>
    </row>
    <row r="285" spans="1:18" x14ac:dyDescent="0.3">
      <c r="A285" t="s">
        <v>69</v>
      </c>
      <c r="B285" s="1">
        <v>19.100000000000001</v>
      </c>
      <c r="C285" s="1">
        <v>2</v>
      </c>
      <c r="D285" s="4">
        <v>40</v>
      </c>
      <c r="E285" s="3">
        <v>3.3538794827423906</v>
      </c>
      <c r="F285" s="1">
        <v>30</v>
      </c>
      <c r="G285" s="1">
        <v>39.5</v>
      </c>
      <c r="H285" s="1">
        <v>150</v>
      </c>
      <c r="I285" s="1">
        <v>250</v>
      </c>
      <c r="J285" s="1">
        <v>573</v>
      </c>
      <c r="K285" s="1">
        <v>20250</v>
      </c>
      <c r="L285" s="5">
        <v>77.918977712586056</v>
      </c>
      <c r="M285" s="8">
        <v>2.8296296296296295E-2</v>
      </c>
      <c r="N285" s="3">
        <v>31.3</v>
      </c>
      <c r="O285" s="5">
        <v>296.0259455293542</v>
      </c>
      <c r="P285" s="3">
        <v>0.18</v>
      </c>
      <c r="R285" s="12">
        <f t="shared" si="4"/>
        <v>1.4801297276467709E-3</v>
      </c>
    </row>
    <row r="286" spans="1:18" x14ac:dyDescent="0.3">
      <c r="B286" s="1">
        <v>19.100000000000001</v>
      </c>
      <c r="C286" s="1">
        <v>2</v>
      </c>
      <c r="D286" s="4">
        <v>40</v>
      </c>
      <c r="E286" s="3">
        <v>3.3538794827423906</v>
      </c>
      <c r="F286" s="1">
        <v>30</v>
      </c>
      <c r="G286" s="1">
        <v>39.5</v>
      </c>
      <c r="H286" s="1">
        <v>150</v>
      </c>
      <c r="I286" s="1">
        <v>250</v>
      </c>
      <c r="J286" s="1">
        <v>573</v>
      </c>
      <c r="K286" s="1">
        <v>20250</v>
      </c>
      <c r="L286" s="5">
        <v>77.918977712586056</v>
      </c>
      <c r="M286" s="8">
        <v>2.8296296296296295E-2</v>
      </c>
      <c r="N286" s="3">
        <v>35.1</v>
      </c>
      <c r="O286" s="5">
        <v>331.965197702247</v>
      </c>
      <c r="P286" s="3">
        <v>0.19</v>
      </c>
      <c r="R286" s="12">
        <f t="shared" si="4"/>
        <v>1.6598259885112351E-3</v>
      </c>
    </row>
    <row r="287" spans="1:18" x14ac:dyDescent="0.3">
      <c r="B287" s="1">
        <v>19.100000000000001</v>
      </c>
      <c r="C287" s="1">
        <v>2</v>
      </c>
      <c r="D287" s="4">
        <v>40</v>
      </c>
      <c r="E287" s="3">
        <v>3.3538794827423906</v>
      </c>
      <c r="F287" s="1">
        <v>30</v>
      </c>
      <c r="G287" s="1">
        <v>39.5</v>
      </c>
      <c r="H287" s="1">
        <v>150</v>
      </c>
      <c r="I287" s="1">
        <v>250</v>
      </c>
      <c r="J287" s="1">
        <v>573</v>
      </c>
      <c r="K287" s="1">
        <v>20250</v>
      </c>
      <c r="L287" s="5">
        <v>77.918977712586056</v>
      </c>
      <c r="M287" s="8">
        <v>2.8296296296296295E-2</v>
      </c>
      <c r="N287" s="3">
        <v>39.1</v>
      </c>
      <c r="O287" s="5">
        <v>369.79598946318686</v>
      </c>
      <c r="P287" s="3">
        <v>0.21</v>
      </c>
      <c r="R287" s="12">
        <f t="shared" si="4"/>
        <v>1.8489799473159342E-3</v>
      </c>
    </row>
    <row r="288" spans="1:18" x14ac:dyDescent="0.3">
      <c r="B288" s="1">
        <v>19.100000000000001</v>
      </c>
      <c r="C288" s="1">
        <v>2</v>
      </c>
      <c r="D288" s="4">
        <v>40</v>
      </c>
      <c r="E288" s="3">
        <v>3.3538794827423906</v>
      </c>
      <c r="F288" s="1">
        <v>30</v>
      </c>
      <c r="G288" s="1">
        <v>39.5</v>
      </c>
      <c r="H288" s="1">
        <v>150</v>
      </c>
      <c r="I288" s="1">
        <v>250</v>
      </c>
      <c r="J288" s="1">
        <v>573</v>
      </c>
      <c r="K288" s="1">
        <v>20250</v>
      </c>
      <c r="L288" s="5">
        <v>77.918977712586056</v>
      </c>
      <c r="M288" s="8">
        <v>2.8296296296296295E-2</v>
      </c>
      <c r="N288" s="3">
        <v>43.1</v>
      </c>
      <c r="O288" s="5">
        <v>392.3</v>
      </c>
      <c r="P288" s="3">
        <v>0.26</v>
      </c>
      <c r="R288" s="12">
        <f t="shared" si="4"/>
        <v>1.9615000000000001E-3</v>
      </c>
    </row>
    <row r="289" spans="1:18" x14ac:dyDescent="0.3">
      <c r="A289" t="s">
        <v>70</v>
      </c>
      <c r="B289" s="1">
        <v>19.100000000000001</v>
      </c>
      <c r="C289" s="1">
        <v>2</v>
      </c>
      <c r="D289" s="4">
        <v>69.8</v>
      </c>
      <c r="E289" s="3">
        <v>2.900328825179082</v>
      </c>
      <c r="F289" s="1">
        <v>31.8</v>
      </c>
      <c r="G289" s="1">
        <v>41.4</v>
      </c>
      <c r="H289" s="1">
        <v>152.4</v>
      </c>
      <c r="I289" s="1">
        <v>381</v>
      </c>
      <c r="J289" s="1">
        <v>568</v>
      </c>
      <c r="K289" s="1">
        <v>20863.560000000001</v>
      </c>
      <c r="L289" s="5">
        <v>105.95189967799172</v>
      </c>
      <c r="M289" s="8">
        <v>2.7224500516690342E-2</v>
      </c>
      <c r="N289" s="3">
        <v>35.088900000000002</v>
      </c>
      <c r="O289" s="5">
        <v>203.02249313738358</v>
      </c>
      <c r="P289" s="3">
        <v>0.17</v>
      </c>
      <c r="R289" s="12">
        <f t="shared" si="4"/>
        <v>1.0151124656869179E-3</v>
      </c>
    </row>
    <row r="290" spans="1:18" x14ac:dyDescent="0.3">
      <c r="B290" s="1">
        <v>19.100000000000001</v>
      </c>
      <c r="C290" s="1">
        <v>2</v>
      </c>
      <c r="D290" s="4">
        <v>69.8</v>
      </c>
      <c r="E290" s="3">
        <v>2.900328825179082</v>
      </c>
      <c r="F290" s="1">
        <v>31.8</v>
      </c>
      <c r="G290" s="1">
        <v>41.4</v>
      </c>
      <c r="H290" s="1">
        <v>152.4</v>
      </c>
      <c r="I290" s="1">
        <v>381</v>
      </c>
      <c r="J290" s="1">
        <v>568</v>
      </c>
      <c r="K290" s="1">
        <v>20863.560000000001</v>
      </c>
      <c r="L290" s="5">
        <v>105.95189967799172</v>
      </c>
      <c r="M290" s="8">
        <v>2.7224500516690342E-2</v>
      </c>
      <c r="N290" s="3">
        <v>42.257600000000004</v>
      </c>
      <c r="O290" s="5">
        <v>244.50020678910712</v>
      </c>
      <c r="P290" s="3">
        <v>0.23</v>
      </c>
      <c r="R290" s="12">
        <f t="shared" si="4"/>
        <v>1.2225010339455356E-3</v>
      </c>
    </row>
    <row r="291" spans="1:18" x14ac:dyDescent="0.3">
      <c r="B291" s="1">
        <v>19.100000000000001</v>
      </c>
      <c r="C291" s="1">
        <v>2</v>
      </c>
      <c r="D291" s="4">
        <v>69.8</v>
      </c>
      <c r="E291" s="3">
        <v>2.900328825179082</v>
      </c>
      <c r="F291" s="1">
        <v>31.8</v>
      </c>
      <c r="G291" s="1">
        <v>41.4</v>
      </c>
      <c r="H291" s="1">
        <v>152.4</v>
      </c>
      <c r="I291" s="1">
        <v>381</v>
      </c>
      <c r="J291" s="1">
        <v>568</v>
      </c>
      <c r="K291" s="1">
        <v>20863.560000000001</v>
      </c>
      <c r="L291" s="5">
        <v>105.95189967799172</v>
      </c>
      <c r="M291" s="8">
        <v>2.7224500516690342E-2</v>
      </c>
      <c r="N291" s="3">
        <v>48.808900000000008</v>
      </c>
      <c r="O291" s="5">
        <v>275.8</v>
      </c>
      <c r="P291" s="3">
        <v>0.27</v>
      </c>
      <c r="R291" s="12">
        <f t="shared" si="4"/>
        <v>1.379E-3</v>
      </c>
    </row>
    <row r="292" spans="1:18" x14ac:dyDescent="0.3">
      <c r="A292" t="s">
        <v>71</v>
      </c>
      <c r="B292" s="1">
        <v>19.100000000000001</v>
      </c>
      <c r="C292" s="1">
        <v>2</v>
      </c>
      <c r="D292" s="4">
        <v>69.8</v>
      </c>
      <c r="E292" s="3">
        <v>2.8466918957142089</v>
      </c>
      <c r="F292" s="1">
        <v>31.8</v>
      </c>
      <c r="G292" s="1">
        <v>41.4</v>
      </c>
      <c r="H292" s="1">
        <v>152.4</v>
      </c>
      <c r="I292" s="1">
        <v>381</v>
      </c>
      <c r="J292" s="1">
        <v>568</v>
      </c>
      <c r="K292" s="1">
        <v>20863.560000000001</v>
      </c>
      <c r="L292" s="5">
        <v>106.35551323610362</v>
      </c>
      <c r="M292" s="8">
        <v>2.7224500516690342E-2</v>
      </c>
      <c r="N292" s="3">
        <v>48.808900000000008</v>
      </c>
      <c r="O292" s="5">
        <v>275.8</v>
      </c>
      <c r="P292" s="3">
        <v>0.16</v>
      </c>
      <c r="R292" s="12">
        <f t="shared" si="4"/>
        <v>1.379E-3</v>
      </c>
    </row>
    <row r="293" spans="1:18" x14ac:dyDescent="0.3">
      <c r="A293" t="s">
        <v>72</v>
      </c>
      <c r="B293" s="1">
        <v>19.100000000000001</v>
      </c>
      <c r="C293" s="1">
        <v>2</v>
      </c>
      <c r="D293" s="4">
        <v>69.8</v>
      </c>
      <c r="E293" s="3">
        <v>2.711321473488328</v>
      </c>
      <c r="F293" s="1">
        <v>38.200000000000003</v>
      </c>
      <c r="G293" s="1">
        <v>47.7</v>
      </c>
      <c r="H293" s="1">
        <v>152.4</v>
      </c>
      <c r="I293" s="1">
        <v>381</v>
      </c>
      <c r="J293" s="1">
        <v>568</v>
      </c>
      <c r="K293" s="1">
        <v>21823.68</v>
      </c>
      <c r="L293" s="5">
        <v>106.22541601162594</v>
      </c>
      <c r="M293" s="8">
        <v>2.6026774586137627E-2</v>
      </c>
      <c r="N293" s="3">
        <v>42.257600000000004</v>
      </c>
      <c r="O293" s="5">
        <v>249.74588434606099</v>
      </c>
      <c r="P293" s="3">
        <v>0.16</v>
      </c>
      <c r="R293" s="12">
        <f t="shared" si="4"/>
        <v>1.248729421730305E-3</v>
      </c>
    </row>
    <row r="294" spans="1:18" x14ac:dyDescent="0.3">
      <c r="B294" s="1">
        <v>19.100000000000001</v>
      </c>
      <c r="C294" s="1">
        <v>2</v>
      </c>
      <c r="D294" s="4">
        <v>69.8</v>
      </c>
      <c r="E294" s="3">
        <v>2.711321473488328</v>
      </c>
      <c r="F294" s="1">
        <v>38.200000000000003</v>
      </c>
      <c r="G294" s="1">
        <v>47.7</v>
      </c>
      <c r="H294" s="1">
        <v>152.4</v>
      </c>
      <c r="I294" s="1">
        <v>381</v>
      </c>
      <c r="J294" s="1">
        <v>568</v>
      </c>
      <c r="K294" s="1">
        <v>21823.68</v>
      </c>
      <c r="L294" s="5">
        <v>106.22541601162594</v>
      </c>
      <c r="M294" s="8">
        <v>2.6026774586137627E-2</v>
      </c>
      <c r="N294" s="3">
        <v>48.808900000000008</v>
      </c>
      <c r="O294" s="5">
        <v>275.8</v>
      </c>
      <c r="P294" s="3">
        <v>0.2</v>
      </c>
      <c r="R294" s="12">
        <f t="shared" si="4"/>
        <v>1.379E-3</v>
      </c>
    </row>
    <row r="295" spans="1:18" x14ac:dyDescent="0.3">
      <c r="A295" t="s">
        <v>73</v>
      </c>
      <c r="B295" s="1">
        <v>22.2</v>
      </c>
      <c r="C295" s="1">
        <v>2</v>
      </c>
      <c r="D295" s="4">
        <v>63.6</v>
      </c>
      <c r="E295" s="3">
        <v>2.6879866270061714</v>
      </c>
      <c r="F295" s="1">
        <v>12.8</v>
      </c>
      <c r="G295" s="1">
        <v>23.9</v>
      </c>
      <c r="H295" s="1">
        <v>152.4</v>
      </c>
      <c r="I295" s="1">
        <v>381</v>
      </c>
      <c r="J295" s="1">
        <v>774</v>
      </c>
      <c r="K295" s="1">
        <v>12748.259999999998</v>
      </c>
      <c r="L295" s="5">
        <v>125.50102741476127</v>
      </c>
      <c r="M295" s="8">
        <v>6.0714168051169345E-2</v>
      </c>
      <c r="N295" s="3">
        <v>66.199000000000012</v>
      </c>
      <c r="O295" s="5">
        <v>271.28943756037444</v>
      </c>
      <c r="P295" s="3">
        <v>0.17</v>
      </c>
      <c r="R295" s="12">
        <f t="shared" si="4"/>
        <v>1.3564471878018721E-3</v>
      </c>
    </row>
    <row r="296" spans="1:18" x14ac:dyDescent="0.3">
      <c r="A296" t="s">
        <v>74</v>
      </c>
      <c r="B296" s="1">
        <v>22.2</v>
      </c>
      <c r="C296" s="1">
        <v>2</v>
      </c>
      <c r="D296" s="4">
        <v>63.6</v>
      </c>
      <c r="E296" s="3">
        <v>2.3846015710371389</v>
      </c>
      <c r="F296" s="1">
        <v>38</v>
      </c>
      <c r="G296" s="1">
        <v>49.1</v>
      </c>
      <c r="H296" s="1">
        <v>152.4</v>
      </c>
      <c r="I296" s="1">
        <v>381</v>
      </c>
      <c r="J296" s="1">
        <v>774</v>
      </c>
      <c r="K296" s="1">
        <v>24399.24</v>
      </c>
      <c r="L296" s="5">
        <v>122.85693329470558</v>
      </c>
      <c r="M296" s="8">
        <v>3.1722299547035072E-2</v>
      </c>
      <c r="N296" s="3">
        <v>43.938299999999998</v>
      </c>
      <c r="O296" s="5">
        <v>195.11352598003063</v>
      </c>
      <c r="P296" s="3">
        <v>0.15</v>
      </c>
      <c r="R296" s="12">
        <f t="shared" si="4"/>
        <v>9.7556762990015319E-4</v>
      </c>
    </row>
    <row r="297" spans="1:18" x14ac:dyDescent="0.3">
      <c r="B297" s="1">
        <v>22.2</v>
      </c>
      <c r="C297" s="1">
        <v>2</v>
      </c>
      <c r="D297" s="4">
        <v>63.6</v>
      </c>
      <c r="E297" s="3">
        <v>2.3846015710371389</v>
      </c>
      <c r="F297" s="1">
        <v>38</v>
      </c>
      <c r="G297" s="1">
        <v>49.1</v>
      </c>
      <c r="H297" s="1">
        <v>152.4</v>
      </c>
      <c r="I297" s="1">
        <v>381</v>
      </c>
      <c r="J297" s="1">
        <v>774</v>
      </c>
      <c r="K297" s="1">
        <v>24399.24</v>
      </c>
      <c r="L297" s="5">
        <v>122.85693329470558</v>
      </c>
      <c r="M297" s="8">
        <v>3.1722299547035072E-2</v>
      </c>
      <c r="N297" s="3">
        <v>51.107000000000006</v>
      </c>
      <c r="O297" s="5">
        <v>226.947036463892</v>
      </c>
      <c r="P297" s="3">
        <v>0.19</v>
      </c>
      <c r="R297" s="12">
        <f t="shared" si="4"/>
        <v>1.1347351823194601E-3</v>
      </c>
    </row>
    <row r="298" spans="1:18" x14ac:dyDescent="0.3">
      <c r="B298" s="1">
        <v>22.2</v>
      </c>
      <c r="C298" s="1">
        <v>2</v>
      </c>
      <c r="D298" s="4">
        <v>63.6</v>
      </c>
      <c r="E298" s="3">
        <v>2.3846015710371389</v>
      </c>
      <c r="F298" s="1">
        <v>38</v>
      </c>
      <c r="G298" s="1">
        <v>49.1</v>
      </c>
      <c r="H298" s="1">
        <v>152.4</v>
      </c>
      <c r="I298" s="1">
        <v>381</v>
      </c>
      <c r="J298" s="1">
        <v>774</v>
      </c>
      <c r="K298" s="1">
        <v>24399.24</v>
      </c>
      <c r="L298" s="5">
        <v>122.85693329470558</v>
      </c>
      <c r="M298" s="8">
        <v>3.1722299547035072E-2</v>
      </c>
      <c r="N298" s="3">
        <v>58.755900000000011</v>
      </c>
      <c r="O298" s="5">
        <v>260.91293520983021</v>
      </c>
      <c r="P298" s="3">
        <v>0.22</v>
      </c>
      <c r="R298" s="12">
        <f t="shared" si="4"/>
        <v>1.3045646760491511E-3</v>
      </c>
    </row>
    <row r="299" spans="1:18" x14ac:dyDescent="0.3">
      <c r="B299" s="1">
        <v>22.2</v>
      </c>
      <c r="C299" s="1">
        <v>2</v>
      </c>
      <c r="D299" s="4">
        <v>63.6</v>
      </c>
      <c r="E299" s="3">
        <v>2.3846015710371389</v>
      </c>
      <c r="F299" s="1">
        <v>38</v>
      </c>
      <c r="G299" s="1">
        <v>49.1</v>
      </c>
      <c r="H299" s="1">
        <v>152.4</v>
      </c>
      <c r="I299" s="1">
        <v>381</v>
      </c>
      <c r="J299" s="1">
        <v>774</v>
      </c>
      <c r="K299" s="1">
        <v>24399.24</v>
      </c>
      <c r="L299" s="5">
        <v>122.85693329470558</v>
      </c>
      <c r="M299" s="8">
        <v>3.1722299547035072E-2</v>
      </c>
      <c r="N299" s="3">
        <v>66.199000000000012</v>
      </c>
      <c r="O299" s="5">
        <v>275.8</v>
      </c>
      <c r="P299" s="3">
        <v>0.27</v>
      </c>
      <c r="R299" s="12">
        <f t="shared" si="4"/>
        <v>1.379E-3</v>
      </c>
    </row>
    <row r="300" spans="1:18" x14ac:dyDescent="0.3">
      <c r="A300" t="s">
        <v>75</v>
      </c>
      <c r="B300" s="1">
        <v>22.2</v>
      </c>
      <c r="C300" s="1">
        <v>2</v>
      </c>
      <c r="D300" s="4">
        <v>63.6</v>
      </c>
      <c r="E300" s="3">
        <v>2.8648423476200775</v>
      </c>
      <c r="F300" s="1">
        <v>38</v>
      </c>
      <c r="G300" s="1">
        <v>49.1</v>
      </c>
      <c r="H300" s="1">
        <v>152.4</v>
      </c>
      <c r="I300" s="1">
        <v>381</v>
      </c>
      <c r="J300" s="1">
        <v>774</v>
      </c>
      <c r="K300" s="1">
        <v>24399.24</v>
      </c>
      <c r="L300" s="5">
        <v>118.55113780231501</v>
      </c>
      <c r="M300" s="8">
        <v>3.1722299547035072E-2</v>
      </c>
      <c r="N300" s="3">
        <v>58.755900000000011</v>
      </c>
      <c r="O300" s="5">
        <v>259.63215176616467</v>
      </c>
      <c r="P300" s="3">
        <v>0.17</v>
      </c>
      <c r="R300" s="12">
        <f t="shared" si="4"/>
        <v>1.2981607588308233E-3</v>
      </c>
    </row>
    <row r="301" spans="1:18" x14ac:dyDescent="0.3">
      <c r="B301" s="1">
        <v>22.2</v>
      </c>
      <c r="C301" s="1">
        <v>2</v>
      </c>
      <c r="D301" s="4">
        <v>63.6</v>
      </c>
      <c r="E301" s="3">
        <v>2.8648423476200775</v>
      </c>
      <c r="F301" s="1">
        <v>38</v>
      </c>
      <c r="G301" s="1">
        <v>49.1</v>
      </c>
      <c r="H301" s="1">
        <v>152.4</v>
      </c>
      <c r="I301" s="1">
        <v>381</v>
      </c>
      <c r="J301" s="1">
        <v>774</v>
      </c>
      <c r="K301" s="1">
        <v>24399.24</v>
      </c>
      <c r="L301" s="5">
        <v>118.55113780231501</v>
      </c>
      <c r="M301" s="8">
        <v>3.1722299547035072E-2</v>
      </c>
      <c r="N301" s="3">
        <v>66.199000000000012</v>
      </c>
      <c r="O301" s="5">
        <v>275.8</v>
      </c>
      <c r="P301" s="3">
        <v>0.2</v>
      </c>
      <c r="R301" s="12">
        <f t="shared" si="4"/>
        <v>1.379E-3</v>
      </c>
    </row>
    <row r="302" spans="1:18" x14ac:dyDescent="0.3">
      <c r="A302" t="s">
        <v>76</v>
      </c>
      <c r="B302" s="1">
        <v>22.2</v>
      </c>
      <c r="C302" s="1">
        <v>2</v>
      </c>
      <c r="D302" s="4">
        <v>63.6</v>
      </c>
      <c r="E302" s="3">
        <v>2.8336917902498859</v>
      </c>
      <c r="F302" s="1">
        <v>38</v>
      </c>
      <c r="G302" s="1">
        <v>49.1</v>
      </c>
      <c r="H302" s="1">
        <v>152.4</v>
      </c>
      <c r="I302" s="1">
        <v>381</v>
      </c>
      <c r="J302" s="1">
        <v>774</v>
      </c>
      <c r="K302" s="1">
        <v>24399.24</v>
      </c>
      <c r="L302" s="5">
        <v>118.80489327201617</v>
      </c>
      <c r="M302" s="8">
        <v>3.1722299547035072E-2</v>
      </c>
      <c r="N302" s="3">
        <v>43.938299999999998</v>
      </c>
      <c r="O302" s="5">
        <v>194.21192690601001</v>
      </c>
      <c r="P302" s="3">
        <v>0.15</v>
      </c>
      <c r="R302" s="12">
        <f t="shared" si="4"/>
        <v>9.7105963453005006E-4</v>
      </c>
    </row>
    <row r="303" spans="1:18" x14ac:dyDescent="0.3">
      <c r="B303" s="1">
        <v>22.2</v>
      </c>
      <c r="C303" s="1">
        <v>2</v>
      </c>
      <c r="D303" s="4">
        <v>63.6</v>
      </c>
      <c r="E303" s="3">
        <v>2.8336917902498859</v>
      </c>
      <c r="F303" s="1">
        <v>38</v>
      </c>
      <c r="G303" s="1">
        <v>49.1</v>
      </c>
      <c r="H303" s="1">
        <v>152.4</v>
      </c>
      <c r="I303" s="1">
        <v>381</v>
      </c>
      <c r="J303" s="1">
        <v>774</v>
      </c>
      <c r="K303" s="1">
        <v>24399.24</v>
      </c>
      <c r="L303" s="5">
        <v>118.80489327201617</v>
      </c>
      <c r="M303" s="8">
        <v>3.1722299547035072E-2</v>
      </c>
      <c r="N303" s="3">
        <v>51.107000000000006</v>
      </c>
      <c r="O303" s="5">
        <v>225.89833808739655</v>
      </c>
      <c r="P303" s="3">
        <v>0.18</v>
      </c>
      <c r="R303" s="12">
        <f t="shared" si="4"/>
        <v>1.1294916904369828E-3</v>
      </c>
    </row>
    <row r="304" spans="1:18" x14ac:dyDescent="0.3">
      <c r="B304" s="1">
        <v>22.2</v>
      </c>
      <c r="C304" s="1">
        <v>2</v>
      </c>
      <c r="D304" s="4">
        <v>63.6</v>
      </c>
      <c r="E304" s="3">
        <v>2.8336917902498859</v>
      </c>
      <c r="F304" s="1">
        <v>38</v>
      </c>
      <c r="G304" s="1">
        <v>49.1</v>
      </c>
      <c r="H304" s="1">
        <v>152.4</v>
      </c>
      <c r="I304" s="1">
        <v>381</v>
      </c>
      <c r="J304" s="1">
        <v>774</v>
      </c>
      <c r="K304" s="1">
        <v>24399.24</v>
      </c>
      <c r="L304" s="5">
        <v>118.80489327201617</v>
      </c>
      <c r="M304" s="8">
        <v>3.1722299547035072E-2</v>
      </c>
      <c r="N304" s="3">
        <v>58.755900000000011</v>
      </c>
      <c r="O304" s="5">
        <v>259.70728398906732</v>
      </c>
      <c r="P304" s="3">
        <v>0.22</v>
      </c>
      <c r="R304" s="12">
        <f t="shared" si="4"/>
        <v>1.2985364199453366E-3</v>
      </c>
    </row>
    <row r="305" spans="1:18" x14ac:dyDescent="0.3">
      <c r="B305" s="1">
        <v>22.2</v>
      </c>
      <c r="C305" s="1">
        <v>2</v>
      </c>
      <c r="D305" s="4">
        <v>63.6</v>
      </c>
      <c r="E305" s="3">
        <v>2.8336917902498859</v>
      </c>
      <c r="F305" s="1">
        <v>38</v>
      </c>
      <c r="G305" s="1">
        <v>49.1</v>
      </c>
      <c r="H305" s="1">
        <v>152.4</v>
      </c>
      <c r="I305" s="1">
        <v>381</v>
      </c>
      <c r="J305" s="1">
        <v>774</v>
      </c>
      <c r="K305" s="1">
        <v>24399.24</v>
      </c>
      <c r="L305" s="5">
        <v>118.80489327201617</v>
      </c>
      <c r="M305" s="8">
        <v>3.1722299547035072E-2</v>
      </c>
      <c r="N305" s="3">
        <v>66.199000000000012</v>
      </c>
      <c r="O305" s="5">
        <v>275.8</v>
      </c>
      <c r="P305" s="3">
        <v>0.25</v>
      </c>
      <c r="R305" s="12">
        <f t="shared" si="4"/>
        <v>1.379E-3</v>
      </c>
    </row>
    <row r="306" spans="1:18" x14ac:dyDescent="0.3">
      <c r="A306" t="s">
        <v>77</v>
      </c>
      <c r="B306" s="1">
        <v>22.2</v>
      </c>
      <c r="C306" s="1">
        <v>2</v>
      </c>
      <c r="D306" s="4">
        <v>63.6</v>
      </c>
      <c r="E306" s="3">
        <v>2.7563734268389184</v>
      </c>
      <c r="F306" s="1">
        <v>38</v>
      </c>
      <c r="G306" s="1">
        <v>49.1</v>
      </c>
      <c r="H306" s="1">
        <v>152.4</v>
      </c>
      <c r="I306" s="1">
        <v>381</v>
      </c>
      <c r="J306" s="1">
        <v>774</v>
      </c>
      <c r="K306" s="1">
        <v>24399.24</v>
      </c>
      <c r="L306" s="5">
        <v>119.44859227094086</v>
      </c>
      <c r="M306" s="8">
        <v>3.1722299547035072E-2</v>
      </c>
      <c r="N306" s="3">
        <v>43.938299999999998</v>
      </c>
      <c r="O306" s="5">
        <v>194.35459603250266</v>
      </c>
      <c r="P306" s="3">
        <v>0.2</v>
      </c>
      <c r="R306" s="12">
        <f t="shared" si="4"/>
        <v>9.7177298016251331E-4</v>
      </c>
    </row>
    <row r="307" spans="1:18" x14ac:dyDescent="0.3">
      <c r="B307" s="1">
        <v>22.2</v>
      </c>
      <c r="C307" s="1">
        <v>2</v>
      </c>
      <c r="D307" s="4">
        <v>63.6</v>
      </c>
      <c r="E307" s="3">
        <v>2.7563734268389184</v>
      </c>
      <c r="F307" s="1">
        <v>38</v>
      </c>
      <c r="G307" s="1">
        <v>49.1</v>
      </c>
      <c r="H307" s="1">
        <v>152.4</v>
      </c>
      <c r="I307" s="1">
        <v>381</v>
      </c>
      <c r="J307" s="1">
        <v>774</v>
      </c>
      <c r="K307" s="1">
        <v>24399.24</v>
      </c>
      <c r="L307" s="5">
        <v>119.44859227094086</v>
      </c>
      <c r="M307" s="8">
        <v>3.1722299547035072E-2</v>
      </c>
      <c r="N307" s="3">
        <v>51.107000000000006</v>
      </c>
      <c r="O307" s="5">
        <v>226.06428422203666</v>
      </c>
      <c r="P307" s="3">
        <v>0.25</v>
      </c>
      <c r="R307" s="12">
        <f t="shared" si="4"/>
        <v>1.1303214211101833E-3</v>
      </c>
    </row>
    <row r="308" spans="1:18" x14ac:dyDescent="0.3">
      <c r="B308" s="1">
        <v>22.2</v>
      </c>
      <c r="C308" s="1">
        <v>2</v>
      </c>
      <c r="D308" s="4">
        <v>63.6</v>
      </c>
      <c r="E308" s="3">
        <v>2.7563734268389184</v>
      </c>
      <c r="F308" s="1">
        <v>38</v>
      </c>
      <c r="G308" s="1">
        <v>49.1</v>
      </c>
      <c r="H308" s="1">
        <v>152.4</v>
      </c>
      <c r="I308" s="1">
        <v>381</v>
      </c>
      <c r="J308" s="1">
        <v>774</v>
      </c>
      <c r="K308" s="1">
        <v>24399.24</v>
      </c>
      <c r="L308" s="5">
        <v>119.44859227094086</v>
      </c>
      <c r="M308" s="8">
        <v>3.1722299547035072E-2</v>
      </c>
      <c r="N308" s="3">
        <v>58.755900000000011</v>
      </c>
      <c r="O308" s="5">
        <v>259.8980663572811</v>
      </c>
      <c r="P308" s="3">
        <v>0.3</v>
      </c>
      <c r="R308" s="12">
        <f t="shared" si="4"/>
        <v>1.2994903317864056E-3</v>
      </c>
    </row>
    <row r="309" spans="1:18" x14ac:dyDescent="0.3">
      <c r="B309" s="1">
        <v>22.2</v>
      </c>
      <c r="C309" s="1">
        <v>2</v>
      </c>
      <c r="D309" s="4">
        <v>63.6</v>
      </c>
      <c r="E309" s="3">
        <v>2.7563734268389184</v>
      </c>
      <c r="F309" s="1">
        <v>38</v>
      </c>
      <c r="G309" s="1">
        <v>49.1</v>
      </c>
      <c r="H309" s="1">
        <v>152.4</v>
      </c>
      <c r="I309" s="1">
        <v>381</v>
      </c>
      <c r="J309" s="1">
        <v>774</v>
      </c>
      <c r="K309" s="1">
        <v>24399.24</v>
      </c>
      <c r="L309" s="5">
        <v>119.44859227094086</v>
      </c>
      <c r="M309" s="8">
        <v>3.1722299547035072E-2</v>
      </c>
      <c r="N309" s="3">
        <v>66.199000000000012</v>
      </c>
      <c r="O309" s="5">
        <v>275.8</v>
      </c>
      <c r="P309" s="3">
        <v>0.35</v>
      </c>
      <c r="R309" s="12">
        <f t="shared" si="4"/>
        <v>1.379E-3</v>
      </c>
    </row>
    <row r="310" spans="1:18" x14ac:dyDescent="0.3">
      <c r="A310" t="s">
        <v>78</v>
      </c>
      <c r="B310" s="1">
        <v>28.7</v>
      </c>
      <c r="C310" s="1">
        <v>2</v>
      </c>
      <c r="D310" s="4">
        <v>50.6</v>
      </c>
      <c r="E310" s="3">
        <v>2.7748174021560659</v>
      </c>
      <c r="F310" s="1">
        <v>22.2</v>
      </c>
      <c r="G310" s="1">
        <v>36.6</v>
      </c>
      <c r="H310" s="1">
        <v>152.4</v>
      </c>
      <c r="I310" s="1">
        <v>381</v>
      </c>
      <c r="J310" s="1">
        <v>1290</v>
      </c>
      <c r="K310" s="1">
        <v>19522.439999999999</v>
      </c>
      <c r="L310" s="5">
        <v>148.01498573118474</v>
      </c>
      <c r="M310" s="8">
        <v>6.6077805848039489E-2</v>
      </c>
      <c r="N310" s="3">
        <v>89.111400000000017</v>
      </c>
      <c r="O310" s="5">
        <v>234.11581828988642</v>
      </c>
      <c r="P310" s="3">
        <v>0.17</v>
      </c>
      <c r="R310" s="12">
        <f t="shared" si="4"/>
        <v>1.1705790914494322E-3</v>
      </c>
    </row>
    <row r="311" spans="1:18" x14ac:dyDescent="0.3">
      <c r="B311" s="1">
        <v>28.7</v>
      </c>
      <c r="C311" s="1">
        <v>2</v>
      </c>
      <c r="D311" s="4">
        <v>50.6</v>
      </c>
      <c r="E311" s="3">
        <v>2.7748174021560659</v>
      </c>
      <c r="F311" s="1">
        <v>22.2</v>
      </c>
      <c r="G311" s="1">
        <v>36.6</v>
      </c>
      <c r="H311" s="1">
        <v>152.4</v>
      </c>
      <c r="I311" s="1">
        <v>381</v>
      </c>
      <c r="J311" s="1">
        <v>1290</v>
      </c>
      <c r="K311" s="1">
        <v>19522.439999999999</v>
      </c>
      <c r="L311" s="5">
        <v>148.01498573118474</v>
      </c>
      <c r="M311" s="8">
        <v>6.6077805848039489E-2</v>
      </c>
      <c r="N311" s="3">
        <v>104.61500000000001</v>
      </c>
      <c r="O311" s="5">
        <v>274.84728475140628</v>
      </c>
      <c r="P311" s="3">
        <v>0.2</v>
      </c>
      <c r="R311" s="12">
        <f t="shared" si="4"/>
        <v>1.3742364237570315E-3</v>
      </c>
    </row>
    <row r="312" spans="1:18" x14ac:dyDescent="0.3">
      <c r="A312" t="s">
        <v>79</v>
      </c>
      <c r="B312" s="1">
        <v>28.7</v>
      </c>
      <c r="C312" s="1">
        <v>2</v>
      </c>
      <c r="D312" s="4">
        <v>50.6</v>
      </c>
      <c r="E312" s="3">
        <v>2.8017146470593879</v>
      </c>
      <c r="F312" s="1">
        <v>38.200000000000003</v>
      </c>
      <c r="G312" s="1">
        <v>52.5</v>
      </c>
      <c r="H312" s="1">
        <v>152.4</v>
      </c>
      <c r="I312" s="1">
        <v>381</v>
      </c>
      <c r="J312" s="1">
        <v>1290</v>
      </c>
      <c r="K312" s="1">
        <v>28003.5</v>
      </c>
      <c r="L312" s="5">
        <v>143.36625380284787</v>
      </c>
      <c r="M312" s="8">
        <v>4.6065670362633239E-2</v>
      </c>
      <c r="N312" s="3">
        <v>64.998500000000007</v>
      </c>
      <c r="O312" s="5">
        <v>179.49560032260422</v>
      </c>
      <c r="P312" s="3">
        <v>0.17</v>
      </c>
      <c r="R312" s="12">
        <f t="shared" si="4"/>
        <v>8.9747800161302108E-4</v>
      </c>
    </row>
    <row r="313" spans="1:18" x14ac:dyDescent="0.3">
      <c r="B313" s="1">
        <v>28.7</v>
      </c>
      <c r="C313" s="1">
        <v>2</v>
      </c>
      <c r="D313" s="4">
        <v>50.6</v>
      </c>
      <c r="E313" s="3">
        <v>2.8017146470593879</v>
      </c>
      <c r="F313" s="1">
        <v>38.200000000000003</v>
      </c>
      <c r="G313" s="1">
        <v>52.5</v>
      </c>
      <c r="H313" s="1">
        <v>152.4</v>
      </c>
      <c r="I313" s="1">
        <v>381</v>
      </c>
      <c r="J313" s="1">
        <v>1290</v>
      </c>
      <c r="K313" s="1">
        <v>28003.5</v>
      </c>
      <c r="L313" s="5">
        <v>143.36625380284787</v>
      </c>
      <c r="M313" s="8">
        <v>4.6065670362633239E-2</v>
      </c>
      <c r="N313" s="3">
        <v>77.037800000000004</v>
      </c>
      <c r="O313" s="5">
        <v>212.74254265148761</v>
      </c>
      <c r="P313" s="3">
        <v>0.2</v>
      </c>
      <c r="R313" s="12">
        <f t="shared" si="4"/>
        <v>1.063712713257438E-3</v>
      </c>
    </row>
    <row r="314" spans="1:18" x14ac:dyDescent="0.3">
      <c r="B314" s="1">
        <v>28.7</v>
      </c>
      <c r="C314" s="1">
        <v>2</v>
      </c>
      <c r="D314" s="4">
        <v>50.6</v>
      </c>
      <c r="E314" s="3">
        <v>2.8017146470593879</v>
      </c>
      <c r="F314" s="1">
        <v>38.200000000000003</v>
      </c>
      <c r="G314" s="1">
        <v>52.5</v>
      </c>
      <c r="H314" s="1">
        <v>152.4</v>
      </c>
      <c r="I314" s="1">
        <v>381</v>
      </c>
      <c r="J314" s="1">
        <v>1290</v>
      </c>
      <c r="K314" s="1">
        <v>28003.5</v>
      </c>
      <c r="L314" s="5">
        <v>143.36625380284787</v>
      </c>
      <c r="M314" s="8">
        <v>4.6065670362633239E-2</v>
      </c>
      <c r="N314" s="3">
        <v>88.802700000000002</v>
      </c>
      <c r="O314" s="5">
        <v>245.23171991304602</v>
      </c>
      <c r="P314" s="3">
        <v>0.25</v>
      </c>
      <c r="R314" s="12">
        <f t="shared" si="4"/>
        <v>1.2261585995652301E-3</v>
      </c>
    </row>
    <row r="315" spans="1:18" x14ac:dyDescent="0.3">
      <c r="B315" s="1">
        <v>28.7</v>
      </c>
      <c r="C315" s="1">
        <v>2</v>
      </c>
      <c r="D315" s="4">
        <v>50.6</v>
      </c>
      <c r="E315" s="3">
        <v>2.8017146470593879</v>
      </c>
      <c r="F315" s="1">
        <v>38.200000000000003</v>
      </c>
      <c r="G315" s="1">
        <v>52.5</v>
      </c>
      <c r="H315" s="1">
        <v>152.4</v>
      </c>
      <c r="I315" s="1">
        <v>381</v>
      </c>
      <c r="J315" s="1">
        <v>1290</v>
      </c>
      <c r="K315" s="1">
        <v>28003.5</v>
      </c>
      <c r="L315" s="5">
        <v>143.36625380284787</v>
      </c>
      <c r="M315" s="8">
        <v>4.6065670362633239E-2</v>
      </c>
      <c r="N315" s="3">
        <v>104.61500000000001</v>
      </c>
      <c r="O315" s="5">
        <v>275.8</v>
      </c>
      <c r="P315" s="3">
        <v>0.28999999999999998</v>
      </c>
      <c r="R315" s="12">
        <f t="shared" si="4"/>
        <v>1.379E-3</v>
      </c>
    </row>
    <row r="316" spans="1:18" x14ac:dyDescent="0.3">
      <c r="A316" t="s">
        <v>80</v>
      </c>
      <c r="B316" s="1">
        <v>28.7</v>
      </c>
      <c r="C316" s="1">
        <v>2</v>
      </c>
      <c r="D316" s="4">
        <v>50.6</v>
      </c>
      <c r="E316" s="3">
        <v>2.7153116457984496</v>
      </c>
      <c r="F316" s="1">
        <v>38.200000000000003</v>
      </c>
      <c r="G316" s="1">
        <v>52.5</v>
      </c>
      <c r="H316" s="1">
        <v>152.4</v>
      </c>
      <c r="I316" s="1">
        <v>381</v>
      </c>
      <c r="J316" s="1">
        <v>1290</v>
      </c>
      <c r="K316" s="1">
        <v>28003.5</v>
      </c>
      <c r="L316" s="5">
        <v>144.17675602863136</v>
      </c>
      <c r="M316" s="8">
        <v>4.6065670362633239E-2</v>
      </c>
      <c r="N316" s="3">
        <v>77.037800000000004</v>
      </c>
      <c r="O316" s="5">
        <v>212.94749158826474</v>
      </c>
      <c r="P316" s="3">
        <v>0.17</v>
      </c>
      <c r="R316" s="12">
        <f t="shared" si="4"/>
        <v>1.0647374579413236E-3</v>
      </c>
    </row>
    <row r="317" spans="1:18" x14ac:dyDescent="0.3">
      <c r="A317" t="s">
        <v>81</v>
      </c>
      <c r="B317" s="1">
        <v>28.7</v>
      </c>
      <c r="C317" s="1">
        <v>2</v>
      </c>
      <c r="D317" s="4">
        <v>50.6</v>
      </c>
      <c r="E317" s="3">
        <v>2.8017146470593879</v>
      </c>
      <c r="F317" s="1">
        <v>38.200000000000003</v>
      </c>
      <c r="G317" s="1">
        <v>52.5</v>
      </c>
      <c r="H317" s="1">
        <v>152.4</v>
      </c>
      <c r="I317" s="1">
        <v>381</v>
      </c>
      <c r="J317" s="1">
        <v>1290</v>
      </c>
      <c r="K317" s="1">
        <v>28003.5</v>
      </c>
      <c r="L317" s="5">
        <v>143.36625380284787</v>
      </c>
      <c r="M317" s="8">
        <v>4.6065670362633239E-2</v>
      </c>
      <c r="N317" s="3">
        <v>64.998500000000007</v>
      </c>
      <c r="O317" s="5">
        <v>179.49560032260422</v>
      </c>
      <c r="P317" s="3">
        <v>0.15</v>
      </c>
      <c r="R317" s="12">
        <f t="shared" si="4"/>
        <v>8.9747800161302108E-4</v>
      </c>
    </row>
    <row r="318" spans="1:18" x14ac:dyDescent="0.3">
      <c r="B318" s="1">
        <v>28.7</v>
      </c>
      <c r="C318" s="1">
        <v>2</v>
      </c>
      <c r="D318" s="4">
        <v>50.6</v>
      </c>
      <c r="E318" s="3">
        <v>2.8017146470593879</v>
      </c>
      <c r="F318" s="1">
        <v>38.200000000000003</v>
      </c>
      <c r="G318" s="1">
        <v>52.5</v>
      </c>
      <c r="H318" s="1">
        <v>152.4</v>
      </c>
      <c r="I318" s="1">
        <v>381</v>
      </c>
      <c r="J318" s="1">
        <v>1290</v>
      </c>
      <c r="K318" s="1">
        <v>28003.5</v>
      </c>
      <c r="L318" s="5">
        <v>143.36625380284787</v>
      </c>
      <c r="M318" s="8">
        <v>4.6065670362633239E-2</v>
      </c>
      <c r="N318" s="3">
        <v>77.037800000000004</v>
      </c>
      <c r="O318" s="5">
        <v>212.74254265148761</v>
      </c>
      <c r="P318" s="3">
        <v>0.16</v>
      </c>
      <c r="R318" s="12">
        <f t="shared" si="4"/>
        <v>1.063712713257438E-3</v>
      </c>
    </row>
    <row r="319" spans="1:18" x14ac:dyDescent="0.3">
      <c r="B319" s="1">
        <v>28.7</v>
      </c>
      <c r="C319" s="1">
        <v>2</v>
      </c>
      <c r="D319" s="4">
        <v>50.6</v>
      </c>
      <c r="E319" s="3">
        <v>2.8017146470593879</v>
      </c>
      <c r="F319" s="1">
        <v>38.200000000000003</v>
      </c>
      <c r="G319" s="1">
        <v>52.5</v>
      </c>
      <c r="H319" s="1">
        <v>152.4</v>
      </c>
      <c r="I319" s="1">
        <v>381</v>
      </c>
      <c r="J319" s="1">
        <v>1290</v>
      </c>
      <c r="K319" s="1">
        <v>28003.5</v>
      </c>
      <c r="L319" s="5">
        <v>143.36625380284787</v>
      </c>
      <c r="M319" s="8">
        <v>4.6065670362633239E-2</v>
      </c>
      <c r="N319" s="3">
        <v>88.802700000000002</v>
      </c>
      <c r="O319" s="5">
        <v>245.23171991304602</v>
      </c>
      <c r="P319" s="3">
        <v>0.22</v>
      </c>
      <c r="R319" s="12">
        <f t="shared" si="4"/>
        <v>1.2261585995652301E-3</v>
      </c>
    </row>
    <row r="320" spans="1:18" x14ac:dyDescent="0.3">
      <c r="B320" s="1">
        <v>28.7</v>
      </c>
      <c r="C320" s="1">
        <v>2</v>
      </c>
      <c r="D320" s="4">
        <v>50.6</v>
      </c>
      <c r="E320" s="3">
        <v>2.8017146470593879</v>
      </c>
      <c r="F320" s="1">
        <v>38.200000000000003</v>
      </c>
      <c r="G320" s="1">
        <v>52.5</v>
      </c>
      <c r="H320" s="1">
        <v>152.4</v>
      </c>
      <c r="I320" s="1">
        <v>381</v>
      </c>
      <c r="J320" s="1">
        <v>1290</v>
      </c>
      <c r="K320" s="1">
        <v>28003.5</v>
      </c>
      <c r="L320" s="5">
        <v>143.36625380284787</v>
      </c>
      <c r="M320" s="8">
        <v>4.6065670362633239E-2</v>
      </c>
      <c r="N320" s="3">
        <v>104.61500000000001</v>
      </c>
      <c r="O320" s="5">
        <v>275.8</v>
      </c>
      <c r="P320" s="3">
        <v>0.26</v>
      </c>
      <c r="R320" s="12">
        <f t="shared" si="4"/>
        <v>1.379E-3</v>
      </c>
    </row>
    <row r="321" spans="1:18" x14ac:dyDescent="0.3">
      <c r="A321" t="s">
        <v>82</v>
      </c>
      <c r="B321" s="1">
        <v>28.7</v>
      </c>
      <c r="C321" s="1">
        <v>2</v>
      </c>
      <c r="D321" s="4">
        <v>50.6</v>
      </c>
      <c r="E321" s="3">
        <v>2.524448068103379</v>
      </c>
      <c r="F321" s="1">
        <v>38.200000000000003</v>
      </c>
      <c r="G321" s="1">
        <v>52.5</v>
      </c>
      <c r="H321" s="1">
        <v>152.4</v>
      </c>
      <c r="I321" s="1">
        <v>381</v>
      </c>
      <c r="J321" s="1">
        <v>1290</v>
      </c>
      <c r="K321" s="1">
        <v>28003.5</v>
      </c>
      <c r="L321" s="5">
        <v>146.07134676739989</v>
      </c>
      <c r="M321" s="8">
        <v>4.6065670362633239E-2</v>
      </c>
      <c r="N321" s="3">
        <v>77.037800000000004</v>
      </c>
      <c r="O321" s="5">
        <v>213.42811414487335</v>
      </c>
      <c r="P321" s="3">
        <v>0.17</v>
      </c>
      <c r="R321" s="12">
        <f t="shared" si="4"/>
        <v>1.0671405707243667E-3</v>
      </c>
    </row>
    <row r="322" spans="1:18" x14ac:dyDescent="0.3">
      <c r="B322" s="1">
        <v>28.7</v>
      </c>
      <c r="C322" s="1">
        <v>2</v>
      </c>
      <c r="D322" s="4">
        <v>50.6</v>
      </c>
      <c r="E322" s="3">
        <v>2.524448068103379</v>
      </c>
      <c r="F322" s="1">
        <v>38.200000000000003</v>
      </c>
      <c r="G322" s="1">
        <v>52.5</v>
      </c>
      <c r="H322" s="1">
        <v>152.4</v>
      </c>
      <c r="I322" s="1">
        <v>381</v>
      </c>
      <c r="J322" s="1">
        <v>1290</v>
      </c>
      <c r="K322" s="1">
        <v>28003.5</v>
      </c>
      <c r="L322" s="5">
        <v>146.07134676739989</v>
      </c>
      <c r="M322" s="8">
        <v>4.6065670362633239E-2</v>
      </c>
      <c r="N322" s="3">
        <v>88.802700000000002</v>
      </c>
      <c r="O322" s="5">
        <v>246.02198910110286</v>
      </c>
      <c r="P322" s="3">
        <v>0.2</v>
      </c>
      <c r="R322" s="12">
        <f t="shared" si="4"/>
        <v>1.2301099455055142E-3</v>
      </c>
    </row>
    <row r="323" spans="1:18" x14ac:dyDescent="0.3">
      <c r="B323" s="1">
        <v>28.7</v>
      </c>
      <c r="C323" s="1">
        <v>2</v>
      </c>
      <c r="D323" s="4">
        <v>50.6</v>
      </c>
      <c r="E323" s="3">
        <v>2.524448068103379</v>
      </c>
      <c r="F323" s="1">
        <v>38.200000000000003</v>
      </c>
      <c r="G323" s="1">
        <v>52.5</v>
      </c>
      <c r="H323" s="1">
        <v>152.4</v>
      </c>
      <c r="I323" s="1">
        <v>381</v>
      </c>
      <c r="J323" s="1">
        <v>1290</v>
      </c>
      <c r="K323" s="1">
        <v>28003.5</v>
      </c>
      <c r="L323" s="5">
        <v>146.07134676739989</v>
      </c>
      <c r="M323" s="8">
        <v>4.6065670362633239E-2</v>
      </c>
      <c r="N323" s="3">
        <v>104.61500000000001</v>
      </c>
      <c r="O323" s="5">
        <v>275.8</v>
      </c>
      <c r="P323" s="3">
        <v>0.24</v>
      </c>
      <c r="R323" s="12">
        <f t="shared" si="4"/>
        <v>1.379E-3</v>
      </c>
    </row>
    <row r="324" spans="1:18" x14ac:dyDescent="0.3">
      <c r="A324" t="s">
        <v>83</v>
      </c>
      <c r="B324" s="1">
        <v>32.299999999999997</v>
      </c>
      <c r="C324" s="1">
        <v>1</v>
      </c>
      <c r="D324" s="4">
        <v>60</v>
      </c>
      <c r="E324" s="3">
        <v>2.5382184533279259</v>
      </c>
      <c r="F324" s="1">
        <v>38.299999999999997</v>
      </c>
      <c r="G324" s="1">
        <v>54.4</v>
      </c>
      <c r="H324" s="1">
        <v>152.4</v>
      </c>
      <c r="I324" s="1">
        <v>381</v>
      </c>
      <c r="J324" s="1">
        <v>819</v>
      </c>
      <c r="K324" s="1">
        <v>29016.960000000003</v>
      </c>
      <c r="L324" s="5">
        <v>122.83883123921107</v>
      </c>
      <c r="M324" s="8">
        <v>2.8224872626215838E-2</v>
      </c>
      <c r="N324" s="3">
        <v>39.959500000000006</v>
      </c>
      <c r="O324" s="5">
        <v>170.80329915468195</v>
      </c>
      <c r="P324" s="3">
        <v>0.17</v>
      </c>
      <c r="R324" s="12">
        <f t="shared" ref="R324:R343" si="5">O324/200000</f>
        <v>8.5401649577340972E-4</v>
      </c>
    </row>
    <row r="325" spans="1:18" x14ac:dyDescent="0.3">
      <c r="B325" s="1">
        <v>32.299999999999997</v>
      </c>
      <c r="C325" s="1">
        <v>1</v>
      </c>
      <c r="D325" s="4">
        <v>60</v>
      </c>
      <c r="E325" s="3">
        <v>2.5382184533279259</v>
      </c>
      <c r="F325" s="1">
        <v>38.299999999999997</v>
      </c>
      <c r="G325" s="1">
        <v>54.4</v>
      </c>
      <c r="H325" s="1">
        <v>152.4</v>
      </c>
      <c r="I325" s="1">
        <v>381</v>
      </c>
      <c r="J325" s="1">
        <v>819</v>
      </c>
      <c r="K325" s="1">
        <v>29016.960000000003</v>
      </c>
      <c r="L325" s="5">
        <v>122.83883123921107</v>
      </c>
      <c r="M325" s="8">
        <v>2.8224872626215838E-2</v>
      </c>
      <c r="N325" s="3">
        <v>49.186200000000007</v>
      </c>
      <c r="O325" s="5">
        <v>210.24200084790894</v>
      </c>
      <c r="P325" s="3">
        <v>0.23</v>
      </c>
      <c r="R325" s="12">
        <f t="shared" si="5"/>
        <v>1.0512100042395446E-3</v>
      </c>
    </row>
    <row r="326" spans="1:18" x14ac:dyDescent="0.3">
      <c r="B326" s="1">
        <v>32.299999999999997</v>
      </c>
      <c r="C326" s="1">
        <v>1</v>
      </c>
      <c r="D326" s="4">
        <v>60</v>
      </c>
      <c r="E326" s="3">
        <v>2.5382184533279259</v>
      </c>
      <c r="F326" s="1">
        <v>38.299999999999997</v>
      </c>
      <c r="G326" s="1">
        <v>54.4</v>
      </c>
      <c r="H326" s="1">
        <v>152.4</v>
      </c>
      <c r="I326" s="1">
        <v>381</v>
      </c>
      <c r="J326" s="1">
        <v>819</v>
      </c>
      <c r="K326" s="1">
        <v>29016.960000000003</v>
      </c>
      <c r="L326" s="5">
        <v>122.83883123921107</v>
      </c>
      <c r="M326" s="8">
        <v>2.8224872626215838E-2</v>
      </c>
      <c r="N326" s="3">
        <v>57.349600000000002</v>
      </c>
      <c r="O326" s="5">
        <v>245.13572204860782</v>
      </c>
      <c r="P326" s="3">
        <v>0.27</v>
      </c>
      <c r="R326" s="12">
        <f t="shared" si="5"/>
        <v>1.2256786102430391E-3</v>
      </c>
    </row>
    <row r="327" spans="1:18" x14ac:dyDescent="0.3">
      <c r="B327" s="1">
        <v>32.299999999999997</v>
      </c>
      <c r="C327" s="1">
        <v>1</v>
      </c>
      <c r="D327" s="4">
        <v>60</v>
      </c>
      <c r="E327" s="3">
        <v>2.5382184533279259</v>
      </c>
      <c r="F327" s="1">
        <v>38.299999999999997</v>
      </c>
      <c r="G327" s="1">
        <v>54.4</v>
      </c>
      <c r="H327" s="1">
        <v>152.4</v>
      </c>
      <c r="I327" s="1">
        <v>381</v>
      </c>
      <c r="J327" s="1">
        <v>819</v>
      </c>
      <c r="K327" s="1">
        <v>29016.960000000003</v>
      </c>
      <c r="L327" s="5">
        <v>122.83883123921107</v>
      </c>
      <c r="M327" s="8">
        <v>2.8224872626215838E-2</v>
      </c>
      <c r="N327" s="3">
        <v>63.180599999999998</v>
      </c>
      <c r="O327" s="5">
        <v>270.05980862053565</v>
      </c>
      <c r="P327" s="3">
        <v>0.31</v>
      </c>
      <c r="R327" s="12">
        <f t="shared" si="5"/>
        <v>1.3502990431026782E-3</v>
      </c>
    </row>
    <row r="328" spans="1:18" x14ac:dyDescent="0.3">
      <c r="B328" s="1">
        <v>32.299999999999997</v>
      </c>
      <c r="C328" s="1">
        <v>1</v>
      </c>
      <c r="D328" s="4">
        <v>60</v>
      </c>
      <c r="E328" s="3">
        <v>2.5382184533279259</v>
      </c>
      <c r="F328" s="1">
        <v>38.299999999999997</v>
      </c>
      <c r="G328" s="1">
        <v>54.4</v>
      </c>
      <c r="H328" s="1">
        <v>152.4</v>
      </c>
      <c r="I328" s="1">
        <v>381</v>
      </c>
      <c r="J328" s="1">
        <v>819</v>
      </c>
      <c r="K328" s="1">
        <v>29016.960000000003</v>
      </c>
      <c r="L328" s="5">
        <v>122.83883123921107</v>
      </c>
      <c r="M328" s="8">
        <v>2.8224872626215838E-2</v>
      </c>
      <c r="N328" s="3">
        <v>67.125100000000003</v>
      </c>
      <c r="O328" s="5">
        <v>275.8</v>
      </c>
      <c r="P328" s="3">
        <v>0.35</v>
      </c>
      <c r="R328" s="12">
        <f t="shared" si="5"/>
        <v>1.379E-3</v>
      </c>
    </row>
    <row r="329" spans="1:18" x14ac:dyDescent="0.3">
      <c r="A329" t="s">
        <v>84</v>
      </c>
      <c r="B329" s="1">
        <v>32.299999999999997</v>
      </c>
      <c r="C329" s="1">
        <v>1</v>
      </c>
      <c r="D329" s="4">
        <v>60</v>
      </c>
      <c r="E329" s="3">
        <v>2.8108695189494299</v>
      </c>
      <c r="F329" s="1">
        <v>38.299999999999997</v>
      </c>
      <c r="G329" s="1">
        <v>54.4</v>
      </c>
      <c r="H329" s="1">
        <v>152.4</v>
      </c>
      <c r="I329" s="1">
        <v>381</v>
      </c>
      <c r="J329" s="1">
        <v>819</v>
      </c>
      <c r="K329" s="1">
        <v>29016.960000000003</v>
      </c>
      <c r="L329" s="5">
        <v>120.44611657620311</v>
      </c>
      <c r="M329" s="8">
        <v>2.8224872626215838E-2</v>
      </c>
      <c r="N329" s="3">
        <v>39.959500000000006</v>
      </c>
      <c r="O329" s="5">
        <v>170.32772841920183</v>
      </c>
      <c r="P329" s="3">
        <v>0.19</v>
      </c>
      <c r="R329" s="12">
        <f t="shared" si="5"/>
        <v>8.5163864209600911E-4</v>
      </c>
    </row>
    <row r="330" spans="1:18" x14ac:dyDescent="0.3">
      <c r="B330" s="1">
        <v>32.299999999999997</v>
      </c>
      <c r="C330" s="1">
        <v>1</v>
      </c>
      <c r="D330" s="4">
        <v>60</v>
      </c>
      <c r="E330" s="3">
        <v>2.8108695189494299</v>
      </c>
      <c r="F330" s="1">
        <v>38.299999999999997</v>
      </c>
      <c r="G330" s="1">
        <v>54.4</v>
      </c>
      <c r="H330" s="1">
        <v>152.4</v>
      </c>
      <c r="I330" s="1">
        <v>381</v>
      </c>
      <c r="J330" s="1">
        <v>819</v>
      </c>
      <c r="K330" s="1">
        <v>29016.960000000003</v>
      </c>
      <c r="L330" s="5">
        <v>120.44611657620311</v>
      </c>
      <c r="M330" s="8">
        <v>2.8224872626215838E-2</v>
      </c>
      <c r="N330" s="3">
        <v>49.186200000000007</v>
      </c>
      <c r="O330" s="5">
        <v>209.6566202172836</v>
      </c>
      <c r="P330" s="3">
        <v>0.24</v>
      </c>
      <c r="R330" s="12">
        <f t="shared" si="5"/>
        <v>1.048283101086418E-3</v>
      </c>
    </row>
    <row r="331" spans="1:18" x14ac:dyDescent="0.3">
      <c r="B331" s="1">
        <v>32.299999999999997</v>
      </c>
      <c r="C331" s="1">
        <v>1</v>
      </c>
      <c r="D331" s="4">
        <v>60</v>
      </c>
      <c r="E331" s="3">
        <v>2.8108695189494299</v>
      </c>
      <c r="F331" s="1">
        <v>38.299999999999997</v>
      </c>
      <c r="G331" s="1">
        <v>54.4</v>
      </c>
      <c r="H331" s="1">
        <v>152.4</v>
      </c>
      <c r="I331" s="1">
        <v>381</v>
      </c>
      <c r="J331" s="1">
        <v>819</v>
      </c>
      <c r="K331" s="1">
        <v>29016.960000000003</v>
      </c>
      <c r="L331" s="5">
        <v>120.44611657620311</v>
      </c>
      <c r="M331" s="8">
        <v>2.8224872626215838E-2</v>
      </c>
      <c r="N331" s="3">
        <v>57.349600000000002</v>
      </c>
      <c r="O331" s="5">
        <v>244.45318619476859</v>
      </c>
      <c r="P331" s="3">
        <v>0.28999999999999998</v>
      </c>
      <c r="R331" s="12">
        <f t="shared" si="5"/>
        <v>1.2222659309738429E-3</v>
      </c>
    </row>
    <row r="332" spans="1:18" x14ac:dyDescent="0.3">
      <c r="B332" s="1">
        <v>32.299999999999997</v>
      </c>
      <c r="C332" s="1">
        <v>1</v>
      </c>
      <c r="D332" s="4">
        <v>60</v>
      </c>
      <c r="E332" s="3">
        <v>2.8108695189494299</v>
      </c>
      <c r="F332" s="1">
        <v>38.299999999999997</v>
      </c>
      <c r="G332" s="1">
        <v>54.4</v>
      </c>
      <c r="H332" s="1">
        <v>152.4</v>
      </c>
      <c r="I332" s="1">
        <v>381</v>
      </c>
      <c r="J332" s="1">
        <v>819</v>
      </c>
      <c r="K332" s="1">
        <v>29016.960000000003</v>
      </c>
      <c r="L332" s="5">
        <v>120.44611657620311</v>
      </c>
      <c r="M332" s="8">
        <v>2.8224872626215838E-2</v>
      </c>
      <c r="N332" s="3">
        <v>63.180599999999998</v>
      </c>
      <c r="O332" s="5">
        <v>269.30787617868646</v>
      </c>
      <c r="P332" s="3">
        <v>0.36</v>
      </c>
      <c r="R332" s="12">
        <f t="shared" si="5"/>
        <v>1.3465393808934324E-3</v>
      </c>
    </row>
    <row r="333" spans="1:18" x14ac:dyDescent="0.3">
      <c r="B333" s="1">
        <v>32.299999999999997</v>
      </c>
      <c r="C333" s="1">
        <v>1</v>
      </c>
      <c r="D333" s="4">
        <v>60</v>
      </c>
      <c r="E333" s="3">
        <v>2.8108695189494299</v>
      </c>
      <c r="F333" s="1">
        <v>38.299999999999997</v>
      </c>
      <c r="G333" s="1">
        <v>54.4</v>
      </c>
      <c r="H333" s="1">
        <v>152.4</v>
      </c>
      <c r="I333" s="1">
        <v>381</v>
      </c>
      <c r="J333" s="1">
        <v>819</v>
      </c>
      <c r="K333" s="1">
        <v>29016.960000000003</v>
      </c>
      <c r="L333" s="5">
        <v>120.44611657620311</v>
      </c>
      <c r="M333" s="8">
        <v>2.8224872626215838E-2</v>
      </c>
      <c r="N333" s="3">
        <v>67.125100000000003</v>
      </c>
      <c r="O333" s="5">
        <v>275.8</v>
      </c>
      <c r="P333" s="3">
        <v>0.42</v>
      </c>
      <c r="R333" s="12">
        <f t="shared" si="5"/>
        <v>1.379E-3</v>
      </c>
    </row>
    <row r="334" spans="1:18" x14ac:dyDescent="0.3">
      <c r="A334" t="s">
        <v>85</v>
      </c>
      <c r="B334" s="1">
        <v>28.7</v>
      </c>
      <c r="C334" s="1">
        <v>2</v>
      </c>
      <c r="D334" s="4">
        <v>50.6</v>
      </c>
      <c r="E334" s="3">
        <v>2.5765786179080412</v>
      </c>
      <c r="F334" s="1">
        <v>38</v>
      </c>
      <c r="G334" s="1">
        <v>52.3</v>
      </c>
      <c r="H334" s="1">
        <v>152.4</v>
      </c>
      <c r="I334" s="1">
        <v>584.20000000000005</v>
      </c>
      <c r="J334" s="1">
        <v>1290</v>
      </c>
      <c r="K334" s="1">
        <v>27896.82</v>
      </c>
      <c r="L334" s="5">
        <v>196.9266161393364</v>
      </c>
      <c r="M334" s="8">
        <v>4.6241829713924383E-2</v>
      </c>
      <c r="N334" s="3">
        <v>110.20799999999998</v>
      </c>
      <c r="O334" s="5">
        <v>183.23030547751344</v>
      </c>
      <c r="P334" s="3">
        <v>0.18</v>
      </c>
      <c r="R334" s="12">
        <f t="shared" si="5"/>
        <v>9.1615152738756724E-4</v>
      </c>
    </row>
    <row r="335" spans="1:18" x14ac:dyDescent="0.3">
      <c r="B335" s="1">
        <v>28.7</v>
      </c>
      <c r="C335" s="1">
        <v>2</v>
      </c>
      <c r="D335" s="4">
        <v>50.6</v>
      </c>
      <c r="E335" s="3">
        <v>2.5765786179080412</v>
      </c>
      <c r="F335" s="1">
        <v>38</v>
      </c>
      <c r="G335" s="1">
        <v>52.3</v>
      </c>
      <c r="H335" s="1">
        <v>152.4</v>
      </c>
      <c r="I335" s="1">
        <v>584.20000000000005</v>
      </c>
      <c r="J335" s="1">
        <v>1290</v>
      </c>
      <c r="K335" s="1">
        <v>27896.82</v>
      </c>
      <c r="L335" s="5">
        <v>196.9266161393364</v>
      </c>
      <c r="M335" s="8">
        <v>4.6241829713924383E-2</v>
      </c>
      <c r="N335" s="3">
        <v>132.25799999999998</v>
      </c>
      <c r="O335" s="5">
        <v>219.890332297519</v>
      </c>
      <c r="P335" s="3">
        <v>0.22</v>
      </c>
      <c r="R335" s="12">
        <f t="shared" si="5"/>
        <v>1.0994516614875949E-3</v>
      </c>
    </row>
    <row r="336" spans="1:18" x14ac:dyDescent="0.3">
      <c r="B336" s="1">
        <v>28.7</v>
      </c>
      <c r="C336" s="1">
        <v>2</v>
      </c>
      <c r="D336" s="4">
        <v>50.6</v>
      </c>
      <c r="E336" s="3">
        <v>2.5765786179080412</v>
      </c>
      <c r="F336" s="1">
        <v>38</v>
      </c>
      <c r="G336" s="1">
        <v>52.3</v>
      </c>
      <c r="H336" s="1">
        <v>152.4</v>
      </c>
      <c r="I336" s="1">
        <v>584.20000000000005</v>
      </c>
      <c r="J336" s="1">
        <v>1290</v>
      </c>
      <c r="K336" s="1">
        <v>27896.82</v>
      </c>
      <c r="L336" s="5">
        <v>196.9266161393364</v>
      </c>
      <c r="M336" s="8">
        <v>4.6241829713924383E-2</v>
      </c>
      <c r="N336" s="3">
        <v>149.26799999999997</v>
      </c>
      <c r="O336" s="5">
        <v>248.170924415809</v>
      </c>
      <c r="P336" s="3">
        <v>0.27</v>
      </c>
      <c r="R336" s="12">
        <f t="shared" si="5"/>
        <v>1.240854622079045E-3</v>
      </c>
    </row>
    <row r="337" spans="1:18" x14ac:dyDescent="0.3">
      <c r="B337" s="1">
        <v>28.7</v>
      </c>
      <c r="C337" s="1">
        <v>2</v>
      </c>
      <c r="D337" s="4">
        <v>50.6</v>
      </c>
      <c r="E337" s="3">
        <v>2.5765786179080412</v>
      </c>
      <c r="F337" s="1">
        <v>38</v>
      </c>
      <c r="G337" s="1">
        <v>52.3</v>
      </c>
      <c r="H337" s="1">
        <v>152.4</v>
      </c>
      <c r="I337" s="1">
        <v>584.20000000000005</v>
      </c>
      <c r="J337" s="1">
        <v>1290</v>
      </c>
      <c r="K337" s="1">
        <v>27896.82</v>
      </c>
      <c r="L337" s="5">
        <v>196.9266161393364</v>
      </c>
      <c r="M337" s="8">
        <v>4.6241829713924383E-2</v>
      </c>
      <c r="N337" s="3">
        <v>168.88200000000001</v>
      </c>
      <c r="O337" s="5">
        <v>275.8</v>
      </c>
      <c r="P337" s="3">
        <v>0.32</v>
      </c>
      <c r="R337" s="12">
        <f t="shared" si="5"/>
        <v>1.379E-3</v>
      </c>
    </row>
    <row r="338" spans="1:18" x14ac:dyDescent="0.3">
      <c r="A338" t="s">
        <v>86</v>
      </c>
      <c r="B338" s="1">
        <v>28.7</v>
      </c>
      <c r="C338" s="1">
        <v>2</v>
      </c>
      <c r="D338" s="4">
        <v>50.6</v>
      </c>
      <c r="E338" s="3">
        <v>2.5765786179080412</v>
      </c>
      <c r="F338" s="1">
        <v>38</v>
      </c>
      <c r="G338" s="1">
        <v>52.3</v>
      </c>
      <c r="H338" s="1">
        <v>152.4</v>
      </c>
      <c r="I338" s="1">
        <v>584.20000000000005</v>
      </c>
      <c r="J338" s="1">
        <v>1290</v>
      </c>
      <c r="K338" s="1">
        <v>27896.82</v>
      </c>
      <c r="L338" s="5">
        <v>196.9266161393364</v>
      </c>
      <c r="M338" s="8">
        <v>4.6241829713924383E-2</v>
      </c>
      <c r="N338" s="3">
        <v>132.25799999999998</v>
      </c>
      <c r="O338" s="5">
        <v>219.890332297519</v>
      </c>
      <c r="P338" s="3">
        <v>0.16</v>
      </c>
      <c r="R338" s="12">
        <f t="shared" si="5"/>
        <v>1.0994516614875949E-3</v>
      </c>
    </row>
    <row r="339" spans="1:18" x14ac:dyDescent="0.3">
      <c r="B339" s="1">
        <v>28.7</v>
      </c>
      <c r="C339" s="1">
        <v>2</v>
      </c>
      <c r="D339" s="4">
        <v>50.6</v>
      </c>
      <c r="E339" s="3">
        <v>2.5765786179080412</v>
      </c>
      <c r="F339" s="1">
        <v>38</v>
      </c>
      <c r="G339" s="1">
        <v>52.3</v>
      </c>
      <c r="H339" s="1">
        <v>152.4</v>
      </c>
      <c r="I339" s="1">
        <v>584.20000000000005</v>
      </c>
      <c r="J339" s="1">
        <v>1290</v>
      </c>
      <c r="K339" s="1">
        <v>27896.82</v>
      </c>
      <c r="L339" s="5">
        <v>196.9266161393364</v>
      </c>
      <c r="M339" s="8">
        <v>4.6241829713924383E-2</v>
      </c>
      <c r="N339" s="3">
        <v>149.26799999999997</v>
      </c>
      <c r="O339" s="5">
        <v>248.170924415809</v>
      </c>
      <c r="P339" s="3">
        <v>0.19</v>
      </c>
      <c r="R339" s="12">
        <f t="shared" si="5"/>
        <v>1.240854622079045E-3</v>
      </c>
    </row>
    <row r="340" spans="1:18" x14ac:dyDescent="0.3">
      <c r="B340" s="1">
        <v>28.7</v>
      </c>
      <c r="C340" s="1">
        <v>2</v>
      </c>
      <c r="D340" s="4">
        <v>50.6</v>
      </c>
      <c r="E340" s="3">
        <v>2.5765786179080412</v>
      </c>
      <c r="F340" s="1">
        <v>38</v>
      </c>
      <c r="G340" s="1">
        <v>52.3</v>
      </c>
      <c r="H340" s="1">
        <v>152.4</v>
      </c>
      <c r="I340" s="1">
        <v>584.20000000000005</v>
      </c>
      <c r="J340" s="1">
        <v>1290</v>
      </c>
      <c r="K340" s="1">
        <v>27896.82</v>
      </c>
      <c r="L340" s="5">
        <v>196.9266161393364</v>
      </c>
      <c r="M340" s="8">
        <v>4.6241829713924383E-2</v>
      </c>
      <c r="N340" s="3">
        <v>168.88200000000001</v>
      </c>
      <c r="O340" s="5">
        <v>275.8</v>
      </c>
      <c r="P340" s="3">
        <v>0.22</v>
      </c>
      <c r="R340" s="12">
        <f t="shared" si="5"/>
        <v>1.379E-3</v>
      </c>
    </row>
    <row r="341" spans="1:18" x14ac:dyDescent="0.3">
      <c r="A341" t="s">
        <v>87</v>
      </c>
      <c r="B341" s="1">
        <v>35.799999999999997</v>
      </c>
      <c r="C341" s="1">
        <v>2</v>
      </c>
      <c r="D341" s="4">
        <v>36.4</v>
      </c>
      <c r="E341" s="3">
        <v>2.5478355335404417</v>
      </c>
      <c r="F341" s="1">
        <v>38</v>
      </c>
      <c r="G341" s="1">
        <v>55.9</v>
      </c>
      <c r="H341" s="1">
        <v>152.4</v>
      </c>
      <c r="I341" s="1">
        <v>584.20000000000005</v>
      </c>
      <c r="J341" s="1">
        <v>2012</v>
      </c>
      <c r="K341" s="1">
        <v>29817.06</v>
      </c>
      <c r="L341" s="5">
        <v>231.96707915484524</v>
      </c>
      <c r="M341" s="8">
        <v>6.7478148415705638E-2</v>
      </c>
      <c r="N341" s="3">
        <v>167.03399999999999</v>
      </c>
      <c r="O341" s="5">
        <v>184.08648071345613</v>
      </c>
      <c r="P341" s="3">
        <v>0.17</v>
      </c>
      <c r="R341" s="12">
        <f t="shared" si="5"/>
        <v>9.2043240356728061E-4</v>
      </c>
    </row>
    <row r="342" spans="1:18" x14ac:dyDescent="0.3">
      <c r="A342" t="s">
        <v>88</v>
      </c>
      <c r="B342" s="1">
        <v>35.799999999999997</v>
      </c>
      <c r="C342" s="1">
        <v>2</v>
      </c>
      <c r="D342" s="4">
        <v>36.4</v>
      </c>
      <c r="E342" s="3">
        <v>2.7563734268389184</v>
      </c>
      <c r="F342" s="1">
        <v>38</v>
      </c>
      <c r="G342" s="1">
        <v>55.9</v>
      </c>
      <c r="H342" s="1">
        <v>152.4</v>
      </c>
      <c r="I342" s="1">
        <v>584.20000000000005</v>
      </c>
      <c r="J342" s="1">
        <v>2012</v>
      </c>
      <c r="K342" s="1">
        <v>29817.06</v>
      </c>
      <c r="L342" s="5">
        <v>228.69980068753716</v>
      </c>
      <c r="M342" s="8">
        <v>6.7478148415705638E-2</v>
      </c>
      <c r="N342" s="3">
        <v>130.78799999999998</v>
      </c>
      <c r="O342" s="5">
        <v>143.79287698695691</v>
      </c>
      <c r="P342" s="3">
        <v>0.19</v>
      </c>
      <c r="R342" s="12">
        <f t="shared" si="5"/>
        <v>7.1896438493478456E-4</v>
      </c>
    </row>
    <row r="343" spans="1:18" x14ac:dyDescent="0.3">
      <c r="B343" s="1">
        <v>35.799999999999997</v>
      </c>
      <c r="C343" s="1">
        <v>2</v>
      </c>
      <c r="D343" s="4">
        <v>36.4</v>
      </c>
      <c r="E343" s="3">
        <v>2.7563734268389184</v>
      </c>
      <c r="F343" s="1">
        <v>38</v>
      </c>
      <c r="G343" s="1">
        <v>55.9</v>
      </c>
      <c r="H343" s="1">
        <v>152.4</v>
      </c>
      <c r="I343" s="1">
        <v>584.20000000000005</v>
      </c>
      <c r="J343" s="1">
        <v>2012</v>
      </c>
      <c r="K343" s="1">
        <v>29817.06</v>
      </c>
      <c r="L343" s="5">
        <v>228.69980068753716</v>
      </c>
      <c r="M343" s="8">
        <v>6.7478148415705638E-2</v>
      </c>
      <c r="N343" s="3">
        <v>167.03399999999999</v>
      </c>
      <c r="O343" s="5">
        <v>183.6429902945176</v>
      </c>
      <c r="P343" s="3">
        <v>0.25</v>
      </c>
      <c r="R343" s="12">
        <f t="shared" si="5"/>
        <v>9.1821495147258799E-4</v>
      </c>
    </row>
  </sheetData>
  <mergeCells count="1">
    <mergeCell ref="B1:O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D65-73CD-422B-8B95-A528E2510492}">
  <dimension ref="A1:AS347"/>
  <sheetViews>
    <sheetView workbookViewId="0">
      <selection activeCell="AS252" sqref="AS252"/>
    </sheetView>
  </sheetViews>
  <sheetFormatPr defaultRowHeight="14.4" x14ac:dyDescent="0.3"/>
  <cols>
    <col min="1" max="1" width="29.88671875" customWidth="1"/>
    <col min="20" max="20" width="19.109375" customWidth="1"/>
    <col min="21" max="21" width="15" customWidth="1"/>
  </cols>
  <sheetData>
    <row r="1" spans="1:45" x14ac:dyDescent="0.3">
      <c r="A1" t="s">
        <v>0</v>
      </c>
      <c r="B1" t="s">
        <v>1</v>
      </c>
      <c r="M1" t="s">
        <v>2</v>
      </c>
      <c r="N1" t="s">
        <v>106</v>
      </c>
      <c r="W1" t="s">
        <v>107</v>
      </c>
      <c r="AI1" t="s">
        <v>103</v>
      </c>
      <c r="AK1" t="s">
        <v>108</v>
      </c>
      <c r="AM1" t="s">
        <v>104</v>
      </c>
      <c r="AO1" t="s">
        <v>105</v>
      </c>
      <c r="AQ1" t="s">
        <v>109</v>
      </c>
      <c r="AS1" t="s">
        <v>110</v>
      </c>
    </row>
    <row r="2" spans="1:45" x14ac:dyDescent="0.3">
      <c r="B2" t="s">
        <v>96</v>
      </c>
      <c r="C2" t="s">
        <v>3</v>
      </c>
      <c r="D2" t="s">
        <v>4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111</v>
      </c>
      <c r="K2" t="s">
        <v>112</v>
      </c>
      <c r="L2" t="s">
        <v>113</v>
      </c>
      <c r="M2" t="s">
        <v>102</v>
      </c>
      <c r="N2" t="s">
        <v>114</v>
      </c>
      <c r="O2" t="s">
        <v>123</v>
      </c>
      <c r="P2" t="s">
        <v>116</v>
      </c>
      <c r="Q2" t="s">
        <v>123</v>
      </c>
      <c r="R2" t="s">
        <v>117</v>
      </c>
      <c r="S2" t="s">
        <v>123</v>
      </c>
      <c r="T2" t="s">
        <v>118</v>
      </c>
      <c r="U2" t="s">
        <v>119</v>
      </c>
      <c r="V2" t="s">
        <v>123</v>
      </c>
      <c r="W2" t="s">
        <v>124</v>
      </c>
      <c r="X2" t="s">
        <v>115</v>
      </c>
      <c r="Y2" t="s">
        <v>125</v>
      </c>
      <c r="Z2" t="s">
        <v>115</v>
      </c>
      <c r="AA2" t="s">
        <v>126</v>
      </c>
      <c r="AB2" t="s">
        <v>115</v>
      </c>
      <c r="AC2" t="s">
        <v>127</v>
      </c>
      <c r="AD2" t="s">
        <v>115</v>
      </c>
      <c r="AE2" t="s">
        <v>128</v>
      </c>
      <c r="AF2" t="s">
        <v>115</v>
      </c>
      <c r="AG2" t="s">
        <v>129</v>
      </c>
      <c r="AH2" t="s">
        <v>115</v>
      </c>
      <c r="AI2" t="s">
        <v>120</v>
      </c>
      <c r="AJ2" t="s">
        <v>115</v>
      </c>
      <c r="AK2" t="s">
        <v>130</v>
      </c>
      <c r="AL2" t="s">
        <v>115</v>
      </c>
      <c r="AM2" t="s">
        <v>121</v>
      </c>
      <c r="AN2" t="s">
        <v>115</v>
      </c>
      <c r="AO2" t="s">
        <v>122</v>
      </c>
      <c r="AP2" t="s">
        <v>115</v>
      </c>
      <c r="AQ2" t="s">
        <v>131</v>
      </c>
      <c r="AR2" t="s">
        <v>115</v>
      </c>
    </row>
    <row r="3" spans="1:45" x14ac:dyDescent="0.3">
      <c r="A3" t="s">
        <v>5</v>
      </c>
      <c r="B3">
        <v>20</v>
      </c>
      <c r="C3">
        <v>2</v>
      </c>
      <c r="D3">
        <v>126</v>
      </c>
      <c r="E3">
        <v>4.1203405239014401</v>
      </c>
      <c r="F3">
        <v>25</v>
      </c>
      <c r="G3">
        <v>39</v>
      </c>
      <c r="H3">
        <v>6.0723545689225174E-2</v>
      </c>
      <c r="I3">
        <v>231.81100493873356</v>
      </c>
      <c r="J3">
        <v>0.51584999999999992</v>
      </c>
      <c r="K3">
        <v>90.135974541798177</v>
      </c>
      <c r="L3">
        <v>185.31436247134698</v>
      </c>
      <c r="M3">
        <v>0.16</v>
      </c>
      <c r="N3">
        <v>0.12573406896410511</v>
      </c>
      <c r="O3">
        <v>0.78583793102565691</v>
      </c>
      <c r="P3">
        <v>8.6159382513197727E-2</v>
      </c>
      <c r="Q3">
        <v>0.53849614070748575</v>
      </c>
      <c r="R3">
        <v>0.12529165250414639</v>
      </c>
      <c r="S3">
        <v>0.78307282815091495</v>
      </c>
      <c r="T3">
        <v>0.26246778690532796</v>
      </c>
      <c r="U3">
        <v>0.15737967840740144</v>
      </c>
      <c r="V3">
        <v>0.98362299004625897</v>
      </c>
      <c r="W3">
        <v>0.18100616392384755</v>
      </c>
      <c r="X3">
        <v>1.1312885245240472</v>
      </c>
      <c r="Y3">
        <v>0.29637407304529567</v>
      </c>
      <c r="Z3">
        <v>1.852337956533098</v>
      </c>
      <c r="AA3">
        <v>0.31268420853835605</v>
      </c>
      <c r="AB3">
        <v>1.9542763033647252</v>
      </c>
      <c r="AC3">
        <v>0.18596904047926571</v>
      </c>
      <c r="AD3">
        <v>1.1623065029954107</v>
      </c>
      <c r="AE3">
        <v>0.12999764117006196</v>
      </c>
      <c r="AF3">
        <v>0.81248525731288723</v>
      </c>
      <c r="AG3">
        <v>0.24152794750458398</v>
      </c>
      <c r="AH3">
        <v>1.5095496719036499</v>
      </c>
      <c r="AI3">
        <v>0.1021297239736778</v>
      </c>
      <c r="AJ3">
        <v>0.63831077483548626</v>
      </c>
      <c r="AK3">
        <v>0.14995619169953214</v>
      </c>
      <c r="AL3">
        <v>0.93722619812207586</v>
      </c>
      <c r="AM3">
        <v>0.11656611397240517</v>
      </c>
      <c r="AN3">
        <v>0.72853821232753224</v>
      </c>
      <c r="AO3">
        <v>0.10968561384239714</v>
      </c>
      <c r="AP3">
        <v>0.68553508651498207</v>
      </c>
      <c r="AQ3">
        <v>8.200656461884287E-2</v>
      </c>
      <c r="AR3">
        <v>0.51254102886776798</v>
      </c>
    </row>
    <row r="4" spans="1:45" x14ac:dyDescent="0.3">
      <c r="B4">
        <v>20</v>
      </c>
      <c r="C4">
        <v>2</v>
      </c>
      <c r="D4">
        <v>126</v>
      </c>
      <c r="E4">
        <v>4.1203405239014401</v>
      </c>
      <c r="F4">
        <v>25</v>
      </c>
      <c r="G4">
        <v>39</v>
      </c>
      <c r="H4">
        <v>6.0723545689225174E-2</v>
      </c>
      <c r="I4">
        <v>304.25194398208777</v>
      </c>
      <c r="J4">
        <v>0.37270999999999999</v>
      </c>
      <c r="K4">
        <v>90.135974541798177</v>
      </c>
      <c r="L4">
        <v>270.65736491061415</v>
      </c>
      <c r="M4">
        <v>0.23</v>
      </c>
      <c r="N4">
        <v>0.17698216291811808</v>
      </c>
      <c r="O4">
        <v>0.76948766486138287</v>
      </c>
      <c r="P4">
        <v>0.14712654185263452</v>
      </c>
      <c r="Q4">
        <v>0.63968061675058485</v>
      </c>
      <c r="R4">
        <v>0.17635942142379471</v>
      </c>
      <c r="S4">
        <v>0.76678009314693352</v>
      </c>
      <c r="T4">
        <v>0.34448897031324288</v>
      </c>
      <c r="U4">
        <v>0.27111108663150013</v>
      </c>
      <c r="V4">
        <v>1.1787438549195657</v>
      </c>
      <c r="W4">
        <v>0.24436254780391009</v>
      </c>
      <c r="X4">
        <v>1.0624458600170004</v>
      </c>
      <c r="Y4">
        <v>0.44704918265926941</v>
      </c>
      <c r="Z4">
        <v>1.9436920985185626</v>
      </c>
      <c r="AA4">
        <v>0.41039802370659229</v>
      </c>
      <c r="AB4">
        <v>1.7843392335069228</v>
      </c>
      <c r="AC4">
        <v>0.25620365464862777</v>
      </c>
      <c r="AD4">
        <v>1.1139289332549034</v>
      </c>
      <c r="AE4">
        <v>0.17474555573506692</v>
      </c>
      <c r="AF4">
        <v>0.7597632858046387</v>
      </c>
      <c r="AG4">
        <v>0.31700543109976642</v>
      </c>
      <c r="AH4">
        <v>1.3782844830424625</v>
      </c>
      <c r="AI4">
        <v>0.19078251655555628</v>
      </c>
      <c r="AJ4">
        <v>0.82948920241546209</v>
      </c>
      <c r="AK4">
        <v>0.20434804118111649</v>
      </c>
      <c r="AL4">
        <v>0.88846974426572378</v>
      </c>
      <c r="AM4">
        <v>0.19728794885442683</v>
      </c>
      <c r="AN4">
        <v>0.85777369067142095</v>
      </c>
      <c r="AO4">
        <v>0.19332626480789084</v>
      </c>
      <c r="AP4">
        <v>0.8405489774256123</v>
      </c>
      <c r="AQ4">
        <v>0.15626605743880981</v>
      </c>
      <c r="AR4">
        <v>0.67941764103830349</v>
      </c>
    </row>
    <row r="5" spans="1:45" x14ac:dyDescent="0.3">
      <c r="B5">
        <v>20</v>
      </c>
      <c r="C5">
        <v>2</v>
      </c>
      <c r="D5">
        <v>126</v>
      </c>
      <c r="E5">
        <v>4.1203405239014401</v>
      </c>
      <c r="F5">
        <v>25</v>
      </c>
      <c r="G5">
        <v>39</v>
      </c>
      <c r="H5">
        <v>6.0723545689225174E-2</v>
      </c>
      <c r="I5">
        <v>314.28222784962912</v>
      </c>
      <c r="J5">
        <v>0.33482000000000001</v>
      </c>
      <c r="K5">
        <v>90.135974541798177</v>
      </c>
      <c r="L5">
        <v>284.10290085354427</v>
      </c>
      <c r="M5">
        <v>0.24</v>
      </c>
      <c r="N5">
        <v>0.1840780528502122</v>
      </c>
      <c r="O5">
        <v>0.76699188687588415</v>
      </c>
      <c r="P5">
        <v>0.15556814853040268</v>
      </c>
      <c r="Q5">
        <v>0.6482006188766779</v>
      </c>
      <c r="R5">
        <v>0.18343034327420754</v>
      </c>
      <c r="S5">
        <v>0.76429309697586478</v>
      </c>
      <c r="T5">
        <v>0.35584574955433879</v>
      </c>
      <c r="U5">
        <v>0.28928119327085311</v>
      </c>
      <c r="V5">
        <v>1.2053383052952213</v>
      </c>
      <c r="W5">
        <v>0.25313497018730335</v>
      </c>
      <c r="X5">
        <v>1.0547290424470974</v>
      </c>
      <c r="Y5">
        <v>0.46699968256137087</v>
      </c>
      <c r="Z5">
        <v>1.9458320106723788</v>
      </c>
      <c r="AA5">
        <v>0.42392762888373264</v>
      </c>
      <c r="AB5">
        <v>1.7663651203488862</v>
      </c>
      <c r="AC5">
        <v>0.26592844737977017</v>
      </c>
      <c r="AD5">
        <v>1.108035197415709</v>
      </c>
      <c r="AE5">
        <v>0.18094142082868298</v>
      </c>
      <c r="AF5">
        <v>0.75392258678617907</v>
      </c>
      <c r="AG5">
        <v>0.32745615959756097</v>
      </c>
      <c r="AH5">
        <v>1.3644006649898375</v>
      </c>
      <c r="AI5">
        <v>0.2030575186053549</v>
      </c>
      <c r="AJ5">
        <v>0.84607299418897874</v>
      </c>
      <c r="AK5">
        <v>0.21205204503175556</v>
      </c>
      <c r="AL5">
        <v>0.88355018763231485</v>
      </c>
      <c r="AM5">
        <v>0.20804096180697593</v>
      </c>
      <c r="AN5">
        <v>0.86683734086239972</v>
      </c>
      <c r="AO5">
        <v>0.20530090968479095</v>
      </c>
      <c r="AP5">
        <v>0.85542045701996228</v>
      </c>
      <c r="AQ5">
        <v>0.16709573189251248</v>
      </c>
      <c r="AR5">
        <v>0.69623221621880205</v>
      </c>
    </row>
    <row r="6" spans="1:45" x14ac:dyDescent="0.3">
      <c r="B6">
        <v>20</v>
      </c>
      <c r="C6">
        <v>2</v>
      </c>
      <c r="D6">
        <v>126</v>
      </c>
      <c r="E6">
        <v>4.1203405239014401</v>
      </c>
      <c r="F6">
        <v>25</v>
      </c>
      <c r="G6">
        <v>39</v>
      </c>
      <c r="H6">
        <v>6.0723545689225174E-2</v>
      </c>
      <c r="I6">
        <v>363.31917120205361</v>
      </c>
      <c r="J6">
        <v>0.17694500000000002</v>
      </c>
      <c r="K6">
        <v>90.135974541798177</v>
      </c>
      <c r="L6">
        <v>347.37006118675515</v>
      </c>
      <c r="M6">
        <v>0.27</v>
      </c>
      <c r="N6">
        <v>0.21876907029600567</v>
      </c>
      <c r="O6">
        <v>0.81025581591113205</v>
      </c>
      <c r="P6">
        <v>0.19683822562171382</v>
      </c>
      <c r="Q6">
        <v>0.72903046526560666</v>
      </c>
      <c r="R6">
        <v>0.2179992945428926</v>
      </c>
      <c r="S6">
        <v>0.80740479460330583</v>
      </c>
      <c r="T6">
        <v>0.41136778139969671</v>
      </c>
      <c r="U6">
        <v>0.38659584648726419</v>
      </c>
      <c r="V6">
        <v>1.4318364684713487</v>
      </c>
      <c r="W6">
        <v>0.29602236850611502</v>
      </c>
      <c r="X6">
        <v>1.0963791426152407</v>
      </c>
      <c r="Y6">
        <v>0.56249750889728678</v>
      </c>
      <c r="Z6">
        <v>2.0833241070269879</v>
      </c>
      <c r="AA6">
        <v>0.49007236530530812</v>
      </c>
      <c r="AB6">
        <v>1.8150828344641041</v>
      </c>
      <c r="AC6">
        <v>0.31347187850980002</v>
      </c>
      <c r="AD6">
        <v>1.1610069574437036</v>
      </c>
      <c r="AE6">
        <v>0.21123231684191718</v>
      </c>
      <c r="AF6">
        <v>0.78234191422932287</v>
      </c>
      <c r="AG6">
        <v>0.37854861003122303</v>
      </c>
      <c r="AH6">
        <v>1.4020318890045296</v>
      </c>
      <c r="AI6">
        <v>0.2630686397377035</v>
      </c>
      <c r="AJ6">
        <v>0.97432829532482768</v>
      </c>
      <c r="AK6">
        <v>0.25013945817228023</v>
      </c>
      <c r="AL6">
        <v>0.92644243767511192</v>
      </c>
      <c r="AM6">
        <v>0.25936756931101895</v>
      </c>
      <c r="AN6">
        <v>0.9606206270778479</v>
      </c>
      <c r="AO6">
        <v>0.26522191984242272</v>
      </c>
      <c r="AP6">
        <v>0.98230340682378781</v>
      </c>
      <c r="AQ6">
        <v>0.22195819712162856</v>
      </c>
      <c r="AR6">
        <v>0.82206739674677243</v>
      </c>
    </row>
    <row r="7" spans="1:45" x14ac:dyDescent="0.3">
      <c r="B7">
        <v>20</v>
      </c>
      <c r="C7">
        <v>2</v>
      </c>
      <c r="D7">
        <v>126</v>
      </c>
      <c r="E7">
        <v>4.1203405239014401</v>
      </c>
      <c r="F7">
        <v>25</v>
      </c>
      <c r="G7">
        <v>39</v>
      </c>
      <c r="H7">
        <v>6.0723545689225174E-2</v>
      </c>
      <c r="I7">
        <v>459.16410593633765</v>
      </c>
      <c r="J7">
        <v>5.2749999999999964E-2</v>
      </c>
      <c r="K7">
        <v>90.135974541798177</v>
      </c>
      <c r="L7">
        <v>454.40943327925783</v>
      </c>
      <c r="M7">
        <v>0.35</v>
      </c>
      <c r="N7">
        <v>0.28657424075823829</v>
      </c>
      <c r="O7">
        <v>0.81878354502353801</v>
      </c>
      <c r="P7">
        <v>0.27750246720927635</v>
      </c>
      <c r="Q7">
        <v>0.79286419202650393</v>
      </c>
      <c r="R7">
        <v>0.28556588111350423</v>
      </c>
      <c r="S7">
        <v>0.81590251746715503</v>
      </c>
      <c r="T7">
        <v>0.51988811637016885</v>
      </c>
      <c r="U7">
        <v>0.61747078706513392</v>
      </c>
      <c r="V7">
        <v>1.4853946182004825</v>
      </c>
      <c r="W7">
        <v>0.37984773794742854</v>
      </c>
      <c r="X7">
        <v>1.0852792512783673</v>
      </c>
      <c r="Y7">
        <v>0.74267835540591742</v>
      </c>
      <c r="Z7">
        <v>2.1219381583026213</v>
      </c>
      <c r="AA7">
        <v>0.61935525922020529</v>
      </c>
      <c r="AB7">
        <v>1.7695864549148723</v>
      </c>
      <c r="AC7">
        <v>0.4063976757184945</v>
      </c>
      <c r="AD7">
        <v>1.1611362163385557</v>
      </c>
      <c r="AE7">
        <v>0.27043724995869295</v>
      </c>
      <c r="AF7">
        <v>0.77267785702483704</v>
      </c>
      <c r="AG7">
        <v>0.47841112678792597</v>
      </c>
      <c r="AH7">
        <v>1.3668889336797885</v>
      </c>
      <c r="AI7">
        <v>0.38036310376911198</v>
      </c>
      <c r="AJ7">
        <v>1.0867517250546057</v>
      </c>
      <c r="AK7">
        <v>0.31187044328779839</v>
      </c>
      <c r="AL7">
        <v>0.89105840939370973</v>
      </c>
      <c r="AM7">
        <v>0.35480967272614022</v>
      </c>
      <c r="AN7">
        <v>1.0137419220746864</v>
      </c>
      <c r="AO7">
        <v>0.38894806873238669</v>
      </c>
      <c r="AP7">
        <v>1.1112801963782477</v>
      </c>
      <c r="AQ7">
        <v>0.33838166971153738</v>
      </c>
      <c r="AR7">
        <v>0.96680477060439263</v>
      </c>
    </row>
    <row r="8" spans="1:45" x14ac:dyDescent="0.3">
      <c r="B8">
        <v>20</v>
      </c>
      <c r="C8">
        <v>2</v>
      </c>
      <c r="D8">
        <v>126</v>
      </c>
      <c r="E8">
        <v>4.1203405239014401</v>
      </c>
      <c r="F8">
        <v>25</v>
      </c>
      <c r="G8">
        <v>39</v>
      </c>
      <c r="H8">
        <v>6.0723545689225174E-2</v>
      </c>
      <c r="I8">
        <v>500</v>
      </c>
      <c r="J8">
        <v>0</v>
      </c>
      <c r="K8">
        <v>90.135974541798177</v>
      </c>
      <c r="L8">
        <v>500</v>
      </c>
      <c r="M8">
        <v>0.4</v>
      </c>
      <c r="N8">
        <v>0.31546345400295095</v>
      </c>
      <c r="O8">
        <v>0.78865863500737732</v>
      </c>
      <c r="P8">
        <v>0.31187044328779839</v>
      </c>
      <c r="Q8">
        <v>0.77967610821949596</v>
      </c>
      <c r="R8">
        <v>0.31435344280458455</v>
      </c>
      <c r="S8">
        <v>0.78588360701146132</v>
      </c>
      <c r="T8">
        <v>0.53225468628992978</v>
      </c>
      <c r="U8">
        <v>0.64719569928692966</v>
      </c>
      <c r="V8">
        <v>1.3306367157248244</v>
      </c>
      <c r="W8">
        <v>0.41556255079427151</v>
      </c>
      <c r="X8">
        <v>1.0389063769856788</v>
      </c>
      <c r="Y8">
        <v>0.81781094146393984</v>
      </c>
      <c r="Z8">
        <v>2.0445273536598494</v>
      </c>
      <c r="AA8">
        <v>0.67443780035593404</v>
      </c>
      <c r="AB8">
        <v>1.6860945008898349</v>
      </c>
      <c r="AC8">
        <v>0.44598983592097036</v>
      </c>
      <c r="AD8">
        <v>1.1149745898024259</v>
      </c>
      <c r="AE8">
        <v>0.29566222802879705</v>
      </c>
      <c r="AF8">
        <v>0.73915557007199262</v>
      </c>
      <c r="AG8">
        <v>0.52095876028064014</v>
      </c>
      <c r="AH8">
        <v>1.3023969007016003</v>
      </c>
      <c r="AI8">
        <v>0.4208059706607985</v>
      </c>
      <c r="AJ8">
        <v>1.0520149266519963</v>
      </c>
      <c r="AK8">
        <v>0.31187044328779839</v>
      </c>
      <c r="AL8">
        <v>0.77967610821949596</v>
      </c>
      <c r="AM8">
        <v>0.39394405780852904</v>
      </c>
      <c r="AN8">
        <v>0.98486014452132253</v>
      </c>
      <c r="AO8">
        <v>0.44431906678200289</v>
      </c>
      <c r="AP8">
        <v>1.1107976669550073</v>
      </c>
      <c r="AQ8">
        <v>0.39713262699758134</v>
      </c>
      <c r="AR8">
        <v>0.99283156749395329</v>
      </c>
    </row>
    <row r="9" spans="1:45" x14ac:dyDescent="0.3">
      <c r="A9" t="s">
        <v>6</v>
      </c>
      <c r="B9">
        <v>10</v>
      </c>
      <c r="C9">
        <v>8</v>
      </c>
      <c r="D9">
        <v>87.7</v>
      </c>
      <c r="E9">
        <v>4.1311267633290143</v>
      </c>
      <c r="F9">
        <v>25</v>
      </c>
      <c r="G9">
        <v>53</v>
      </c>
      <c r="H9">
        <v>1.5388385199705954E-2</v>
      </c>
      <c r="I9">
        <v>322.91971563781163</v>
      </c>
      <c r="J9">
        <v>0.31798000000000004</v>
      </c>
      <c r="K9">
        <v>290.76849438161628</v>
      </c>
      <c r="L9">
        <v>230.46114979434526</v>
      </c>
      <c r="M9">
        <v>0.16</v>
      </c>
      <c r="N9">
        <v>0.17110696370812956</v>
      </c>
      <c r="O9">
        <v>1.0694185231758098</v>
      </c>
      <c r="P9">
        <v>0.13580672680659342</v>
      </c>
      <c r="Q9">
        <v>0.84879204254120888</v>
      </c>
      <c r="R9">
        <v>0.18936618884976517</v>
      </c>
      <c r="S9">
        <v>1.1835386803110322</v>
      </c>
      <c r="T9">
        <v>0.2432137981836999</v>
      </c>
      <c r="U9">
        <v>0.1448495333689632</v>
      </c>
      <c r="V9">
        <v>0.90530958355601998</v>
      </c>
      <c r="W9">
        <v>0.18168753501004353</v>
      </c>
      <c r="X9">
        <v>1.1355470938127721</v>
      </c>
      <c r="Y9">
        <v>0.25673146221285098</v>
      </c>
      <c r="Z9">
        <v>1.6045716388303186</v>
      </c>
      <c r="AA9">
        <v>0.26529737942563375</v>
      </c>
      <c r="AB9">
        <v>1.658108621410211</v>
      </c>
      <c r="AC9">
        <v>0.10483022583657002</v>
      </c>
      <c r="AD9">
        <v>0.65518891147856262</v>
      </c>
      <c r="AE9">
        <v>0.25496881340038491</v>
      </c>
      <c r="AF9">
        <v>1.5935550837524057</v>
      </c>
      <c r="AG9">
        <v>0.18984252639749352</v>
      </c>
      <c r="AH9">
        <v>1.1865157899843344</v>
      </c>
      <c r="AI9">
        <v>0.22051936594500704</v>
      </c>
      <c r="AJ9">
        <v>1.3782460371562939</v>
      </c>
      <c r="AK9">
        <v>0.23225536052908352</v>
      </c>
      <c r="AL9">
        <v>1.4515960033067721</v>
      </c>
      <c r="AM9">
        <v>0.22651284178026676</v>
      </c>
      <c r="AN9">
        <v>1.4157052611266672</v>
      </c>
      <c r="AO9">
        <v>0.14812089110324592</v>
      </c>
      <c r="AP9">
        <v>0.92575556939528691</v>
      </c>
      <c r="AQ9">
        <v>0.13059252887604333</v>
      </c>
      <c r="AR9">
        <v>0.81620330547527087</v>
      </c>
    </row>
    <row r="10" spans="1:45" x14ac:dyDescent="0.3">
      <c r="B10">
        <v>10</v>
      </c>
      <c r="C10">
        <v>8</v>
      </c>
      <c r="D10">
        <v>87.7</v>
      </c>
      <c r="E10">
        <v>4.1311267633290143</v>
      </c>
      <c r="F10">
        <v>25</v>
      </c>
      <c r="G10">
        <v>53</v>
      </c>
      <c r="H10">
        <v>1.5388385199705954E-2</v>
      </c>
      <c r="I10">
        <v>367.82093324078352</v>
      </c>
      <c r="J10">
        <v>0.214835</v>
      </c>
      <c r="K10">
        <v>290.76849438161628</v>
      </c>
      <c r="L10">
        <v>305.35368375030896</v>
      </c>
      <c r="M10">
        <v>0.18</v>
      </c>
      <c r="N10">
        <v>0.22285815917347976</v>
      </c>
      <c r="O10">
        <v>1.2381008842971097</v>
      </c>
      <c r="P10">
        <v>0.17995415539612394</v>
      </c>
      <c r="Q10">
        <v>0.99974530775624415</v>
      </c>
      <c r="R10">
        <v>0.21569710653744678</v>
      </c>
      <c r="S10">
        <v>1.1983172585413711</v>
      </c>
      <c r="T10">
        <v>0.2770320977406715</v>
      </c>
      <c r="U10">
        <v>0.18793205453378584</v>
      </c>
      <c r="V10">
        <v>1.0440669696321436</v>
      </c>
      <c r="W10">
        <v>0.21973648361278203</v>
      </c>
      <c r="X10">
        <v>1.2207582422932335</v>
      </c>
      <c r="Y10">
        <v>0.30109270048343972</v>
      </c>
      <c r="Z10">
        <v>1.6727372249079986</v>
      </c>
      <c r="AA10">
        <v>0.30218634837434094</v>
      </c>
      <c r="AB10">
        <v>1.6788130465241164</v>
      </c>
      <c r="AC10">
        <v>0.12146747139241644</v>
      </c>
      <c r="AD10">
        <v>0.67481928551342474</v>
      </c>
      <c r="AE10">
        <v>0.29679813828389767</v>
      </c>
      <c r="AF10">
        <v>1.6488785460216537</v>
      </c>
      <c r="AG10">
        <v>0.21623967768704974</v>
      </c>
      <c r="AH10">
        <v>1.201331542705832</v>
      </c>
      <c r="AI10">
        <v>0.29328843636092294</v>
      </c>
      <c r="AJ10">
        <v>1.6293802020051276</v>
      </c>
      <c r="AK10">
        <v>0.27150857791095945</v>
      </c>
      <c r="AL10">
        <v>1.5083809883942192</v>
      </c>
      <c r="AM10">
        <v>0.28561830519105863</v>
      </c>
      <c r="AN10">
        <v>1.5867683621725479</v>
      </c>
      <c r="AO10">
        <v>0.19719617246717833</v>
      </c>
      <c r="AP10">
        <v>1.095534291484324</v>
      </c>
      <c r="AQ10">
        <v>0.17972922725251081</v>
      </c>
      <c r="AR10">
        <v>0.9984957069583934</v>
      </c>
    </row>
    <row r="11" spans="1:45" x14ac:dyDescent="0.3">
      <c r="B11">
        <v>10</v>
      </c>
      <c r="C11">
        <v>8</v>
      </c>
      <c r="D11">
        <v>87.7</v>
      </c>
      <c r="E11">
        <v>4.1311267633290143</v>
      </c>
      <c r="F11">
        <v>25</v>
      </c>
      <c r="G11">
        <v>53</v>
      </c>
      <c r="H11">
        <v>1.5388385199705954E-2</v>
      </c>
      <c r="I11">
        <v>500</v>
      </c>
      <c r="J11">
        <v>8.5450000000000248E-3</v>
      </c>
      <c r="K11">
        <v>290.76849438161628</v>
      </c>
      <c r="L11">
        <v>497.51538321550908</v>
      </c>
      <c r="M11">
        <v>0.26</v>
      </c>
      <c r="N11">
        <v>0.37520201721244406</v>
      </c>
      <c r="O11">
        <v>1.4430846815863232</v>
      </c>
      <c r="P11">
        <v>0.30991423715562322</v>
      </c>
      <c r="Q11">
        <v>1.1919778352139354</v>
      </c>
      <c r="R11">
        <v>0.318170216250936</v>
      </c>
      <c r="S11">
        <v>1.2237316009651384</v>
      </c>
      <c r="T11">
        <v>0.36304860082717388</v>
      </c>
      <c r="U11">
        <v>0.32275294604101767</v>
      </c>
      <c r="V11">
        <v>1.2413574847731448</v>
      </c>
      <c r="W11">
        <v>0.33174401449868146</v>
      </c>
      <c r="X11">
        <v>1.275938517302621</v>
      </c>
      <c r="Y11">
        <v>0.42745968973439941</v>
      </c>
      <c r="Z11">
        <v>1.64407572974769</v>
      </c>
      <c r="AA11">
        <v>0.41077916054402924</v>
      </c>
      <c r="AB11">
        <v>1.5799198482462662</v>
      </c>
      <c r="AC11">
        <v>0.17044377333729177</v>
      </c>
      <c r="AD11">
        <v>0.65555297437419913</v>
      </c>
      <c r="AE11">
        <v>0.43772597472228192</v>
      </c>
      <c r="AF11">
        <v>1.6835614412395459</v>
      </c>
      <c r="AG11">
        <v>0.30517473532265971</v>
      </c>
      <c r="AH11">
        <v>1.1737489820102296</v>
      </c>
      <c r="AI11">
        <v>0.49160614061620145</v>
      </c>
      <c r="AJ11">
        <v>1.8907928485238517</v>
      </c>
      <c r="AK11">
        <v>0.30991423715562322</v>
      </c>
      <c r="AL11">
        <v>1.1919778352139354</v>
      </c>
      <c r="AM11">
        <v>0.44679834263301221</v>
      </c>
      <c r="AN11">
        <v>1.7184551639731238</v>
      </c>
      <c r="AO11">
        <v>0.3442967541426955</v>
      </c>
      <c r="AP11">
        <v>1.3242182851642135</v>
      </c>
      <c r="AQ11">
        <v>0.33247502309040622</v>
      </c>
      <c r="AR11">
        <v>1.2787500888092547</v>
      </c>
    </row>
    <row r="12" spans="1:45" x14ac:dyDescent="0.3">
      <c r="A12" t="s">
        <v>7</v>
      </c>
      <c r="B12">
        <v>10</v>
      </c>
      <c r="C12">
        <v>4</v>
      </c>
      <c r="D12">
        <v>32.466666666666669</v>
      </c>
      <c r="E12">
        <v>3.262</v>
      </c>
      <c r="F12">
        <v>25</v>
      </c>
      <c r="G12">
        <v>36</v>
      </c>
      <c r="H12">
        <v>1.7444444444444443E-2</v>
      </c>
      <c r="I12">
        <v>285.04803218471648</v>
      </c>
      <c r="J12">
        <v>0.53732099999999994</v>
      </c>
      <c r="K12">
        <v>207.32063354060747</v>
      </c>
      <c r="L12">
        <v>173.65030205004373</v>
      </c>
      <c r="M12">
        <v>0.16</v>
      </c>
      <c r="N12">
        <v>0.16007091811290758</v>
      </c>
      <c r="O12">
        <v>1.0004432382056723</v>
      </c>
      <c r="P12">
        <v>0.13868029025440845</v>
      </c>
      <c r="Q12">
        <v>0.86675181409005275</v>
      </c>
      <c r="R12">
        <v>0.1485932826557089</v>
      </c>
      <c r="S12">
        <v>0.92870801659818059</v>
      </c>
      <c r="T12">
        <v>0.18440399789461248</v>
      </c>
      <c r="U12">
        <v>0.13403771715746998</v>
      </c>
      <c r="V12">
        <v>0.8377357322341874</v>
      </c>
      <c r="W12">
        <v>0.1060172840918551</v>
      </c>
      <c r="X12">
        <v>0.66260802557409437</v>
      </c>
      <c r="Y12">
        <v>0.22216282542619536</v>
      </c>
      <c r="Z12">
        <v>1.3885176589137209</v>
      </c>
      <c r="AA12">
        <v>0.16892962653245996</v>
      </c>
      <c r="AB12">
        <v>1.0558101658278747</v>
      </c>
      <c r="AC12">
        <v>0.11084938491756892</v>
      </c>
      <c r="AD12">
        <v>0.69280865573480577</v>
      </c>
      <c r="AE12">
        <v>0.21176098535955973</v>
      </c>
      <c r="AF12">
        <v>1.3235061584972483</v>
      </c>
      <c r="AG12">
        <v>0.1708750527360991</v>
      </c>
      <c r="AH12">
        <v>1.0679690796006194</v>
      </c>
      <c r="AI12">
        <v>0.16724728494892779</v>
      </c>
      <c r="AJ12">
        <v>1.0452955309307987</v>
      </c>
      <c r="AK12">
        <v>0.19070249605879547</v>
      </c>
      <c r="AL12">
        <v>1.1918906003674716</v>
      </c>
      <c r="AM12">
        <v>0.17787186850636436</v>
      </c>
      <c r="AN12">
        <v>1.1116991781647771</v>
      </c>
      <c r="AO12">
        <v>0.15522032860195287</v>
      </c>
      <c r="AP12">
        <v>0.97012705376220543</v>
      </c>
      <c r="AQ12">
        <v>0.14312778760291095</v>
      </c>
      <c r="AR12">
        <v>0.89454867251819337</v>
      </c>
    </row>
    <row r="13" spans="1:45" x14ac:dyDescent="0.3">
      <c r="B13">
        <v>10</v>
      </c>
      <c r="C13">
        <v>4</v>
      </c>
      <c r="D13">
        <v>32.466666666666669</v>
      </c>
      <c r="E13">
        <v>3.262</v>
      </c>
      <c r="F13">
        <v>25</v>
      </c>
      <c r="G13">
        <v>36</v>
      </c>
      <c r="H13">
        <v>1.7444444444444443E-2</v>
      </c>
      <c r="I13">
        <v>324.99964614446418</v>
      </c>
      <c r="J13">
        <v>0.41607300000000003</v>
      </c>
      <c r="K13">
        <v>207.32063354060747</v>
      </c>
      <c r="L13">
        <v>238.73912818532301</v>
      </c>
      <c r="M13">
        <v>0.2</v>
      </c>
      <c r="N13">
        <v>0.19987712128481272</v>
      </c>
      <c r="O13">
        <v>0.9993856064240636</v>
      </c>
      <c r="P13">
        <v>0.17212891101716857</v>
      </c>
      <c r="Q13">
        <v>0.86064455508584281</v>
      </c>
      <c r="R13">
        <v>0.17429163285246455</v>
      </c>
      <c r="S13">
        <v>0.8714581642623227</v>
      </c>
      <c r="T13">
        <v>0.21024959759952672</v>
      </c>
      <c r="U13">
        <v>0.17424354747035525</v>
      </c>
      <c r="V13">
        <v>0.87121773735177621</v>
      </c>
      <c r="W13">
        <v>0.1358817516989633</v>
      </c>
      <c r="X13">
        <v>0.67940875849481641</v>
      </c>
      <c r="Y13">
        <v>0.2698880415363058</v>
      </c>
      <c r="Z13">
        <v>1.3494402076815288</v>
      </c>
      <c r="AA13">
        <v>0.1926063773377969</v>
      </c>
      <c r="AB13">
        <v>0.96303188668898443</v>
      </c>
      <c r="AC13">
        <v>0.1290705233242212</v>
      </c>
      <c r="AD13">
        <v>0.64535261662110599</v>
      </c>
      <c r="AE13">
        <v>0.2466862096623729</v>
      </c>
      <c r="AF13">
        <v>1.2334310483118645</v>
      </c>
      <c r="AG13">
        <v>0.19482446957627678</v>
      </c>
      <c r="AH13">
        <v>0.97412234788138385</v>
      </c>
      <c r="AI13">
        <v>0.21404081084914578</v>
      </c>
      <c r="AJ13">
        <v>1.0702040542457287</v>
      </c>
      <c r="AK13">
        <v>0.22149205658998145</v>
      </c>
      <c r="AL13">
        <v>1.1074602829499072</v>
      </c>
      <c r="AM13">
        <v>0.21990122075795782</v>
      </c>
      <c r="AN13">
        <v>1.0995061037897891</v>
      </c>
      <c r="AO13">
        <v>0.19386067036905394</v>
      </c>
      <c r="AP13">
        <v>0.96930335184526961</v>
      </c>
      <c r="AQ13">
        <v>0.18158135223222185</v>
      </c>
      <c r="AR13">
        <v>0.90790676116110924</v>
      </c>
    </row>
    <row r="14" spans="1:45" x14ac:dyDescent="0.3">
      <c r="B14">
        <v>10</v>
      </c>
      <c r="C14">
        <v>4</v>
      </c>
      <c r="D14">
        <v>32.466666666666669</v>
      </c>
      <c r="E14">
        <v>3.262</v>
      </c>
      <c r="F14">
        <v>25</v>
      </c>
      <c r="G14">
        <v>36</v>
      </c>
      <c r="H14">
        <v>1.7444444444444443E-2</v>
      </c>
      <c r="I14">
        <v>367.6446273374533</v>
      </c>
      <c r="J14">
        <v>0.29903500000000005</v>
      </c>
      <c r="K14">
        <v>207.32063354060747</v>
      </c>
      <c r="L14">
        <v>305.64850168663776</v>
      </c>
      <c r="M14">
        <v>0.2</v>
      </c>
      <c r="N14">
        <v>0.24236688871549797</v>
      </c>
      <c r="O14">
        <v>1.2118344435774897</v>
      </c>
      <c r="P14">
        <v>0.2078324949774181</v>
      </c>
      <c r="Q14">
        <v>1.0391624748870905</v>
      </c>
      <c r="R14">
        <v>0.21134245136241825</v>
      </c>
      <c r="S14">
        <v>1.0567122568120912</v>
      </c>
      <c r="T14">
        <v>0.23783759728454748</v>
      </c>
      <c r="U14">
        <v>0.22297048347265605</v>
      </c>
      <c r="V14">
        <v>1.1148524173632801</v>
      </c>
      <c r="W14">
        <v>0.16775955420093275</v>
      </c>
      <c r="X14">
        <v>0.83879777100466368</v>
      </c>
      <c r="Y14">
        <v>0.31897202344812936</v>
      </c>
      <c r="Z14">
        <v>1.5948601172406467</v>
      </c>
      <c r="AA14">
        <v>0.21787931359068463</v>
      </c>
      <c r="AB14">
        <v>1.089396567953423</v>
      </c>
      <c r="AC14">
        <v>0.14852005308413091</v>
      </c>
      <c r="AD14">
        <v>0.74260026542065449</v>
      </c>
      <c r="AE14">
        <v>0.28396594346874648</v>
      </c>
      <c r="AF14">
        <v>1.4198297173437324</v>
      </c>
      <c r="AG14">
        <v>0.2203884538438822</v>
      </c>
      <c r="AH14">
        <v>1.101942269219411</v>
      </c>
      <c r="AI14">
        <v>0.26398895647297405</v>
      </c>
      <c r="AJ14">
        <v>1.3199447823648702</v>
      </c>
      <c r="AK14">
        <v>0.25482024961527538</v>
      </c>
      <c r="AL14">
        <v>1.2741012480763769</v>
      </c>
      <c r="AM14">
        <v>0.26343171086443679</v>
      </c>
      <c r="AN14">
        <v>1.3171585543221838</v>
      </c>
      <c r="AO14">
        <v>0.23562160101515889</v>
      </c>
      <c r="AP14">
        <v>1.1781080050757944</v>
      </c>
      <c r="AQ14">
        <v>0.22381591731393805</v>
      </c>
      <c r="AR14">
        <v>1.1190795865696901</v>
      </c>
    </row>
    <row r="15" spans="1:45" x14ac:dyDescent="0.3">
      <c r="B15">
        <v>10</v>
      </c>
      <c r="C15">
        <v>4</v>
      </c>
      <c r="D15">
        <v>32.466666666666669</v>
      </c>
      <c r="E15">
        <v>3.262</v>
      </c>
      <c r="F15">
        <v>25</v>
      </c>
      <c r="G15">
        <v>36</v>
      </c>
      <c r="H15">
        <v>1.7444444444444443E-2</v>
      </c>
      <c r="I15">
        <v>410.73850306931587</v>
      </c>
      <c r="J15">
        <v>0.21315099999999998</v>
      </c>
      <c r="K15">
        <v>207.32063354060747</v>
      </c>
      <c r="L15">
        <v>366.54790270950184</v>
      </c>
      <c r="M15">
        <v>0.24</v>
      </c>
      <c r="N15">
        <v>0.28530391685597978</v>
      </c>
      <c r="O15">
        <v>1.188766320233249</v>
      </c>
      <c r="P15">
        <v>0.24391190613724908</v>
      </c>
      <c r="Q15">
        <v>1.0162996089052045</v>
      </c>
      <c r="R15">
        <v>0.24878327848826612</v>
      </c>
      <c r="S15">
        <v>1.0365969937011088</v>
      </c>
      <c r="T15">
        <v>0.26571599696625259</v>
      </c>
      <c r="U15">
        <v>0.27830548142392658</v>
      </c>
      <c r="V15">
        <v>1.1071499873593857</v>
      </c>
      <c r="W15">
        <v>0.1999729125187123</v>
      </c>
      <c r="X15">
        <v>0.83322046882796796</v>
      </c>
      <c r="Y15">
        <v>0.36721961962806549</v>
      </c>
      <c r="Z15">
        <v>1.5300817484502729</v>
      </c>
      <c r="AA15">
        <v>0.24341828075149743</v>
      </c>
      <c r="AB15">
        <v>1.0142428364645726</v>
      </c>
      <c r="AC15">
        <v>0.16817431473625016</v>
      </c>
      <c r="AD15">
        <v>0.70072631140104236</v>
      </c>
      <c r="AE15">
        <v>0.32163809552571332</v>
      </c>
      <c r="AF15">
        <v>1.3401587313571388</v>
      </c>
      <c r="AG15">
        <v>0.24622153268272548</v>
      </c>
      <c r="AH15">
        <v>1.0259230528446894</v>
      </c>
      <c r="AI15">
        <v>0.31446287205073714</v>
      </c>
      <c r="AJ15">
        <v>1.3102619668780715</v>
      </c>
      <c r="AK15">
        <v>0.28886191848308512</v>
      </c>
      <c r="AL15">
        <v>1.2035913270128547</v>
      </c>
      <c r="AM15">
        <v>0.30622884838300751</v>
      </c>
      <c r="AN15">
        <v>1.2759535349291979</v>
      </c>
      <c r="AO15">
        <v>0.27836299256323405</v>
      </c>
      <c r="AP15">
        <v>1.1598458023468086</v>
      </c>
      <c r="AQ15">
        <v>0.26774188935436255</v>
      </c>
      <c r="AR15">
        <v>1.1155912056431774</v>
      </c>
    </row>
    <row r="16" spans="1:45" x14ac:dyDescent="0.3">
      <c r="B16">
        <v>10</v>
      </c>
      <c r="C16">
        <v>4</v>
      </c>
      <c r="D16">
        <v>32.466666666666669</v>
      </c>
      <c r="E16">
        <v>3.262</v>
      </c>
      <c r="F16">
        <v>25</v>
      </c>
      <c r="G16">
        <v>36</v>
      </c>
      <c r="H16">
        <v>1.7444444444444443E-2</v>
      </c>
      <c r="I16">
        <v>438.56996447947728</v>
      </c>
      <c r="J16">
        <v>0.18873299999999993</v>
      </c>
      <c r="K16">
        <v>207.32063354060747</v>
      </c>
      <c r="L16">
        <v>399.4417193494578</v>
      </c>
      <c r="M16">
        <v>0.3</v>
      </c>
      <c r="N16">
        <v>0.31303408086337448</v>
      </c>
      <c r="O16">
        <v>1.0434469362112484</v>
      </c>
      <c r="P16">
        <v>0.26721319251130676</v>
      </c>
      <c r="Q16">
        <v>0.89071064170435588</v>
      </c>
      <c r="R16">
        <v>0.27296381267370967</v>
      </c>
      <c r="S16">
        <v>0.90987937557903231</v>
      </c>
      <c r="T16">
        <v>0.28372079676068723</v>
      </c>
      <c r="U16">
        <v>0.31729899713708887</v>
      </c>
      <c r="V16">
        <v>0.94573598920229085</v>
      </c>
      <c r="W16">
        <v>0.22077737309894505</v>
      </c>
      <c r="X16">
        <v>0.7359245769964835</v>
      </c>
      <c r="Y16">
        <v>0.39784384604502626</v>
      </c>
      <c r="Z16">
        <v>1.3261461534834209</v>
      </c>
      <c r="AA16">
        <v>0.25991219704285579</v>
      </c>
      <c r="AB16">
        <v>0.86637399014285266</v>
      </c>
      <c r="AC16">
        <v>0.18086769205324393</v>
      </c>
      <c r="AD16">
        <v>0.60289230684414652</v>
      </c>
      <c r="AE16">
        <v>0.34596802706250462</v>
      </c>
      <c r="AF16">
        <v>1.1532267568750154</v>
      </c>
      <c r="AG16">
        <v>0.26290539609947855</v>
      </c>
      <c r="AH16">
        <v>0.87635132033159524</v>
      </c>
      <c r="AI16">
        <v>0.34706060919470938</v>
      </c>
      <c r="AJ16">
        <v>1.1568686973156981</v>
      </c>
      <c r="AK16">
        <v>0.31099971222280026</v>
      </c>
      <c r="AL16">
        <v>1.0366657074093342</v>
      </c>
      <c r="AM16">
        <v>0.33331793602861409</v>
      </c>
      <c r="AN16">
        <v>1.1110597867620471</v>
      </c>
      <c r="AO16">
        <v>0.30625576865263643</v>
      </c>
      <c r="AP16">
        <v>1.0208525621754547</v>
      </c>
      <c r="AQ16">
        <v>0.29677686606404519</v>
      </c>
      <c r="AR16">
        <v>0.98925622021348403</v>
      </c>
    </row>
    <row r="17" spans="1:44" x14ac:dyDescent="0.3">
      <c r="B17">
        <v>10</v>
      </c>
      <c r="C17">
        <v>4</v>
      </c>
      <c r="D17">
        <v>32.466666666666669</v>
      </c>
      <c r="E17">
        <v>3.262</v>
      </c>
      <c r="F17">
        <v>25</v>
      </c>
      <c r="G17">
        <v>36</v>
      </c>
      <c r="H17">
        <v>1.7444444444444443E-2</v>
      </c>
      <c r="I17">
        <v>498.27293814966185</v>
      </c>
      <c r="J17">
        <v>1.0813954237730572E-3</v>
      </c>
      <c r="K17">
        <v>207.32063354060747</v>
      </c>
      <c r="L17">
        <v>498.04874256529729</v>
      </c>
      <c r="M17">
        <v>0.32</v>
      </c>
      <c r="N17">
        <v>0.37251975526633363</v>
      </c>
      <c r="O17">
        <v>1.1641242352072925</v>
      </c>
      <c r="P17">
        <v>0.31719821005565602</v>
      </c>
      <c r="Q17">
        <v>0.99124440642392508</v>
      </c>
      <c r="R17">
        <v>0.32483495858764466</v>
      </c>
      <c r="S17">
        <v>1.0151092455863895</v>
      </c>
      <c r="T17">
        <v>0.32234399631971627</v>
      </c>
      <c r="U17">
        <v>0.4095675399831824</v>
      </c>
      <c r="V17">
        <v>1.0073249884991133</v>
      </c>
      <c r="W17">
        <v>0.26540629660170212</v>
      </c>
      <c r="X17">
        <v>0.82939467688031909</v>
      </c>
      <c r="Y17">
        <v>0.46249133747939219</v>
      </c>
      <c r="Z17">
        <v>1.4452854296231006</v>
      </c>
      <c r="AA17">
        <v>0.29529430779689847</v>
      </c>
      <c r="AB17">
        <v>0.9227947118653077</v>
      </c>
      <c r="AC17">
        <v>0.20809703371711741</v>
      </c>
      <c r="AD17">
        <v>0.65030323036599191</v>
      </c>
      <c r="AE17">
        <v>0.39815965439142748</v>
      </c>
      <c r="AF17">
        <v>1.2442489199732107</v>
      </c>
      <c r="AG17">
        <v>0.29869497407412599</v>
      </c>
      <c r="AH17">
        <v>0.93342179398164371</v>
      </c>
      <c r="AI17">
        <v>0.4169880130680686</v>
      </c>
      <c r="AJ17">
        <v>1.3030875408377143</v>
      </c>
      <c r="AK17">
        <v>0.35880546475868003</v>
      </c>
      <c r="AL17">
        <v>1.1212670773708751</v>
      </c>
      <c r="AM17">
        <v>0.39019214896935883</v>
      </c>
      <c r="AN17">
        <v>1.2193504655292464</v>
      </c>
      <c r="AO17">
        <v>0.36685529834597491</v>
      </c>
      <c r="AP17">
        <v>1.1464228073311715</v>
      </c>
      <c r="AQ17">
        <v>0.3608251323698875</v>
      </c>
      <c r="AR17">
        <v>1.1275785386558985</v>
      </c>
    </row>
    <row r="18" spans="1:44" x14ac:dyDescent="0.3">
      <c r="B18">
        <v>10</v>
      </c>
      <c r="C18">
        <v>4</v>
      </c>
      <c r="D18">
        <v>32.466666666666669</v>
      </c>
      <c r="E18">
        <v>3.262</v>
      </c>
      <c r="F18">
        <v>25</v>
      </c>
      <c r="G18">
        <v>36</v>
      </c>
      <c r="H18">
        <v>1.7444444444444443E-2</v>
      </c>
      <c r="I18">
        <v>502.76188353839768</v>
      </c>
      <c r="J18">
        <v>0</v>
      </c>
      <c r="K18">
        <v>207.32063354060747</v>
      </c>
      <c r="L18">
        <v>502.76188353839768</v>
      </c>
      <c r="M18">
        <v>0.38</v>
      </c>
      <c r="N18">
        <v>0.37699236236430061</v>
      </c>
      <c r="O18">
        <v>0.99208516411658054</v>
      </c>
      <c r="P18">
        <v>0.32095648205147187</v>
      </c>
      <c r="Q18">
        <v>0.84462232118808389</v>
      </c>
      <c r="R18">
        <v>0.32873504474658727</v>
      </c>
      <c r="S18">
        <v>0.8650922230173349</v>
      </c>
      <c r="T18">
        <v>0.32524799628656048</v>
      </c>
      <c r="U18">
        <v>0.4169803767185325</v>
      </c>
      <c r="V18">
        <v>0.85591577970147492</v>
      </c>
      <c r="W18">
        <v>0.26876185475980424</v>
      </c>
      <c r="X18">
        <v>0.70726803884159006</v>
      </c>
      <c r="Y18">
        <v>0.46730491473949903</v>
      </c>
      <c r="Z18">
        <v>1.2297497756302607</v>
      </c>
      <c r="AA18">
        <v>0.29795461687614988</v>
      </c>
      <c r="AB18">
        <v>0.78409109704249969</v>
      </c>
      <c r="AC18">
        <v>0.21014435263921324</v>
      </c>
      <c r="AD18">
        <v>0.55301145431371901</v>
      </c>
      <c r="AE18">
        <v>0.40208383689736166</v>
      </c>
      <c r="AF18">
        <v>1.0581153602562148</v>
      </c>
      <c r="AG18">
        <v>0.30138591978650559</v>
      </c>
      <c r="AH18">
        <v>0.79312084154343576</v>
      </c>
      <c r="AI18">
        <v>0.42092646353136287</v>
      </c>
      <c r="AJ18">
        <v>1.1077012198193759</v>
      </c>
      <c r="AK18">
        <v>0.36241473948124092</v>
      </c>
      <c r="AL18">
        <v>0.95372299863484455</v>
      </c>
      <c r="AM18">
        <v>0.39440780938480924</v>
      </c>
      <c r="AN18">
        <v>1.0379152878547611</v>
      </c>
      <c r="AO18">
        <v>0.371453835854817</v>
      </c>
      <c r="AP18">
        <v>0.97751009435478153</v>
      </c>
      <c r="AQ18">
        <v>0.36573803028877783</v>
      </c>
      <c r="AR18">
        <v>0.96246850075994161</v>
      </c>
    </row>
    <row r="19" spans="1:44" x14ac:dyDescent="0.3">
      <c r="B19">
        <v>10</v>
      </c>
      <c r="C19">
        <v>4</v>
      </c>
      <c r="D19">
        <v>32.466666666666669</v>
      </c>
      <c r="E19">
        <v>3.262</v>
      </c>
      <c r="F19">
        <v>25</v>
      </c>
      <c r="G19">
        <v>36</v>
      </c>
      <c r="H19">
        <v>1.7444444444444443E-2</v>
      </c>
      <c r="I19">
        <v>538.67344664828317</v>
      </c>
      <c r="J19">
        <v>0</v>
      </c>
      <c r="K19">
        <v>207.32063354060747</v>
      </c>
      <c r="L19">
        <v>538.67344664828317</v>
      </c>
      <c r="M19">
        <v>0.42</v>
      </c>
      <c r="N19">
        <v>0.41277321914803544</v>
      </c>
      <c r="O19">
        <v>0.98279337892389396</v>
      </c>
      <c r="P19">
        <v>0.35102265801799776</v>
      </c>
      <c r="Q19">
        <v>0.83576823337618522</v>
      </c>
      <c r="R19">
        <v>0.35993573401812712</v>
      </c>
      <c r="S19">
        <v>0.85698984290030267</v>
      </c>
      <c r="T19">
        <v>0.34847999602131496</v>
      </c>
      <c r="U19">
        <v>0.47867645286566257</v>
      </c>
      <c r="V19">
        <v>0.82971427624122618</v>
      </c>
      <c r="W19">
        <v>0.29560632002462056</v>
      </c>
      <c r="X19">
        <v>0.7038245714871918</v>
      </c>
      <c r="Y19">
        <v>0.50562030661839974</v>
      </c>
      <c r="Z19">
        <v>1.2038578729009517</v>
      </c>
      <c r="AA19">
        <v>0.31923708951016055</v>
      </c>
      <c r="AB19">
        <v>0.76008830835752517</v>
      </c>
      <c r="AC19">
        <v>0.2265229040159793</v>
      </c>
      <c r="AD19">
        <v>0.53934024765709354</v>
      </c>
      <c r="AE19">
        <v>0.43347729694483406</v>
      </c>
      <c r="AF19">
        <v>1.0320888022496049</v>
      </c>
      <c r="AG19">
        <v>0.32291348548554166</v>
      </c>
      <c r="AH19">
        <v>0.76884163210843259</v>
      </c>
      <c r="AI19">
        <v>0.45099263949788876</v>
      </c>
      <c r="AJ19">
        <v>1.073791998804497</v>
      </c>
      <c r="AK19">
        <v>0.39135242888331706</v>
      </c>
      <c r="AL19">
        <v>0.93179149734123112</v>
      </c>
      <c r="AM19">
        <v>0.42786467520772725</v>
      </c>
      <c r="AN19">
        <v>1.0187254171612554</v>
      </c>
      <c r="AO19">
        <v>0.40845452028091672</v>
      </c>
      <c r="AP19">
        <v>0.97251076257361124</v>
      </c>
      <c r="AQ19">
        <v>0.40553080758862714</v>
      </c>
      <c r="AR19">
        <v>0.96554954187768371</v>
      </c>
    </row>
    <row r="20" spans="1:44" x14ac:dyDescent="0.3">
      <c r="B20">
        <v>10</v>
      </c>
      <c r="C20">
        <v>4</v>
      </c>
      <c r="D20">
        <v>32.466666666666669</v>
      </c>
      <c r="E20">
        <v>3.262</v>
      </c>
      <c r="F20">
        <v>25</v>
      </c>
      <c r="G20">
        <v>36</v>
      </c>
      <c r="H20">
        <v>1.7444444444444443E-2</v>
      </c>
      <c r="I20">
        <v>628</v>
      </c>
      <c r="J20">
        <v>0</v>
      </c>
      <c r="K20">
        <v>207.32063354060747</v>
      </c>
      <c r="L20">
        <v>628</v>
      </c>
      <c r="M20">
        <v>0.44</v>
      </c>
      <c r="N20">
        <v>0.50177465310629754</v>
      </c>
      <c r="O20">
        <v>1.1403969388779489</v>
      </c>
      <c r="P20">
        <v>0.42580937402192115</v>
      </c>
      <c r="Q20">
        <v>0.96774857732254804</v>
      </c>
      <c r="R20">
        <v>0.43754444256407587</v>
      </c>
      <c r="S20">
        <v>0.99441918764562698</v>
      </c>
      <c r="T20">
        <v>0.39471097380685027</v>
      </c>
      <c r="U20">
        <v>0.61410800657888331</v>
      </c>
      <c r="V20">
        <v>0.89707039501556884</v>
      </c>
      <c r="W20">
        <v>0.36237934105237524</v>
      </c>
      <c r="X20">
        <v>0.82358941148267095</v>
      </c>
      <c r="Y20">
        <v>0.59974401046133252</v>
      </c>
      <c r="Z20">
        <v>1.3630545692303011</v>
      </c>
      <c r="AA20">
        <v>0.37217518973657732</v>
      </c>
      <c r="AB20">
        <v>0.84585270394676659</v>
      </c>
      <c r="AC20">
        <v>0.26726297258118725</v>
      </c>
      <c r="AD20">
        <v>0.60741584677542559</v>
      </c>
      <c r="AE20">
        <v>0.51156550422349734</v>
      </c>
      <c r="AF20">
        <v>1.1626488732352211</v>
      </c>
      <c r="AG20">
        <v>0.37646123109782298</v>
      </c>
      <c r="AH20">
        <v>0.85559370704050675</v>
      </c>
      <c r="AI20">
        <v>0.5257793555018121</v>
      </c>
      <c r="AJ20">
        <v>1.1949530806859365</v>
      </c>
      <c r="AK20">
        <v>0.42580937402192115</v>
      </c>
      <c r="AL20">
        <v>0.96774857732254804</v>
      </c>
      <c r="AM20">
        <v>0.50932235697842276</v>
      </c>
      <c r="AN20">
        <v>1.1575508113145971</v>
      </c>
      <c r="AO20">
        <v>0.50212779816146669</v>
      </c>
      <c r="AP20">
        <v>1.1411995412760607</v>
      </c>
      <c r="AQ20">
        <v>0.50828663812151598</v>
      </c>
      <c r="AR20">
        <v>1.1551969048216273</v>
      </c>
    </row>
    <row r="21" spans="1:44" x14ac:dyDescent="0.3">
      <c r="B21">
        <v>10</v>
      </c>
      <c r="C21">
        <v>4</v>
      </c>
      <c r="D21">
        <v>32.466666666666669</v>
      </c>
      <c r="E21">
        <v>3.262</v>
      </c>
      <c r="F21">
        <v>25</v>
      </c>
      <c r="G21">
        <v>36</v>
      </c>
      <c r="H21">
        <v>1.7444444444444443E-2</v>
      </c>
      <c r="I21">
        <v>628</v>
      </c>
      <c r="J21">
        <v>0</v>
      </c>
      <c r="K21">
        <v>207.32063354060747</v>
      </c>
      <c r="L21">
        <v>628</v>
      </c>
      <c r="M21">
        <v>0.5</v>
      </c>
      <c r="N21">
        <v>0.50177465310629754</v>
      </c>
      <c r="O21">
        <v>1.0035493062125951</v>
      </c>
      <c r="P21">
        <v>0.42580937402192115</v>
      </c>
      <c r="Q21">
        <v>0.8516187480438423</v>
      </c>
      <c r="R21">
        <v>0.43754444256407587</v>
      </c>
      <c r="S21">
        <v>0.87508888512815175</v>
      </c>
      <c r="T21">
        <v>0.39471097380685027</v>
      </c>
      <c r="U21">
        <v>0.61410800657888331</v>
      </c>
      <c r="V21">
        <v>0.78942194761370055</v>
      </c>
      <c r="W21">
        <v>0.36237934105237524</v>
      </c>
      <c r="X21">
        <v>0.72475868210475047</v>
      </c>
      <c r="Y21">
        <v>0.59974401046133252</v>
      </c>
      <c r="Z21">
        <v>1.199488020922665</v>
      </c>
      <c r="AA21">
        <v>0.37217518973657732</v>
      </c>
      <c r="AB21">
        <v>0.74435037947315463</v>
      </c>
      <c r="AC21">
        <v>0.26726297258118725</v>
      </c>
      <c r="AD21">
        <v>0.53452594516237451</v>
      </c>
      <c r="AE21">
        <v>0.51156550422349734</v>
      </c>
      <c r="AF21">
        <v>1.0231310084469947</v>
      </c>
      <c r="AG21">
        <v>0.37646123109782298</v>
      </c>
      <c r="AH21">
        <v>0.75292246219564596</v>
      </c>
      <c r="AI21">
        <v>0.5257793555018121</v>
      </c>
      <c r="AJ21">
        <v>1.0515587110036242</v>
      </c>
      <c r="AK21">
        <v>0.42580937402192115</v>
      </c>
      <c r="AL21">
        <v>0.8516187480438423</v>
      </c>
      <c r="AM21">
        <v>0.50932235697842276</v>
      </c>
      <c r="AN21">
        <v>1.0186447139568455</v>
      </c>
      <c r="AO21">
        <v>0.50212779816146669</v>
      </c>
      <c r="AP21">
        <v>1.0042555963229334</v>
      </c>
      <c r="AQ21">
        <v>0.50828663812151598</v>
      </c>
      <c r="AR21">
        <v>1.016573276243032</v>
      </c>
    </row>
    <row r="22" spans="1:44" x14ac:dyDescent="0.3">
      <c r="A22" t="s">
        <v>8</v>
      </c>
      <c r="B22">
        <v>10</v>
      </c>
      <c r="C22">
        <v>4</v>
      </c>
      <c r="D22">
        <v>32.466666666666669</v>
      </c>
      <c r="E22">
        <v>3.5139999999999993</v>
      </c>
      <c r="F22">
        <v>25</v>
      </c>
      <c r="G22">
        <v>36</v>
      </c>
      <c r="H22">
        <v>1.7444444444444443E-2</v>
      </c>
      <c r="I22">
        <v>321.47187644259361</v>
      </c>
      <c r="J22">
        <v>0.3413535612973656</v>
      </c>
      <c r="K22">
        <v>219.25122107583812</v>
      </c>
      <c r="L22">
        <v>246.62969130956026</v>
      </c>
      <c r="M22">
        <v>0.24</v>
      </c>
      <c r="N22">
        <v>0.18922989304623691</v>
      </c>
      <c r="O22">
        <v>0.78845788769265379</v>
      </c>
      <c r="P22">
        <v>0.16333872081928372</v>
      </c>
      <c r="Q22">
        <v>0.68057800341368213</v>
      </c>
      <c r="R22">
        <v>0.16758074432571601</v>
      </c>
      <c r="S22">
        <v>0.69825310135715013</v>
      </c>
      <c r="T22">
        <v>0.20908799761278896</v>
      </c>
      <c r="U22">
        <v>0.15996566082219832</v>
      </c>
      <c r="V22">
        <v>0.66652358675915968</v>
      </c>
      <c r="W22">
        <v>0.13324468767213826</v>
      </c>
      <c r="X22">
        <v>0.5551861986339095</v>
      </c>
      <c r="Y22">
        <v>0.26595117250432371</v>
      </c>
      <c r="Z22">
        <v>1.1081298854346822</v>
      </c>
      <c r="AA22">
        <v>0.19995733054196627</v>
      </c>
      <c r="AB22">
        <v>0.83315554392485947</v>
      </c>
      <c r="AC22">
        <v>0.12790720519573359</v>
      </c>
      <c r="AD22">
        <v>0.53294668831555669</v>
      </c>
      <c r="AE22">
        <v>0.24360227547511745</v>
      </c>
      <c r="AF22">
        <v>1.0150094811463228</v>
      </c>
      <c r="AG22">
        <v>0.19246157522098073</v>
      </c>
      <c r="AH22">
        <v>0.80192323008741973</v>
      </c>
      <c r="AI22">
        <v>0.20633910593613325</v>
      </c>
      <c r="AJ22">
        <v>0.85974627473388854</v>
      </c>
      <c r="AK22">
        <v>0.21394781753831427</v>
      </c>
      <c r="AL22">
        <v>0.89144923974297618</v>
      </c>
      <c r="AM22">
        <v>0.21355665077181143</v>
      </c>
      <c r="AN22">
        <v>0.88981937821588097</v>
      </c>
      <c r="AO22">
        <v>0.18257373577591551</v>
      </c>
      <c r="AP22">
        <v>0.76072389906631466</v>
      </c>
      <c r="AQ22">
        <v>0.17134979849017962</v>
      </c>
      <c r="AR22">
        <v>0.71395749370908179</v>
      </c>
    </row>
    <row r="23" spans="1:44" x14ac:dyDescent="0.3">
      <c r="B23">
        <v>10</v>
      </c>
      <c r="C23">
        <v>4</v>
      </c>
      <c r="D23">
        <v>32.466666666666669</v>
      </c>
      <c r="E23">
        <v>3.5139999999999993</v>
      </c>
      <c r="F23">
        <v>25</v>
      </c>
      <c r="G23">
        <v>36</v>
      </c>
      <c r="H23">
        <v>1.7444444444444443E-2</v>
      </c>
      <c r="I23">
        <v>357.19097382510409</v>
      </c>
      <c r="J23">
        <v>9.8037751435086862E-2</v>
      </c>
      <c r="K23">
        <v>219.25122107583812</v>
      </c>
      <c r="L23">
        <v>335.6960771114318</v>
      </c>
      <c r="M23">
        <v>0.3</v>
      </c>
      <c r="N23">
        <v>0.2248189846147983</v>
      </c>
      <c r="O23">
        <v>0.749396615382661</v>
      </c>
      <c r="P23">
        <v>0.19321340015703939</v>
      </c>
      <c r="Q23">
        <v>0.64404466719013131</v>
      </c>
      <c r="R23">
        <v>0.19604078582316281</v>
      </c>
      <c r="S23">
        <v>0.65346928607720944</v>
      </c>
      <c r="T23">
        <v>0.23231999734754327</v>
      </c>
      <c r="U23">
        <v>0.1974884701508621</v>
      </c>
      <c r="V23">
        <v>0.65829490050287365</v>
      </c>
      <c r="W23">
        <v>0.15994528174100089</v>
      </c>
      <c r="X23">
        <v>0.53315093913666967</v>
      </c>
      <c r="Y23">
        <v>0.30872458220891225</v>
      </c>
      <c r="Z23">
        <v>1.0290819406963743</v>
      </c>
      <c r="AA23">
        <v>0.22217481171329587</v>
      </c>
      <c r="AB23">
        <v>0.74058270571098628</v>
      </c>
      <c r="AC23">
        <v>0.14425493211719229</v>
      </c>
      <c r="AD23">
        <v>0.48084977372397431</v>
      </c>
      <c r="AE23">
        <v>0.27482748427982534</v>
      </c>
      <c r="AF23">
        <v>0.91609161426608454</v>
      </c>
      <c r="AG23">
        <v>0.21384619468997865</v>
      </c>
      <c r="AH23">
        <v>0.71282064896659547</v>
      </c>
      <c r="AI23">
        <v>0.24880889422913266</v>
      </c>
      <c r="AJ23">
        <v>0.82936298076377557</v>
      </c>
      <c r="AK23">
        <v>0.24173393615327937</v>
      </c>
      <c r="AL23">
        <v>0.80577978717759791</v>
      </c>
      <c r="AM23">
        <v>0.25046861126024778</v>
      </c>
      <c r="AN23">
        <v>0.83489537086749266</v>
      </c>
      <c r="AO23">
        <v>0.21704771317582888</v>
      </c>
      <c r="AP23">
        <v>0.72349237725276294</v>
      </c>
      <c r="AQ23">
        <v>0.20671487282845291</v>
      </c>
      <c r="AR23">
        <v>0.68904957609484307</v>
      </c>
    </row>
    <row r="24" spans="1:44" x14ac:dyDescent="0.3">
      <c r="B24">
        <v>10</v>
      </c>
      <c r="C24">
        <v>4</v>
      </c>
      <c r="D24">
        <v>32.466666666666669</v>
      </c>
      <c r="E24">
        <v>3.5139999999999993</v>
      </c>
      <c r="F24">
        <v>25</v>
      </c>
      <c r="G24">
        <v>36</v>
      </c>
      <c r="H24">
        <v>1.7444444444444443E-2</v>
      </c>
      <c r="I24">
        <v>370.58563534354545</v>
      </c>
      <c r="J24">
        <v>4.1399619949537558E-2</v>
      </c>
      <c r="K24">
        <v>219.25122107583812</v>
      </c>
      <c r="L24">
        <v>361.5087181175337</v>
      </c>
      <c r="M24">
        <v>0.3</v>
      </c>
      <c r="N24">
        <v>0.23816489395300877</v>
      </c>
      <c r="O24">
        <v>0.79388297984336265</v>
      </c>
      <c r="P24">
        <v>0.20441640490869767</v>
      </c>
      <c r="Q24">
        <v>0.6813880163623256</v>
      </c>
      <c r="R24">
        <v>0.20767833751244857</v>
      </c>
      <c r="S24">
        <v>0.69226112504149528</v>
      </c>
      <c r="T24">
        <v>0.24103199724807614</v>
      </c>
      <c r="U24">
        <v>0.21257782357332636</v>
      </c>
      <c r="V24">
        <v>0.70859274524442117</v>
      </c>
      <c r="W24">
        <v>0.1699580045168243</v>
      </c>
      <c r="X24">
        <v>0.56652668172274767</v>
      </c>
      <c r="Y24">
        <v>0.32445331455853083</v>
      </c>
      <c r="Z24">
        <v>1.081511048528436</v>
      </c>
      <c r="AA24">
        <v>0.23050636715254444</v>
      </c>
      <c r="AB24">
        <v>0.76835455717514811</v>
      </c>
      <c r="AC24">
        <v>0.15038532971273924</v>
      </c>
      <c r="AD24">
        <v>0.50128443237579745</v>
      </c>
      <c r="AE24">
        <v>0.28653693758159071</v>
      </c>
      <c r="AF24">
        <v>0.95512312527196908</v>
      </c>
      <c r="AG24">
        <v>0.22186542699085282</v>
      </c>
      <c r="AH24">
        <v>0.73955142330284274</v>
      </c>
      <c r="AI24">
        <v>0.26473506483900733</v>
      </c>
      <c r="AJ24">
        <v>0.8824502161300245</v>
      </c>
      <c r="AK24">
        <v>0.25222768236312221</v>
      </c>
      <c r="AL24">
        <v>0.8407589412104074</v>
      </c>
      <c r="AM24">
        <v>0.26407332302897685</v>
      </c>
      <c r="AN24">
        <v>0.88024441009658949</v>
      </c>
      <c r="AO24">
        <v>0.23006165529798422</v>
      </c>
      <c r="AP24">
        <v>0.76687218432661408</v>
      </c>
      <c r="AQ24">
        <v>0.22021397739836332</v>
      </c>
      <c r="AR24">
        <v>0.73404659132787775</v>
      </c>
    </row>
    <row r="25" spans="1:44" x14ac:dyDescent="0.3">
      <c r="B25">
        <v>10</v>
      </c>
      <c r="C25">
        <v>4</v>
      </c>
      <c r="D25">
        <v>32.466666666666669</v>
      </c>
      <c r="E25">
        <v>3.5139999999999993</v>
      </c>
      <c r="F25">
        <v>25</v>
      </c>
      <c r="G25">
        <v>36</v>
      </c>
      <c r="H25">
        <v>1.7444444444444443E-2</v>
      </c>
      <c r="I25">
        <v>392.91007120761441</v>
      </c>
      <c r="J25">
        <v>0</v>
      </c>
      <c r="K25">
        <v>219.25122107583812</v>
      </c>
      <c r="L25">
        <v>392.91007120761441</v>
      </c>
      <c r="M25">
        <v>0.3</v>
      </c>
      <c r="N25">
        <v>0.26040807618335954</v>
      </c>
      <c r="O25">
        <v>0.86802692061119846</v>
      </c>
      <c r="P25">
        <v>0.22308807949479487</v>
      </c>
      <c r="Q25">
        <v>0.74362693164931626</v>
      </c>
      <c r="R25">
        <v>0.22707425699459161</v>
      </c>
      <c r="S25">
        <v>0.75691418998197202</v>
      </c>
      <c r="T25">
        <v>0.25555199708229764</v>
      </c>
      <c r="U25">
        <v>0.23896104888254321</v>
      </c>
      <c r="V25">
        <v>0.79653682960847738</v>
      </c>
      <c r="W25">
        <v>0.18664587580986336</v>
      </c>
      <c r="X25">
        <v>0.6221529193662112</v>
      </c>
      <c r="Y25">
        <v>0.350359144881568</v>
      </c>
      <c r="Z25">
        <v>1.1678638162718933</v>
      </c>
      <c r="AA25">
        <v>0.24439229288462541</v>
      </c>
      <c r="AB25">
        <v>0.81464097628208476</v>
      </c>
      <c r="AC25">
        <v>0.1606026590386509</v>
      </c>
      <c r="AD25">
        <v>0.53534219679550299</v>
      </c>
      <c r="AE25">
        <v>0.30605269308453309</v>
      </c>
      <c r="AF25">
        <v>1.0201756436151104</v>
      </c>
      <c r="AG25">
        <v>0.23523081415897645</v>
      </c>
      <c r="AH25">
        <v>0.78410271386325492</v>
      </c>
      <c r="AI25">
        <v>0.29127868252213185</v>
      </c>
      <c r="AJ25">
        <v>0.97092894174043953</v>
      </c>
      <c r="AK25">
        <v>0.26979363219017016</v>
      </c>
      <c r="AL25">
        <v>0.89931210730056721</v>
      </c>
      <c r="AM25">
        <v>0.2864852827450684</v>
      </c>
      <c r="AN25">
        <v>0.95495094248356138</v>
      </c>
      <c r="AO25">
        <v>0.25185604440725884</v>
      </c>
      <c r="AP25">
        <v>0.83952014802419617</v>
      </c>
      <c r="AQ25">
        <v>0.24300000221858739</v>
      </c>
      <c r="AR25">
        <v>0.81000000739529132</v>
      </c>
    </row>
    <row r="26" spans="1:44" x14ac:dyDescent="0.3">
      <c r="B26">
        <v>10</v>
      </c>
      <c r="C26">
        <v>4</v>
      </c>
      <c r="D26">
        <v>32.466666666666669</v>
      </c>
      <c r="E26">
        <v>3.5139999999999993</v>
      </c>
      <c r="F26">
        <v>25</v>
      </c>
      <c r="G26">
        <v>36</v>
      </c>
      <c r="H26">
        <v>1.7444444444444443E-2</v>
      </c>
      <c r="I26">
        <v>424.16428141731097</v>
      </c>
      <c r="J26">
        <v>0</v>
      </c>
      <c r="K26">
        <v>219.25122107583812</v>
      </c>
      <c r="L26">
        <v>424.16428141731097</v>
      </c>
      <c r="M26">
        <v>0.38</v>
      </c>
      <c r="N26">
        <v>0.29154853130585062</v>
      </c>
      <c r="O26">
        <v>0.76723297712065952</v>
      </c>
      <c r="P26">
        <v>0.24922842391533095</v>
      </c>
      <c r="Q26">
        <v>0.6558642734613972</v>
      </c>
      <c r="R26">
        <v>0.25422854426959185</v>
      </c>
      <c r="S26">
        <v>0.66902248491997851</v>
      </c>
      <c r="T26">
        <v>0.27587999685020764</v>
      </c>
      <c r="U26">
        <v>0.27848960048617671</v>
      </c>
      <c r="V26">
        <v>0.72599999171107277</v>
      </c>
      <c r="W26">
        <v>0.21000889562011807</v>
      </c>
      <c r="X26">
        <v>0.55265498847399486</v>
      </c>
      <c r="Y26">
        <v>0.38608135403252564</v>
      </c>
      <c r="Z26">
        <v>1.0160035632434885</v>
      </c>
      <c r="AA26">
        <v>0.26383258890953881</v>
      </c>
      <c r="AB26">
        <v>0.69429628660404952</v>
      </c>
      <c r="AC26">
        <v>0.17490692009492717</v>
      </c>
      <c r="AD26">
        <v>0.46028136867086095</v>
      </c>
      <c r="AE26">
        <v>0.33337475078865242</v>
      </c>
      <c r="AF26">
        <v>0.87730197575961166</v>
      </c>
      <c r="AG26">
        <v>0.25394235619434957</v>
      </c>
      <c r="AH26">
        <v>0.66826935840618307</v>
      </c>
      <c r="AI26">
        <v>0.32843974727850617</v>
      </c>
      <c r="AJ26">
        <v>0.86431512441712144</v>
      </c>
      <c r="AK26">
        <v>0.2945257058006695</v>
      </c>
      <c r="AL26">
        <v>0.77506764684386709</v>
      </c>
      <c r="AM26">
        <v>0.31735536027972144</v>
      </c>
      <c r="AN26">
        <v>0.83514568494663532</v>
      </c>
      <c r="AO26">
        <v>0.28258760886217632</v>
      </c>
      <c r="AP26">
        <v>0.74365160226888505</v>
      </c>
      <c r="AQ26">
        <v>0.27550422309468514</v>
      </c>
      <c r="AR26">
        <v>0.72501111340706614</v>
      </c>
    </row>
    <row r="27" spans="1:44" x14ac:dyDescent="0.3">
      <c r="B27">
        <v>10</v>
      </c>
      <c r="C27">
        <v>4</v>
      </c>
      <c r="D27">
        <v>32.466666666666669</v>
      </c>
      <c r="E27">
        <v>3.5139999999999993</v>
      </c>
      <c r="F27">
        <v>25</v>
      </c>
      <c r="G27">
        <v>36</v>
      </c>
      <c r="H27">
        <v>1.7444444444444443E-2</v>
      </c>
      <c r="I27">
        <v>491.13758900951802</v>
      </c>
      <c r="J27">
        <v>0</v>
      </c>
      <c r="K27">
        <v>219.25122107583812</v>
      </c>
      <c r="L27">
        <v>491.13758900951802</v>
      </c>
      <c r="M27">
        <v>0.44</v>
      </c>
      <c r="N27">
        <v>0.35827807799690314</v>
      </c>
      <c r="O27">
        <v>0.81426835908387074</v>
      </c>
      <c r="P27">
        <v>0.30524344767362266</v>
      </c>
      <c r="Q27">
        <v>0.69373510834914243</v>
      </c>
      <c r="R27">
        <v>0.31241630271602105</v>
      </c>
      <c r="S27">
        <v>0.71003705162732056</v>
      </c>
      <c r="T27">
        <v>0.31943999635287207</v>
      </c>
      <c r="U27">
        <v>0.37337663887897365</v>
      </c>
      <c r="V27">
        <v>0.72599999171107288</v>
      </c>
      <c r="W27">
        <v>0.26007250949923538</v>
      </c>
      <c r="X27">
        <v>0.59107388522553495</v>
      </c>
      <c r="Y27">
        <v>0.46101058349859836</v>
      </c>
      <c r="Z27">
        <v>1.0477513261331781</v>
      </c>
      <c r="AA27">
        <v>0.30549036610578179</v>
      </c>
      <c r="AB27">
        <v>0.69429628660404952</v>
      </c>
      <c r="AC27">
        <v>0.20555890807266211</v>
      </c>
      <c r="AD27">
        <v>0.46717933652877752</v>
      </c>
      <c r="AE27">
        <v>0.39192201729747961</v>
      </c>
      <c r="AF27">
        <v>0.89073185749427186</v>
      </c>
      <c r="AG27">
        <v>0.29403851769872058</v>
      </c>
      <c r="AH27">
        <v>0.66826935840618318</v>
      </c>
      <c r="AI27">
        <v>0.40807060032787995</v>
      </c>
      <c r="AJ27">
        <v>0.92743318256336349</v>
      </c>
      <c r="AK27">
        <v>0.34796081807492885</v>
      </c>
      <c r="AL27">
        <v>0.79082004107938375</v>
      </c>
      <c r="AM27">
        <v>0.38179391417313535</v>
      </c>
      <c r="AN27">
        <v>0.86771344130258032</v>
      </c>
      <c r="AO27">
        <v>0.34930296723745025</v>
      </c>
      <c r="AP27">
        <v>0.79387038008511424</v>
      </c>
      <c r="AQ27">
        <v>0.34752814190261772</v>
      </c>
      <c r="AR27">
        <v>0.78983668614231295</v>
      </c>
    </row>
    <row r="28" spans="1:44" x14ac:dyDescent="0.3">
      <c r="A28" t="s">
        <v>9</v>
      </c>
      <c r="B28">
        <v>16</v>
      </c>
      <c r="C28">
        <v>4</v>
      </c>
      <c r="D28">
        <v>37</v>
      </c>
      <c r="E28">
        <v>4.2587999999999999</v>
      </c>
      <c r="F28">
        <v>20</v>
      </c>
      <c r="G28">
        <v>54</v>
      </c>
      <c r="H28">
        <v>0.11785107305322007</v>
      </c>
      <c r="I28">
        <v>136.24998634844746</v>
      </c>
      <c r="J28">
        <v>0.6</v>
      </c>
      <c r="K28">
        <v>59.302632231334044</v>
      </c>
      <c r="L28">
        <v>100.66840700964704</v>
      </c>
      <c r="M28">
        <v>0.18</v>
      </c>
      <c r="N28">
        <v>3.8537839874132902E-2</v>
      </c>
      <c r="O28">
        <v>0.21409911041184945</v>
      </c>
      <c r="P28">
        <v>4.3068885937083114E-2</v>
      </c>
      <c r="Q28">
        <v>0.23927158853935063</v>
      </c>
      <c r="R28">
        <v>4.5166877574692683E-2</v>
      </c>
      <c r="S28">
        <v>0.25092709763718157</v>
      </c>
      <c r="T28">
        <v>4.8418033582336178E-2</v>
      </c>
      <c r="U28">
        <v>4.2063309858943153E-2</v>
      </c>
      <c r="V28">
        <v>0.2336850547719064</v>
      </c>
      <c r="W28">
        <v>5.3334062616951713E-2</v>
      </c>
      <c r="X28">
        <v>0.29630034787195397</v>
      </c>
      <c r="Y28">
        <v>7.6553053078508113E-2</v>
      </c>
      <c r="Z28">
        <v>0.42529473932504508</v>
      </c>
      <c r="AA28">
        <v>0.11739335717932614</v>
      </c>
      <c r="AB28">
        <v>0.65218531766292298</v>
      </c>
      <c r="AC28">
        <v>5.3755393196897358E-2</v>
      </c>
      <c r="AD28">
        <v>0.29864107331609646</v>
      </c>
      <c r="AE28">
        <v>5.8045479214654826E-2</v>
      </c>
      <c r="AF28">
        <v>0.32247488452586015</v>
      </c>
      <c r="AG28">
        <v>0.10489888158351161</v>
      </c>
      <c r="AH28">
        <v>0.58277156435284228</v>
      </c>
      <c r="AI28">
        <v>4.3068885937083114E-2</v>
      </c>
      <c r="AJ28">
        <v>0.23927158853935063</v>
      </c>
      <c r="AK28">
        <v>6.8415971353127006E-2</v>
      </c>
      <c r="AL28">
        <v>0.38008872973959451</v>
      </c>
      <c r="AM28">
        <v>4.3068885937083114E-2</v>
      </c>
      <c r="AN28">
        <v>0.23927158853935063</v>
      </c>
      <c r="AO28">
        <v>5.4980155154887446E-2</v>
      </c>
      <c r="AP28">
        <v>0.3054453064160414</v>
      </c>
      <c r="AQ28">
        <v>4.3487934622977523E-2</v>
      </c>
      <c r="AR28">
        <v>0.24159963679431959</v>
      </c>
    </row>
    <row r="29" spans="1:44" x14ac:dyDescent="0.3">
      <c r="B29">
        <v>16</v>
      </c>
      <c r="C29">
        <v>4</v>
      </c>
      <c r="D29">
        <v>37</v>
      </c>
      <c r="E29">
        <v>4.2587999999999999</v>
      </c>
      <c r="F29">
        <v>20</v>
      </c>
      <c r="G29">
        <v>54</v>
      </c>
      <c r="H29">
        <v>0.11785107305322007</v>
      </c>
      <c r="I29">
        <v>196.14009023787494</v>
      </c>
      <c r="J29">
        <v>0.54068899999999998</v>
      </c>
      <c r="K29">
        <v>59.302632231334044</v>
      </c>
      <c r="L29">
        <v>164.07580931934717</v>
      </c>
      <c r="M29">
        <v>0.2</v>
      </c>
      <c r="N29">
        <v>6.1464945828186207E-2</v>
      </c>
      <c r="O29">
        <v>0.30732472914093101</v>
      </c>
      <c r="P29">
        <v>7.927348825357626E-2</v>
      </c>
      <c r="Q29">
        <v>0.39636744126788126</v>
      </c>
      <c r="R29">
        <v>7.2037760612011156E-2</v>
      </c>
      <c r="S29">
        <v>0.36018880306005574</v>
      </c>
      <c r="T29">
        <v>6.9700685706440002E-2</v>
      </c>
      <c r="U29">
        <v>8.7169238073822417E-2</v>
      </c>
      <c r="V29">
        <v>0.34850342853220001</v>
      </c>
      <c r="W29">
        <v>7.9691697338688736E-2</v>
      </c>
      <c r="X29">
        <v>0.39845848669344364</v>
      </c>
      <c r="Y29">
        <v>0.12704734905426315</v>
      </c>
      <c r="Z29">
        <v>0.63523674527131568</v>
      </c>
      <c r="AA29">
        <v>0.16899483286254643</v>
      </c>
      <c r="AB29">
        <v>0.84497416431273209</v>
      </c>
      <c r="AC29">
        <v>8.7413694740726702E-2</v>
      </c>
      <c r="AD29">
        <v>0.4370684737036335</v>
      </c>
      <c r="AE29">
        <v>8.825052032231516E-2</v>
      </c>
      <c r="AF29">
        <v>0.44125260161157576</v>
      </c>
      <c r="AG29">
        <v>0.15100828008175848</v>
      </c>
      <c r="AH29">
        <v>0.75504140040879242</v>
      </c>
      <c r="AI29">
        <v>7.9717100228499774E-2</v>
      </c>
      <c r="AJ29">
        <v>0.39858550114249885</v>
      </c>
      <c r="AK29">
        <v>0.10118316989088218</v>
      </c>
      <c r="AL29">
        <v>0.50591584945441082</v>
      </c>
      <c r="AM29">
        <v>8.5445017150031638E-2</v>
      </c>
      <c r="AN29">
        <v>0.42722508575015816</v>
      </c>
      <c r="AO29">
        <v>0.10402383316646244</v>
      </c>
      <c r="AP29">
        <v>0.5201191658323121</v>
      </c>
      <c r="AQ29">
        <v>8.5666376822352841E-2</v>
      </c>
      <c r="AR29">
        <v>0.42833188411176421</v>
      </c>
    </row>
    <row r="30" spans="1:44" x14ac:dyDescent="0.3">
      <c r="B30">
        <v>16</v>
      </c>
      <c r="C30">
        <v>4</v>
      </c>
      <c r="D30">
        <v>37</v>
      </c>
      <c r="E30">
        <v>4.2587999999999999</v>
      </c>
      <c r="F30">
        <v>20</v>
      </c>
      <c r="G30">
        <v>54</v>
      </c>
      <c r="H30">
        <v>0.11785107305322007</v>
      </c>
      <c r="I30">
        <v>237.31453666185638</v>
      </c>
      <c r="J30">
        <v>0.4842749999999999</v>
      </c>
      <c r="K30">
        <v>59.302632231334044</v>
      </c>
      <c r="L30">
        <v>208.59575443802709</v>
      </c>
      <c r="M30">
        <v>0.26</v>
      </c>
      <c r="N30">
        <v>7.7227331171597871E-2</v>
      </c>
      <c r="O30">
        <v>0.29702819681383796</v>
      </c>
      <c r="P30">
        <v>0.10416415234616534</v>
      </c>
      <c r="Q30">
        <v>0.40063135517755899</v>
      </c>
      <c r="R30">
        <v>9.0511492700167645E-2</v>
      </c>
      <c r="S30">
        <v>0.34812112576987553</v>
      </c>
      <c r="T30">
        <v>8.4332509041761372E-2</v>
      </c>
      <c r="U30">
        <v>0.12760837895228047</v>
      </c>
      <c r="V30">
        <v>0.3243558040067745</v>
      </c>
      <c r="W30">
        <v>9.7812571209882959E-2</v>
      </c>
      <c r="X30">
        <v>0.37620219696108831</v>
      </c>
      <c r="Y30">
        <v>0.15974057213838819</v>
      </c>
      <c r="Z30">
        <v>0.6143868159168776</v>
      </c>
      <c r="AA30">
        <v>0.20447084739476043</v>
      </c>
      <c r="AB30">
        <v>0.78642633613369395</v>
      </c>
      <c r="AC30">
        <v>0.11055377705210942</v>
      </c>
      <c r="AD30">
        <v>0.42520683481580546</v>
      </c>
      <c r="AE30">
        <v>0.10901648608383162</v>
      </c>
      <c r="AF30">
        <v>0.41929417724550622</v>
      </c>
      <c r="AG30">
        <v>0.18270849154930321</v>
      </c>
      <c r="AH30">
        <v>0.70272496749732005</v>
      </c>
      <c r="AI30">
        <v>0.11020041095274997</v>
      </c>
      <c r="AJ30">
        <v>0.42384773443365376</v>
      </c>
      <c r="AK30">
        <v>0.12446587444655008</v>
      </c>
      <c r="AL30">
        <v>0.47871490171750031</v>
      </c>
      <c r="AM30">
        <v>0.11529725593594364</v>
      </c>
      <c r="AN30">
        <v>0.44345098436901398</v>
      </c>
      <c r="AO30">
        <v>0.13923882948117358</v>
      </c>
      <c r="AP30">
        <v>0.53553395954297534</v>
      </c>
      <c r="AQ30">
        <v>0.11671501464825813</v>
      </c>
      <c r="AR30">
        <v>0.44890390249330048</v>
      </c>
    </row>
    <row r="31" spans="1:44" x14ac:dyDescent="0.3">
      <c r="B31">
        <v>16</v>
      </c>
      <c r="C31">
        <v>4</v>
      </c>
      <c r="D31">
        <v>37</v>
      </c>
      <c r="E31">
        <v>4.2587999999999999</v>
      </c>
      <c r="F31">
        <v>20</v>
      </c>
      <c r="G31">
        <v>54</v>
      </c>
      <c r="H31">
        <v>0.11785107305322007</v>
      </c>
      <c r="I31">
        <v>305.43952983608006</v>
      </c>
      <c r="J31">
        <v>0.29356199999999988</v>
      </c>
      <c r="K31">
        <v>59.302632231334044</v>
      </c>
      <c r="L31">
        <v>288.03053051298519</v>
      </c>
      <c r="M31">
        <v>0.44</v>
      </c>
      <c r="N31">
        <v>0.10330691419433347</v>
      </c>
      <c r="O31">
        <v>0.23478844135075788</v>
      </c>
      <c r="P31">
        <v>0.14534688748117627</v>
      </c>
      <c r="Q31">
        <v>0.33033383518449155</v>
      </c>
      <c r="R31">
        <v>0.12107712215511736</v>
      </c>
      <c r="S31">
        <v>0.27517527762526672</v>
      </c>
      <c r="T31">
        <v>0.10854152583292943</v>
      </c>
      <c r="U31">
        <v>0.21138832303946115</v>
      </c>
      <c r="V31">
        <v>0.24668528598393052</v>
      </c>
      <c r="W31">
        <v>0.12779438070585877</v>
      </c>
      <c r="X31">
        <v>0.2904417743314972</v>
      </c>
      <c r="Y31">
        <v>0.21221936042033682</v>
      </c>
      <c r="Z31">
        <v>0.48231672822803823</v>
      </c>
      <c r="AA31">
        <v>0.26316752598442344</v>
      </c>
      <c r="AB31">
        <v>0.59810801360096233</v>
      </c>
      <c r="AC31">
        <v>0.14884009505821524</v>
      </c>
      <c r="AD31">
        <v>0.33827294331412555</v>
      </c>
      <c r="AE31">
        <v>0.14337472034379523</v>
      </c>
      <c r="AF31">
        <v>0.32585163714498916</v>
      </c>
      <c r="AG31">
        <v>0.235157932341059</v>
      </c>
      <c r="AH31">
        <v>0.5344498462296795</v>
      </c>
      <c r="AI31">
        <v>0.16063643415105472</v>
      </c>
      <c r="AJ31">
        <v>0.36508280488876071</v>
      </c>
      <c r="AK31">
        <v>0.16369927277414059</v>
      </c>
      <c r="AL31">
        <v>0.37204380175941043</v>
      </c>
      <c r="AM31">
        <v>0.16311119083293868</v>
      </c>
      <c r="AN31">
        <v>0.37070725189304243</v>
      </c>
      <c r="AO31">
        <v>0.20018315073989396</v>
      </c>
      <c r="AP31">
        <v>0.45496170622703169</v>
      </c>
      <c r="AQ31">
        <v>0.17175630144850776</v>
      </c>
      <c r="AR31">
        <v>0.39035523056479038</v>
      </c>
    </row>
    <row r="32" spans="1:44" x14ac:dyDescent="0.3">
      <c r="B32">
        <v>16</v>
      </c>
      <c r="C32">
        <v>4</v>
      </c>
      <c r="D32">
        <v>37</v>
      </c>
      <c r="E32">
        <v>4.2587999999999999</v>
      </c>
      <c r="F32">
        <v>20</v>
      </c>
      <c r="G32">
        <v>54</v>
      </c>
      <c r="H32">
        <v>0.11785107305322007</v>
      </c>
      <c r="I32">
        <v>405.00682755225324</v>
      </c>
      <c r="J32">
        <v>2.6648000000000116E-2</v>
      </c>
      <c r="K32">
        <v>59.302632231334044</v>
      </c>
      <c r="L32">
        <v>403.42653100855267</v>
      </c>
      <c r="M32">
        <v>0.6</v>
      </c>
      <c r="N32">
        <v>0.14142322784294711</v>
      </c>
      <c r="O32">
        <v>0.23570537973824521</v>
      </c>
      <c r="P32">
        <v>0.20553703883234614</v>
      </c>
      <c r="Q32">
        <v>0.34256173138724361</v>
      </c>
      <c r="R32">
        <v>0.16574996520465934</v>
      </c>
      <c r="S32">
        <v>0.27624994200776559</v>
      </c>
      <c r="T32">
        <v>0.14392393498925204</v>
      </c>
      <c r="U32">
        <v>0.37166802296900547</v>
      </c>
      <c r="V32">
        <v>0.23987322498208674</v>
      </c>
      <c r="W32">
        <v>0.17161394843074659</v>
      </c>
      <c r="X32">
        <v>0.28602324738457768</v>
      </c>
      <c r="Y32">
        <v>0.28716680216592066</v>
      </c>
      <c r="Z32">
        <v>0.47861133694320113</v>
      </c>
      <c r="AA32">
        <v>0.34895497930777719</v>
      </c>
      <c r="AB32">
        <v>0.58159163217962873</v>
      </c>
      <c r="AC32">
        <v>0.20479702137483155</v>
      </c>
      <c r="AD32">
        <v>0.34132836895805257</v>
      </c>
      <c r="AE32">
        <v>0.19359060118528054</v>
      </c>
      <c r="AF32">
        <v>0.32265100197546759</v>
      </c>
      <c r="AG32">
        <v>0.31181480734439448</v>
      </c>
      <c r="AH32">
        <v>0.51969134557399088</v>
      </c>
      <c r="AI32">
        <v>0.23435062190242334</v>
      </c>
      <c r="AJ32">
        <v>0.39058436983737227</v>
      </c>
      <c r="AK32">
        <v>0.22193076503454354</v>
      </c>
      <c r="AL32">
        <v>0.36988460839090592</v>
      </c>
      <c r="AM32">
        <v>0.23028975008480376</v>
      </c>
      <c r="AN32">
        <v>0.38381625014133963</v>
      </c>
      <c r="AO32">
        <v>0.29526404548059626</v>
      </c>
      <c r="AP32">
        <v>0.49210674246766045</v>
      </c>
      <c r="AQ32">
        <v>0.26043050688863367</v>
      </c>
      <c r="AR32">
        <v>0.43405084481438949</v>
      </c>
    </row>
    <row r="33" spans="1:44" x14ac:dyDescent="0.3">
      <c r="A33" t="s">
        <v>10</v>
      </c>
      <c r="B33">
        <v>12</v>
      </c>
      <c r="C33">
        <v>4</v>
      </c>
      <c r="D33">
        <v>79.3</v>
      </c>
      <c r="E33">
        <v>2.6933292113182881</v>
      </c>
      <c r="F33">
        <v>20</v>
      </c>
      <c r="G33">
        <v>38</v>
      </c>
      <c r="H33">
        <v>1.3593984962406014E-2</v>
      </c>
      <c r="I33">
        <v>300.43295624924116</v>
      </c>
      <c r="J33">
        <v>0.36758862709534734</v>
      </c>
      <c r="K33">
        <v>216.14137246489236</v>
      </c>
      <c r="L33">
        <v>220.98184588636727</v>
      </c>
      <c r="M33">
        <v>0.36</v>
      </c>
      <c r="N33">
        <v>0.24349237783033942</v>
      </c>
      <c r="O33">
        <v>0.67636771619538727</v>
      </c>
      <c r="P33">
        <v>0.23427704146427794</v>
      </c>
      <c r="Q33">
        <v>0.65076955962299432</v>
      </c>
      <c r="R33">
        <v>0.19654297410838076</v>
      </c>
      <c r="S33">
        <v>0.54595270585661326</v>
      </c>
      <c r="T33">
        <v>0.22346339002485893</v>
      </c>
      <c r="U33">
        <v>0.22693428965131127</v>
      </c>
      <c r="V33">
        <v>0.62073163895794148</v>
      </c>
      <c r="W33">
        <v>0.19901621546256626</v>
      </c>
      <c r="X33">
        <v>0.55282282072935074</v>
      </c>
      <c r="Y33">
        <v>0.3337054313895168</v>
      </c>
      <c r="Z33">
        <v>0.92695953163754674</v>
      </c>
      <c r="AA33">
        <v>0.24008937879822945</v>
      </c>
      <c r="AB33">
        <v>0.66691494110619298</v>
      </c>
      <c r="AC33">
        <v>0.15276891917136376</v>
      </c>
      <c r="AD33">
        <v>0.42435810880934377</v>
      </c>
      <c r="AE33">
        <v>0.25002482779531143</v>
      </c>
      <c r="AF33">
        <v>0.69451341054253179</v>
      </c>
      <c r="AG33">
        <v>0.23257512149335927</v>
      </c>
      <c r="AH33">
        <v>0.64604200414822022</v>
      </c>
      <c r="AI33">
        <v>0.30679018134795721</v>
      </c>
      <c r="AJ33">
        <v>0.85219494818877006</v>
      </c>
      <c r="AK33">
        <v>0.3273078171725885</v>
      </c>
      <c r="AL33">
        <v>0.90918838103496813</v>
      </c>
      <c r="AM33">
        <v>0.32065859512371525</v>
      </c>
      <c r="AN33">
        <v>0.8907183197880979</v>
      </c>
      <c r="AO33">
        <v>0.26288151835045453</v>
      </c>
      <c r="AP33">
        <v>0.73022643986237379</v>
      </c>
      <c r="AQ33">
        <v>0.23997255102544821</v>
      </c>
      <c r="AR33">
        <v>0.66659041951513398</v>
      </c>
    </row>
    <row r="34" spans="1:44" x14ac:dyDescent="0.3">
      <c r="B34">
        <v>12</v>
      </c>
      <c r="C34">
        <v>4</v>
      </c>
      <c r="D34">
        <v>79.3</v>
      </c>
      <c r="E34">
        <v>2.6933292113182881</v>
      </c>
      <c r="F34">
        <v>20</v>
      </c>
      <c r="G34">
        <v>38</v>
      </c>
      <c r="H34">
        <v>1.3593984962406014E-2</v>
      </c>
      <c r="I34">
        <v>386.27094374902435</v>
      </c>
      <c r="J34">
        <v>0.18689966340830377</v>
      </c>
      <c r="K34">
        <v>216.14137246489236</v>
      </c>
      <c r="L34">
        <v>345.87419398672716</v>
      </c>
      <c r="M34">
        <v>0.43</v>
      </c>
      <c r="N34">
        <v>0.3659001333084595</v>
      </c>
      <c r="O34">
        <v>0.85093054257781275</v>
      </c>
      <c r="P34">
        <v>0.3546996371558378</v>
      </c>
      <c r="Q34">
        <v>0.82488287710659958</v>
      </c>
      <c r="R34">
        <v>0.27976402135554856</v>
      </c>
      <c r="S34">
        <v>0.65061400315243856</v>
      </c>
      <c r="T34">
        <v>0.28731007288910421</v>
      </c>
      <c r="U34">
        <v>0.37513627472971839</v>
      </c>
      <c r="V34">
        <v>0.6681629602072191</v>
      </c>
      <c r="W34">
        <v>0.29782409498510426</v>
      </c>
      <c r="X34">
        <v>0.69261417438396344</v>
      </c>
      <c r="Y34">
        <v>0.48294476870789843</v>
      </c>
      <c r="Z34">
        <v>1.1231273690881358</v>
      </c>
      <c r="AA34">
        <v>0.30868634416915214</v>
      </c>
      <c r="AB34">
        <v>0.7178752189980282</v>
      </c>
      <c r="AC34">
        <v>0.20312113558454717</v>
      </c>
      <c r="AD34">
        <v>0.47237473391755158</v>
      </c>
      <c r="AE34">
        <v>0.33594505364732091</v>
      </c>
      <c r="AF34">
        <v>0.78126756662167651</v>
      </c>
      <c r="AG34">
        <v>0.2990251562057476</v>
      </c>
      <c r="AH34">
        <v>0.69540734001336657</v>
      </c>
      <c r="AI34">
        <v>0.48358834909317427</v>
      </c>
      <c r="AJ34">
        <v>1.1246240676585448</v>
      </c>
      <c r="AK34">
        <v>0.43883311744450548</v>
      </c>
      <c r="AL34">
        <v>1.0205421335918732</v>
      </c>
      <c r="AM34">
        <v>0.47038078475339246</v>
      </c>
      <c r="AN34">
        <v>1.0939088017520755</v>
      </c>
      <c r="AO34">
        <v>0.40583383496534209</v>
      </c>
      <c r="AP34">
        <v>0.94379961619846997</v>
      </c>
      <c r="AQ34">
        <v>0.38075489147888314</v>
      </c>
      <c r="AR34">
        <v>0.88547649181135613</v>
      </c>
    </row>
    <row r="35" spans="1:44" x14ac:dyDescent="0.3">
      <c r="B35">
        <v>12</v>
      </c>
      <c r="C35">
        <v>4</v>
      </c>
      <c r="D35">
        <v>79.3</v>
      </c>
      <c r="E35">
        <v>2.6933292113182881</v>
      </c>
      <c r="F35">
        <v>20</v>
      </c>
      <c r="G35">
        <v>38</v>
      </c>
      <c r="H35">
        <v>1.3593984962406014E-2</v>
      </c>
      <c r="I35">
        <v>500</v>
      </c>
      <c r="J35">
        <v>0</v>
      </c>
      <c r="K35">
        <v>216.14137246489236</v>
      </c>
      <c r="L35">
        <v>500</v>
      </c>
      <c r="M35">
        <v>0.56000000000000005</v>
      </c>
      <c r="N35">
        <v>0.52808145784570992</v>
      </c>
      <c r="O35">
        <v>0.94300260329591046</v>
      </c>
      <c r="P35">
        <v>0.51425077014725951</v>
      </c>
      <c r="Q35">
        <v>0.91830494669153473</v>
      </c>
      <c r="R35">
        <v>0.40376643461255818</v>
      </c>
      <c r="S35">
        <v>0.72101149037956813</v>
      </c>
      <c r="T35">
        <v>0.36155268598849877</v>
      </c>
      <c r="U35">
        <v>0.59406031512087509</v>
      </c>
      <c r="V35">
        <v>0.64562979640803342</v>
      </c>
      <c r="W35">
        <v>0.42873730970005475</v>
      </c>
      <c r="X35">
        <v>0.76560233875009764</v>
      </c>
      <c r="Y35">
        <v>0.66820683177461015</v>
      </c>
      <c r="Z35">
        <v>1.1932264853118038</v>
      </c>
      <c r="AA35">
        <v>0.39957230690605344</v>
      </c>
      <c r="AB35">
        <v>0.71352197661795247</v>
      </c>
      <c r="AC35">
        <v>0.26983414015994794</v>
      </c>
      <c r="AD35">
        <v>0.48184667885704985</v>
      </c>
      <c r="AE35">
        <v>0.44978306970104531</v>
      </c>
      <c r="AF35">
        <v>0.80318405303758089</v>
      </c>
      <c r="AG35">
        <v>0.38706659282148359</v>
      </c>
      <c r="AH35">
        <v>0.69119034432407778</v>
      </c>
      <c r="AI35">
        <v>0.70145281360344103</v>
      </c>
      <c r="AJ35">
        <v>1.2525943100061445</v>
      </c>
      <c r="AK35">
        <v>0.51425077014725951</v>
      </c>
      <c r="AL35">
        <v>0.91830494669153473</v>
      </c>
      <c r="AM35">
        <v>0.65607272500259295</v>
      </c>
      <c r="AN35">
        <v>1.1715584375046302</v>
      </c>
      <c r="AO35">
        <v>0.60342015848059005</v>
      </c>
      <c r="AP35">
        <v>1.0775359972867677</v>
      </c>
      <c r="AQ35">
        <v>0.5801040136957254</v>
      </c>
      <c r="AR35">
        <v>1.0359000244566523</v>
      </c>
    </row>
    <row r="36" spans="1:44" x14ac:dyDescent="0.3">
      <c r="B36">
        <v>12</v>
      </c>
      <c r="C36">
        <v>4</v>
      </c>
      <c r="D36">
        <v>79.3</v>
      </c>
      <c r="E36">
        <v>2.6933292113182881</v>
      </c>
      <c r="F36">
        <v>20</v>
      </c>
      <c r="G36">
        <v>38</v>
      </c>
      <c r="H36">
        <v>1.3593984962406014E-2</v>
      </c>
      <c r="I36">
        <v>500</v>
      </c>
      <c r="J36">
        <v>0</v>
      </c>
      <c r="K36">
        <v>216.14137246489236</v>
      </c>
      <c r="L36">
        <v>500</v>
      </c>
      <c r="M36">
        <v>0.71</v>
      </c>
      <c r="N36">
        <v>0.52808145784570992</v>
      </c>
      <c r="O36">
        <v>0.74377670119114081</v>
      </c>
      <c r="P36">
        <v>0.51425077014725951</v>
      </c>
      <c r="Q36">
        <v>0.72429685936233734</v>
      </c>
      <c r="R36">
        <v>0.40376643461255818</v>
      </c>
      <c r="S36">
        <v>0.56868511917261721</v>
      </c>
      <c r="T36">
        <v>0.36155268598849877</v>
      </c>
      <c r="U36">
        <v>0.59406031512087509</v>
      </c>
      <c r="V36">
        <v>0.50922913519506874</v>
      </c>
      <c r="W36">
        <v>0.42873730970005475</v>
      </c>
      <c r="X36">
        <v>0.60385536577472498</v>
      </c>
      <c r="Y36">
        <v>0.66820683177461015</v>
      </c>
      <c r="Z36">
        <v>0.94113638278114109</v>
      </c>
      <c r="AA36">
        <v>0.39957230690605344</v>
      </c>
      <c r="AB36">
        <v>0.56277789705077952</v>
      </c>
      <c r="AC36">
        <v>0.26983414015994794</v>
      </c>
      <c r="AD36">
        <v>0.38004808473232105</v>
      </c>
      <c r="AE36">
        <v>0.44978306970104531</v>
      </c>
      <c r="AF36">
        <v>0.63349728126907789</v>
      </c>
      <c r="AG36">
        <v>0.38706659282148359</v>
      </c>
      <c r="AH36">
        <v>0.54516421524152625</v>
      </c>
      <c r="AI36">
        <v>0.70145281360344103</v>
      </c>
      <c r="AJ36">
        <v>0.98796170930062122</v>
      </c>
      <c r="AK36">
        <v>0.51425077014725951</v>
      </c>
      <c r="AL36">
        <v>0.72429685936233734</v>
      </c>
      <c r="AM36">
        <v>0.65607272500259295</v>
      </c>
      <c r="AN36">
        <v>0.92404609155294781</v>
      </c>
      <c r="AO36">
        <v>0.60342015848059005</v>
      </c>
      <c r="AP36">
        <v>0.84988754715576065</v>
      </c>
      <c r="AQ36">
        <v>0.5801040136957254</v>
      </c>
      <c r="AR36">
        <v>0.81704790661369775</v>
      </c>
    </row>
    <row r="37" spans="1:44" x14ac:dyDescent="0.3">
      <c r="B37">
        <v>12</v>
      </c>
      <c r="C37">
        <v>4</v>
      </c>
      <c r="D37">
        <v>79.3</v>
      </c>
      <c r="E37">
        <v>2.6933292113182881</v>
      </c>
      <c r="F37">
        <v>20</v>
      </c>
      <c r="G37">
        <v>38</v>
      </c>
      <c r="H37">
        <v>1.3593984962406014E-2</v>
      </c>
      <c r="I37">
        <v>500</v>
      </c>
      <c r="J37">
        <v>0</v>
      </c>
      <c r="K37">
        <v>216.14137246489236</v>
      </c>
      <c r="L37">
        <v>500</v>
      </c>
      <c r="M37">
        <v>0.79</v>
      </c>
      <c r="N37">
        <v>0.52808145784570992</v>
      </c>
      <c r="O37">
        <v>0.668457541576848</v>
      </c>
      <c r="P37">
        <v>0.51425077014725951</v>
      </c>
      <c r="Q37">
        <v>0.65095034195855628</v>
      </c>
      <c r="R37">
        <v>0.40376643461255818</v>
      </c>
      <c r="S37">
        <v>0.51109675267412424</v>
      </c>
      <c r="T37">
        <v>0.36155268598849877</v>
      </c>
      <c r="U37">
        <v>0.59406031512087509</v>
      </c>
      <c r="V37">
        <v>0.45766162783354275</v>
      </c>
      <c r="W37">
        <v>0.42873730970005475</v>
      </c>
      <c r="X37">
        <v>0.54270545531652492</v>
      </c>
      <c r="Y37">
        <v>0.66820683177461015</v>
      </c>
      <c r="Z37">
        <v>0.84583143262608873</v>
      </c>
      <c r="AA37">
        <v>0.39957230690605344</v>
      </c>
      <c r="AB37">
        <v>0.50578773026082713</v>
      </c>
      <c r="AC37">
        <v>0.26983414015994794</v>
      </c>
      <c r="AD37">
        <v>0.34156220273411131</v>
      </c>
      <c r="AE37">
        <v>0.44978306970104531</v>
      </c>
      <c r="AF37">
        <v>0.56934565784942437</v>
      </c>
      <c r="AG37">
        <v>0.38706659282148359</v>
      </c>
      <c r="AH37">
        <v>0.48995771243225766</v>
      </c>
      <c r="AI37">
        <v>0.70145281360344103</v>
      </c>
      <c r="AJ37">
        <v>0.88791495392840636</v>
      </c>
      <c r="AK37">
        <v>0.51425077014725951</v>
      </c>
      <c r="AL37">
        <v>0.65095034195855628</v>
      </c>
      <c r="AM37">
        <v>0.65607272500259295</v>
      </c>
      <c r="AN37">
        <v>0.83047180380075059</v>
      </c>
      <c r="AO37">
        <v>0.60342015848059005</v>
      </c>
      <c r="AP37">
        <v>0.76382298541846838</v>
      </c>
      <c r="AQ37">
        <v>0.5801040136957254</v>
      </c>
      <c r="AR37">
        <v>0.73430887809585488</v>
      </c>
    </row>
    <row r="38" spans="1:44" x14ac:dyDescent="0.3">
      <c r="A38" t="s">
        <v>11</v>
      </c>
      <c r="B38">
        <v>25</v>
      </c>
      <c r="C38">
        <v>4</v>
      </c>
      <c r="D38">
        <v>62</v>
      </c>
      <c r="E38">
        <v>2.6933292113182881</v>
      </c>
      <c r="F38">
        <v>20</v>
      </c>
      <c r="G38">
        <v>44.5</v>
      </c>
      <c r="H38">
        <v>5.4467051199458924E-2</v>
      </c>
      <c r="I38">
        <v>106.51265522599461</v>
      </c>
      <c r="J38">
        <v>0.6</v>
      </c>
      <c r="K38">
        <v>67.463611650618674</v>
      </c>
      <c r="L38">
        <v>66.0344882356234</v>
      </c>
      <c r="M38">
        <v>0.2</v>
      </c>
      <c r="N38">
        <v>5.5303249925340386E-2</v>
      </c>
      <c r="O38">
        <v>0.2765162496267019</v>
      </c>
      <c r="P38">
        <v>5.2197084757393944E-2</v>
      </c>
      <c r="Q38">
        <v>0.26098542378696971</v>
      </c>
      <c r="R38">
        <v>4.8214693594379979E-2</v>
      </c>
      <c r="S38">
        <v>0.24107346797189988</v>
      </c>
      <c r="T38">
        <v>8.9930527918053185E-2</v>
      </c>
      <c r="U38">
        <v>6.1700380095881441E-2</v>
      </c>
      <c r="V38">
        <v>0.30850190047940718</v>
      </c>
      <c r="W38">
        <v>4.8609340041895432E-2</v>
      </c>
      <c r="X38">
        <v>0.24304670020947716</v>
      </c>
      <c r="Y38">
        <v>8.3832598715237724E-2</v>
      </c>
      <c r="Z38">
        <v>0.41916299357618858</v>
      </c>
      <c r="AA38">
        <v>7.9566101885106238E-2</v>
      </c>
      <c r="AB38">
        <v>0.39783050942553116</v>
      </c>
      <c r="AC38">
        <v>5.0669934384026352E-2</v>
      </c>
      <c r="AD38">
        <v>0.25334967192013175</v>
      </c>
      <c r="AE38">
        <v>9.0550252029073575E-2</v>
      </c>
      <c r="AF38">
        <v>0.45275126014536787</v>
      </c>
      <c r="AG38">
        <v>9.6138093546599732E-2</v>
      </c>
      <c r="AH38">
        <v>0.48069046773299862</v>
      </c>
      <c r="AI38">
        <v>5.2197084757393944E-2</v>
      </c>
      <c r="AJ38">
        <v>0.26098542378696971</v>
      </c>
      <c r="AK38">
        <v>8.9892441364921596E-2</v>
      </c>
      <c r="AL38">
        <v>0.44946220682460797</v>
      </c>
      <c r="AM38">
        <v>5.2197084757393944E-2</v>
      </c>
      <c r="AN38">
        <v>0.26098542378696971</v>
      </c>
      <c r="AO38">
        <v>7.180042262144648E-2</v>
      </c>
      <c r="AP38">
        <v>0.3590021131072324</v>
      </c>
      <c r="AQ38">
        <v>5.1614247318551951E-2</v>
      </c>
      <c r="AR38">
        <v>0.25807123659275971</v>
      </c>
    </row>
    <row r="39" spans="1:44" x14ac:dyDescent="0.3">
      <c r="B39">
        <v>25</v>
      </c>
      <c r="C39">
        <v>4</v>
      </c>
      <c r="D39">
        <v>62</v>
      </c>
      <c r="E39">
        <v>2.6933292113182881</v>
      </c>
      <c r="F39">
        <v>20</v>
      </c>
      <c r="G39">
        <v>44.5</v>
      </c>
      <c r="H39">
        <v>5.4467051199458924E-2</v>
      </c>
      <c r="I39">
        <v>191.72277940679027</v>
      </c>
      <c r="J39">
        <v>0.59642354934870645</v>
      </c>
      <c r="K39">
        <v>67.463611650618674</v>
      </c>
      <c r="L39">
        <v>151.48589269424554</v>
      </c>
      <c r="M39">
        <v>0.25</v>
      </c>
      <c r="N39">
        <v>0.12666591085677853</v>
      </c>
      <c r="O39">
        <v>0.50666364342711412</v>
      </c>
      <c r="P39">
        <v>0.13966391626237357</v>
      </c>
      <c r="Q39">
        <v>0.55865566504949427</v>
      </c>
      <c r="R39">
        <v>0.11043036510616128</v>
      </c>
      <c r="S39">
        <v>0.44172146042464511</v>
      </c>
      <c r="T39">
        <v>0.16187495025249571</v>
      </c>
      <c r="U39">
        <v>0.19990923151065582</v>
      </c>
      <c r="V39">
        <v>0.64749980100998283</v>
      </c>
      <c r="W39">
        <v>0.10368191451004474</v>
      </c>
      <c r="X39">
        <v>0.41472765804017897</v>
      </c>
      <c r="Y39">
        <v>0.2253791512938107</v>
      </c>
      <c r="Z39">
        <v>0.90151660517524279</v>
      </c>
      <c r="AA39">
        <v>0.14321898339319122</v>
      </c>
      <c r="AB39">
        <v>0.57287593357276489</v>
      </c>
      <c r="AC39">
        <v>0.11558376749481522</v>
      </c>
      <c r="AD39">
        <v>0.46233506997926088</v>
      </c>
      <c r="AE39">
        <v>0.18242574020856681</v>
      </c>
      <c r="AF39">
        <v>0.72970296083426722</v>
      </c>
      <c r="AG39">
        <v>0.1730485683838795</v>
      </c>
      <c r="AH39">
        <v>0.69219427353551799</v>
      </c>
      <c r="AI39">
        <v>0.14000449244629359</v>
      </c>
      <c r="AJ39">
        <v>0.56001796978517437</v>
      </c>
      <c r="AK39">
        <v>0.16946134941544155</v>
      </c>
      <c r="AL39">
        <v>0.67784539766176621</v>
      </c>
      <c r="AM39">
        <v>0.1492668016614096</v>
      </c>
      <c r="AN39">
        <v>0.59706720664563839</v>
      </c>
      <c r="AO39">
        <v>0.21108392229361886</v>
      </c>
      <c r="AP39">
        <v>0.84433568917447543</v>
      </c>
      <c r="AQ39">
        <v>0.15719250234058724</v>
      </c>
      <c r="AR39">
        <v>0.62877000936234895</v>
      </c>
    </row>
    <row r="40" spans="1:44" x14ac:dyDescent="0.3">
      <c r="B40">
        <v>25</v>
      </c>
      <c r="C40">
        <v>4</v>
      </c>
      <c r="D40">
        <v>62</v>
      </c>
      <c r="E40">
        <v>2.6933292113182881</v>
      </c>
      <c r="F40">
        <v>20</v>
      </c>
      <c r="G40">
        <v>44.5</v>
      </c>
      <c r="H40">
        <v>5.4467051199458924E-2</v>
      </c>
      <c r="I40">
        <v>276.93290358758594</v>
      </c>
      <c r="J40">
        <v>0.41705623794813163</v>
      </c>
      <c r="K40">
        <v>67.463611650618674</v>
      </c>
      <c r="L40">
        <v>248.79678351418517</v>
      </c>
      <c r="M40">
        <v>0.36</v>
      </c>
      <c r="N40">
        <v>0.19802857178821667</v>
      </c>
      <c r="O40">
        <v>0.55007936607837971</v>
      </c>
      <c r="P40">
        <v>0.22713074776735323</v>
      </c>
      <c r="Q40">
        <v>0.63091874379820345</v>
      </c>
      <c r="R40">
        <v>0.17264603661794256</v>
      </c>
      <c r="S40">
        <v>0.47957232393872934</v>
      </c>
      <c r="T40">
        <v>0.23381937258693825</v>
      </c>
      <c r="U40">
        <v>0.41709456944815854</v>
      </c>
      <c r="V40">
        <v>0.64949825718593956</v>
      </c>
      <c r="W40">
        <v>0.15875448897819405</v>
      </c>
      <c r="X40">
        <v>0.4409846916060946</v>
      </c>
      <c r="Y40">
        <v>0.35055636901383791</v>
      </c>
      <c r="Z40">
        <v>0.97376769170510535</v>
      </c>
      <c r="AA40">
        <v>0.20687186490127621</v>
      </c>
      <c r="AB40">
        <v>0.57464406917021171</v>
      </c>
      <c r="AC40">
        <v>0.18049760060560405</v>
      </c>
      <c r="AD40">
        <v>0.50138222390445575</v>
      </c>
      <c r="AE40">
        <v>0.27430122838806004</v>
      </c>
      <c r="AF40">
        <v>0.76194785663350018</v>
      </c>
      <c r="AG40">
        <v>0.24995904322115928</v>
      </c>
      <c r="AH40">
        <v>0.69433067561433137</v>
      </c>
      <c r="AI40">
        <v>0.24455201103266899</v>
      </c>
      <c r="AJ40">
        <v>0.67931114175741392</v>
      </c>
      <c r="AK40">
        <v>0.25285237956224266</v>
      </c>
      <c r="AL40">
        <v>0.70236772100622968</v>
      </c>
      <c r="AM40">
        <v>0.2504626430470539</v>
      </c>
      <c r="AN40">
        <v>0.69572956401959418</v>
      </c>
      <c r="AO40">
        <v>0.37412457671013</v>
      </c>
      <c r="AP40">
        <v>1.0392349353059167</v>
      </c>
      <c r="AQ40">
        <v>0.27928426266762635</v>
      </c>
      <c r="AR40">
        <v>0.77578961852118433</v>
      </c>
    </row>
    <row r="41" spans="1:44" x14ac:dyDescent="0.3">
      <c r="B41">
        <v>25</v>
      </c>
      <c r="C41">
        <v>4</v>
      </c>
      <c r="D41">
        <v>62</v>
      </c>
      <c r="E41">
        <v>2.6933292113182881</v>
      </c>
      <c r="F41">
        <v>20</v>
      </c>
      <c r="G41">
        <v>44.5</v>
      </c>
      <c r="H41">
        <v>5.4467051199458924E-2</v>
      </c>
      <c r="I41">
        <v>362.14302776838161</v>
      </c>
      <c r="J41">
        <v>0.2376889265475568</v>
      </c>
      <c r="K41">
        <v>67.463611650618674</v>
      </c>
      <c r="L41">
        <v>346.10767433412479</v>
      </c>
      <c r="M41">
        <v>0.47</v>
      </c>
      <c r="N41">
        <v>0.26939123271965482</v>
      </c>
      <c r="O41">
        <v>0.57317283557373366</v>
      </c>
      <c r="P41">
        <v>0.31459757927233289</v>
      </c>
      <c r="Q41">
        <v>0.66935655164326147</v>
      </c>
      <c r="R41">
        <v>0.23486170812972385</v>
      </c>
      <c r="S41">
        <v>0.49970576197813588</v>
      </c>
      <c r="T41">
        <v>0.30576379492138084</v>
      </c>
      <c r="U41">
        <v>0.71325639390838957</v>
      </c>
      <c r="V41">
        <v>0.65056126579017204</v>
      </c>
      <c r="W41">
        <v>0.21382706344634334</v>
      </c>
      <c r="X41">
        <v>0.45495119882200713</v>
      </c>
      <c r="Y41">
        <v>0.47091907648135173</v>
      </c>
      <c r="Z41">
        <v>1.0019554818752165</v>
      </c>
      <c r="AA41">
        <v>0.27052474640936119</v>
      </c>
      <c r="AB41">
        <v>0.57558456682842807</v>
      </c>
      <c r="AC41">
        <v>0.24541143371639296</v>
      </c>
      <c r="AD41">
        <v>0.52215198663062334</v>
      </c>
      <c r="AE41">
        <v>0.36617671656755335</v>
      </c>
      <c r="AF41">
        <v>0.77909939695224117</v>
      </c>
      <c r="AG41">
        <v>0.32686951805843906</v>
      </c>
      <c r="AH41">
        <v>0.69546705969880651</v>
      </c>
      <c r="AI41">
        <v>0.34909952961904439</v>
      </c>
      <c r="AJ41">
        <v>0.74276495663626474</v>
      </c>
      <c r="AK41">
        <v>0.33770206410561732</v>
      </c>
      <c r="AL41">
        <v>0.71851503001195183</v>
      </c>
      <c r="AM41">
        <v>0.34769316654520682</v>
      </c>
      <c r="AN41">
        <v>0.73977269477703589</v>
      </c>
      <c r="AO41">
        <v>0.56092238587097998</v>
      </c>
      <c r="AP41">
        <v>1.1934518848318723</v>
      </c>
      <c r="AQ41">
        <v>0.4178895282996693</v>
      </c>
      <c r="AR41">
        <v>0.88912665595674323</v>
      </c>
    </row>
    <row r="42" spans="1:44" x14ac:dyDescent="0.3">
      <c r="B42">
        <v>25</v>
      </c>
      <c r="C42">
        <v>4</v>
      </c>
      <c r="D42">
        <v>62</v>
      </c>
      <c r="E42">
        <v>2.6933292113182881</v>
      </c>
      <c r="F42">
        <v>20</v>
      </c>
      <c r="G42">
        <v>44.5</v>
      </c>
      <c r="H42">
        <v>5.4467051199458924E-2</v>
      </c>
      <c r="I42">
        <v>426.05062090397843</v>
      </c>
      <c r="J42">
        <v>0.10316344299712543</v>
      </c>
      <c r="K42">
        <v>67.463611650618674</v>
      </c>
      <c r="L42">
        <v>419.09084244907962</v>
      </c>
      <c r="M42">
        <v>0.56999999999999995</v>
      </c>
      <c r="N42">
        <v>0.32291322841823344</v>
      </c>
      <c r="O42">
        <v>0.56651443582146221</v>
      </c>
      <c r="P42">
        <v>0.38019770290106769</v>
      </c>
      <c r="Q42">
        <v>0.6670135138615223</v>
      </c>
      <c r="R42">
        <v>0.28152346176355986</v>
      </c>
      <c r="S42">
        <v>0.49390081011150855</v>
      </c>
      <c r="T42">
        <v>0.35972211167221274</v>
      </c>
      <c r="U42">
        <v>0.98720608153410305</v>
      </c>
      <c r="V42">
        <v>0.63109142398633822</v>
      </c>
      <c r="W42">
        <v>0.25513149429745535</v>
      </c>
      <c r="X42">
        <v>0.44759911280255327</v>
      </c>
      <c r="Y42">
        <v>0.55976932202304186</v>
      </c>
      <c r="Z42">
        <v>0.98205144214568751</v>
      </c>
      <c r="AA42">
        <v>0.31826440754042495</v>
      </c>
      <c r="AB42">
        <v>0.55835860972004381</v>
      </c>
      <c r="AC42">
        <v>0.29409680854948467</v>
      </c>
      <c r="AD42">
        <v>0.51595931324471001</v>
      </c>
      <c r="AE42">
        <v>0.43508333270217331</v>
      </c>
      <c r="AF42">
        <v>0.76330409245995323</v>
      </c>
      <c r="AG42">
        <v>0.38455237418639893</v>
      </c>
      <c r="AH42">
        <v>0.67465328804631397</v>
      </c>
      <c r="AI42">
        <v>0.42751016855882606</v>
      </c>
      <c r="AJ42">
        <v>0.75001783957688795</v>
      </c>
      <c r="AK42">
        <v>0.40184799996411458</v>
      </c>
      <c r="AL42">
        <v>0.70499649116511331</v>
      </c>
      <c r="AM42">
        <v>0.41871623271781827</v>
      </c>
      <c r="AN42">
        <v>0.73458988196108477</v>
      </c>
      <c r="AO42">
        <v>0.7166113755425898</v>
      </c>
      <c r="AP42">
        <v>1.2572129395484033</v>
      </c>
      <c r="AQ42">
        <v>0.53591046017867638</v>
      </c>
      <c r="AR42">
        <v>0.94019378978715162</v>
      </c>
    </row>
    <row r="43" spans="1:44" x14ac:dyDescent="0.3">
      <c r="B43">
        <v>25</v>
      </c>
      <c r="C43">
        <v>4</v>
      </c>
      <c r="D43">
        <v>62</v>
      </c>
      <c r="E43">
        <v>2.6933292113182881</v>
      </c>
      <c r="F43">
        <v>20</v>
      </c>
      <c r="G43">
        <v>44.5</v>
      </c>
      <c r="H43">
        <v>5.4467051199458924E-2</v>
      </c>
      <c r="I43">
        <v>500</v>
      </c>
      <c r="J43">
        <v>0</v>
      </c>
      <c r="K43">
        <v>67.463611650618674</v>
      </c>
      <c r="L43">
        <v>500</v>
      </c>
      <c r="M43">
        <v>0.78</v>
      </c>
      <c r="N43">
        <v>0.3848451234513019</v>
      </c>
      <c r="O43">
        <v>0.49339118391192549</v>
      </c>
      <c r="P43">
        <v>0.45610555943189235</v>
      </c>
      <c r="Q43">
        <v>0.58475071722037475</v>
      </c>
      <c r="R43">
        <v>0.33551716641509205</v>
      </c>
      <c r="S43">
        <v>0.43015021335268211</v>
      </c>
      <c r="T43">
        <v>0.40277070489560068</v>
      </c>
      <c r="U43">
        <v>1.2376256565018231</v>
      </c>
      <c r="V43">
        <v>0.5163726985841034</v>
      </c>
      <c r="W43">
        <v>0.30292608122351122</v>
      </c>
      <c r="X43">
        <v>0.38836677079937337</v>
      </c>
      <c r="Y43">
        <v>0.66173818367432125</v>
      </c>
      <c r="Z43">
        <v>0.84838228676195027</v>
      </c>
      <c r="AA43">
        <v>0.37350539105557851</v>
      </c>
      <c r="AB43">
        <v>0.47885306545586986</v>
      </c>
      <c r="AC43">
        <v>0.35043210555128729</v>
      </c>
      <c r="AD43">
        <v>0.44927193019395806</v>
      </c>
      <c r="AE43">
        <v>0.51481723017428416</v>
      </c>
      <c r="AF43">
        <v>0.66002208996703093</v>
      </c>
      <c r="AG43">
        <v>0.45129892472691385</v>
      </c>
      <c r="AH43">
        <v>0.57858836503450495</v>
      </c>
      <c r="AI43">
        <v>0.51324201405572301</v>
      </c>
      <c r="AJ43">
        <v>0.65800258212272178</v>
      </c>
      <c r="AK43">
        <v>0.45610555943189235</v>
      </c>
      <c r="AL43">
        <v>0.58475071722037475</v>
      </c>
      <c r="AM43">
        <v>0.49939143141625153</v>
      </c>
      <c r="AN43">
        <v>0.64024542489263014</v>
      </c>
      <c r="AO43">
        <v>0.9134417928660733</v>
      </c>
      <c r="AP43">
        <v>1.1710792216231709</v>
      </c>
      <c r="AQ43">
        <v>0.67681373390693611</v>
      </c>
      <c r="AR43">
        <v>0.86770991526530272</v>
      </c>
    </row>
    <row r="44" spans="1:44" x14ac:dyDescent="0.3">
      <c r="A44" t="s">
        <v>12</v>
      </c>
      <c r="B44">
        <v>12</v>
      </c>
      <c r="C44">
        <v>4</v>
      </c>
      <c r="D44">
        <v>79.3</v>
      </c>
      <c r="E44">
        <v>2.6933292113182881</v>
      </c>
      <c r="F44">
        <v>20</v>
      </c>
      <c r="G44">
        <v>34</v>
      </c>
      <c r="H44">
        <v>1.5193277310924369E-2</v>
      </c>
      <c r="I44">
        <v>212.47112712608967</v>
      </c>
      <c r="J44">
        <v>0.55274827739958132</v>
      </c>
      <c r="K44">
        <v>195.28594715601179</v>
      </c>
      <c r="L44">
        <v>104.52715623525849</v>
      </c>
      <c r="M44">
        <v>0.21</v>
      </c>
      <c r="N44">
        <v>0.12360127884858937</v>
      </c>
      <c r="O44">
        <v>0.58857751832661609</v>
      </c>
      <c r="P44">
        <v>0.11503882209236421</v>
      </c>
      <c r="Q44">
        <v>0.54780391472554391</v>
      </c>
      <c r="R44">
        <v>0.12892954824311861</v>
      </c>
      <c r="S44">
        <v>0.61395022972913627</v>
      </c>
      <c r="T44">
        <v>0.15801973878160064</v>
      </c>
      <c r="U44">
        <v>0.11347757222863582</v>
      </c>
      <c r="V44">
        <v>0.54036939156493247</v>
      </c>
      <c r="W44">
        <v>8.6228565519798558E-2</v>
      </c>
      <c r="X44">
        <v>0.41061221676094556</v>
      </c>
      <c r="Y44">
        <v>0.16100885507073884</v>
      </c>
      <c r="Z44">
        <v>0.76670883367018494</v>
      </c>
      <c r="AA44">
        <v>0.15243660190670674</v>
      </c>
      <c r="AB44">
        <v>0.72588858050812732</v>
      </c>
      <c r="AC44">
        <v>9.9175733004992439E-2</v>
      </c>
      <c r="AD44">
        <v>0.47226539526186878</v>
      </c>
      <c r="AE44">
        <v>0.154734444957662</v>
      </c>
      <c r="AF44">
        <v>0.73683069027458103</v>
      </c>
      <c r="AG44">
        <v>0.15094459465291232</v>
      </c>
      <c r="AH44">
        <v>0.71878378406148724</v>
      </c>
      <c r="AI44">
        <v>0.12862827836683247</v>
      </c>
      <c r="AJ44">
        <v>0.61251561127063081</v>
      </c>
      <c r="AK44">
        <v>0.212644348091411</v>
      </c>
      <c r="AL44">
        <v>1.0125921337686239</v>
      </c>
      <c r="AM44">
        <v>0.15547380427579349</v>
      </c>
      <c r="AN44">
        <v>0.74035144893234994</v>
      </c>
      <c r="AO44">
        <v>0.12691956329147039</v>
      </c>
      <c r="AP44">
        <v>0.60437887281652569</v>
      </c>
      <c r="AQ44">
        <v>0.10971446668410485</v>
      </c>
      <c r="AR44">
        <v>0.52244984135288031</v>
      </c>
    </row>
    <row r="45" spans="1:44" x14ac:dyDescent="0.3">
      <c r="B45">
        <v>12</v>
      </c>
      <c r="C45">
        <v>4</v>
      </c>
      <c r="D45">
        <v>79.3</v>
      </c>
      <c r="E45">
        <v>2.6933292113182881</v>
      </c>
      <c r="F45">
        <v>20</v>
      </c>
      <c r="G45">
        <v>34</v>
      </c>
      <c r="H45">
        <v>1.5193277310924369E-2</v>
      </c>
      <c r="I45">
        <v>254.96535255130757</v>
      </c>
      <c r="J45">
        <v>0.4632979328794975</v>
      </c>
      <c r="K45">
        <v>195.28594715601179</v>
      </c>
      <c r="L45">
        <v>164.48977691351251</v>
      </c>
      <c r="M45">
        <v>0.31</v>
      </c>
      <c r="N45">
        <v>0.17871528641151765</v>
      </c>
      <c r="O45">
        <v>0.57650092390812147</v>
      </c>
      <c r="P45">
        <v>0.17127121819076394</v>
      </c>
      <c r="Q45">
        <v>0.55248780061536751</v>
      </c>
      <c r="R45">
        <v>0.15471545789174235</v>
      </c>
      <c r="S45">
        <v>0.49908212223142695</v>
      </c>
      <c r="T45">
        <v>0.1896236865379208</v>
      </c>
      <c r="U45">
        <v>0.16340770400923568</v>
      </c>
      <c r="V45">
        <v>0.52712162583624411</v>
      </c>
      <c r="W45">
        <v>0.12999460926703493</v>
      </c>
      <c r="X45">
        <v>0.41933744924849981</v>
      </c>
      <c r="Y45">
        <v>0.2482226407315436</v>
      </c>
      <c r="Z45">
        <v>0.80071819590820514</v>
      </c>
      <c r="AA45">
        <v>0.18292392228804807</v>
      </c>
      <c r="AB45">
        <v>0.59007716867112281</v>
      </c>
      <c r="AC45">
        <v>0.12361110387112194</v>
      </c>
      <c r="AD45">
        <v>0.39874549635845785</v>
      </c>
      <c r="AE45">
        <v>0.19536706474090387</v>
      </c>
      <c r="AF45">
        <v>0.63021633787388343</v>
      </c>
      <c r="AG45">
        <v>0.18113351358349478</v>
      </c>
      <c r="AH45">
        <v>0.58430165672095091</v>
      </c>
      <c r="AI45">
        <v>0.21087955947822681</v>
      </c>
      <c r="AJ45">
        <v>0.68025664347815107</v>
      </c>
      <c r="AK45">
        <v>0.26320836832803479</v>
      </c>
      <c r="AL45">
        <v>0.84905925267107996</v>
      </c>
      <c r="AM45">
        <v>0.23281475878676752</v>
      </c>
      <c r="AN45">
        <v>0.75101535092505656</v>
      </c>
      <c r="AO45">
        <v>0.19109857723155355</v>
      </c>
      <c r="AP45">
        <v>0.61644702332759205</v>
      </c>
      <c r="AQ45">
        <v>0.17099754339802728</v>
      </c>
      <c r="AR45">
        <v>0.55160497870331382</v>
      </c>
    </row>
    <row r="46" spans="1:44" x14ac:dyDescent="0.3">
      <c r="B46">
        <v>12</v>
      </c>
      <c r="C46">
        <v>4</v>
      </c>
      <c r="D46">
        <v>79.3</v>
      </c>
      <c r="E46">
        <v>2.6933292113182881</v>
      </c>
      <c r="F46">
        <v>20</v>
      </c>
      <c r="G46">
        <v>34</v>
      </c>
      <c r="H46">
        <v>1.5193277310924369E-2</v>
      </c>
      <c r="I46">
        <v>297.45957797652545</v>
      </c>
      <c r="J46">
        <v>0.3738475883594139</v>
      </c>
      <c r="K46">
        <v>195.28594715601179</v>
      </c>
      <c r="L46">
        <v>224.4523975917665</v>
      </c>
      <c r="M46">
        <v>0.38</v>
      </c>
      <c r="N46">
        <v>0.23382929397444591</v>
      </c>
      <c r="O46">
        <v>0.61534024730117343</v>
      </c>
      <c r="P46">
        <v>0.22879062923694596</v>
      </c>
      <c r="Q46">
        <v>0.60208060325512092</v>
      </c>
      <c r="R46">
        <v>0.18233419881936391</v>
      </c>
      <c r="S46">
        <v>0.47982683899832607</v>
      </c>
      <c r="T46">
        <v>0.22122763429424089</v>
      </c>
      <c r="U46">
        <v>0.22241604156812622</v>
      </c>
      <c r="V46">
        <v>0.58217798498484441</v>
      </c>
      <c r="W46">
        <v>0.17376065301427127</v>
      </c>
      <c r="X46">
        <v>0.45726487635334545</v>
      </c>
      <c r="Y46">
        <v>0.32829200890576948</v>
      </c>
      <c r="Z46">
        <v>0.86392633922570916</v>
      </c>
      <c r="AA46">
        <v>0.21341124266938935</v>
      </c>
      <c r="AB46">
        <v>0.56160853334049832</v>
      </c>
      <c r="AC46">
        <v>0.14804647473725147</v>
      </c>
      <c r="AD46">
        <v>0.38959598615066177</v>
      </c>
      <c r="AE46">
        <v>0.23599968452414569</v>
      </c>
      <c r="AF46">
        <v>0.62105180137933069</v>
      </c>
      <c r="AG46">
        <v>0.21132243251407717</v>
      </c>
      <c r="AH46">
        <v>0.55611166451072935</v>
      </c>
      <c r="AI46">
        <v>0.29431649941524463</v>
      </c>
      <c r="AJ46">
        <v>0.77451710372432792</v>
      </c>
      <c r="AK46">
        <v>0.31523014425318951</v>
      </c>
      <c r="AL46">
        <v>0.82955301119260394</v>
      </c>
      <c r="AM46">
        <v>0.30788868939637559</v>
      </c>
      <c r="AN46">
        <v>0.81023339314835685</v>
      </c>
      <c r="AO46">
        <v>0.25786701101209974</v>
      </c>
      <c r="AP46">
        <v>0.67859739740026248</v>
      </c>
      <c r="AQ46">
        <v>0.23560615229212351</v>
      </c>
      <c r="AR46">
        <v>0.62001619024243027</v>
      </c>
    </row>
    <row r="47" spans="1:44" x14ac:dyDescent="0.3">
      <c r="B47">
        <v>12</v>
      </c>
      <c r="C47">
        <v>4</v>
      </c>
      <c r="D47">
        <v>79.3</v>
      </c>
      <c r="E47">
        <v>2.6933292113182881</v>
      </c>
      <c r="F47">
        <v>20</v>
      </c>
      <c r="G47">
        <v>34</v>
      </c>
      <c r="H47">
        <v>1.5193277310924369E-2</v>
      </c>
      <c r="I47">
        <v>382.44802882696138</v>
      </c>
      <c r="J47">
        <v>0.19494689931924625</v>
      </c>
      <c r="K47">
        <v>195.28594715601179</v>
      </c>
      <c r="L47">
        <v>344.37763894827469</v>
      </c>
      <c r="M47">
        <v>0.52</v>
      </c>
      <c r="N47">
        <v>0.34405730910030269</v>
      </c>
      <c r="O47">
        <v>0.66164867134673588</v>
      </c>
      <c r="P47">
        <v>0.34382945132931025</v>
      </c>
      <c r="Q47">
        <v>0.66121048332559662</v>
      </c>
      <c r="R47">
        <v>0.26828723098144308</v>
      </c>
      <c r="S47">
        <v>0.51593698265662125</v>
      </c>
      <c r="T47">
        <v>0.28443552980688114</v>
      </c>
      <c r="U47">
        <v>0.36766733402078017</v>
      </c>
      <c r="V47">
        <v>0.54699140347477138</v>
      </c>
      <c r="W47">
        <v>0.26129274050874413</v>
      </c>
      <c r="X47">
        <v>0.50248603943989256</v>
      </c>
      <c r="Y47">
        <v>0.47652338277659018</v>
      </c>
      <c r="Z47">
        <v>0.91639112072421181</v>
      </c>
      <c r="AA47">
        <v>0.27438588343207215</v>
      </c>
      <c r="AB47">
        <v>0.52766516044629264</v>
      </c>
      <c r="AC47">
        <v>0.19691721646951058</v>
      </c>
      <c r="AD47">
        <v>0.37868695474905878</v>
      </c>
      <c r="AE47">
        <v>0.31726492409062951</v>
      </c>
      <c r="AF47">
        <v>0.61012485402044137</v>
      </c>
      <c r="AG47">
        <v>0.27170027037524214</v>
      </c>
      <c r="AH47">
        <v>0.52250051995238866</v>
      </c>
      <c r="AI47">
        <v>0.46119037928928075</v>
      </c>
      <c r="AJ47">
        <v>0.88690457555630908</v>
      </c>
      <c r="AK47">
        <v>0.42200204719783496</v>
      </c>
      <c r="AL47">
        <v>0.81154239845737486</v>
      </c>
      <c r="AM47">
        <v>0.45023334739497817</v>
      </c>
      <c r="AN47">
        <v>0.86583336037495795</v>
      </c>
      <c r="AO47">
        <v>0.39531109325123459</v>
      </c>
      <c r="AP47">
        <v>0.76021364086775878</v>
      </c>
      <c r="AQ47">
        <v>0.37093892177749088</v>
      </c>
      <c r="AR47">
        <v>0.71334408034132857</v>
      </c>
    </row>
    <row r="48" spans="1:44" x14ac:dyDescent="0.3">
      <c r="B48">
        <v>12</v>
      </c>
      <c r="C48">
        <v>4</v>
      </c>
      <c r="D48">
        <v>79.3</v>
      </c>
      <c r="E48">
        <v>2.6933292113182881</v>
      </c>
      <c r="F48">
        <v>20</v>
      </c>
      <c r="G48">
        <v>34</v>
      </c>
      <c r="H48">
        <v>1.5193277310924369E-2</v>
      </c>
      <c r="I48">
        <v>500</v>
      </c>
      <c r="J48">
        <v>0</v>
      </c>
      <c r="K48">
        <v>195.28594715601179</v>
      </c>
      <c r="L48">
        <v>500</v>
      </c>
      <c r="M48">
        <v>0.74</v>
      </c>
      <c r="N48">
        <v>0.49651944162391848</v>
      </c>
      <c r="O48">
        <v>0.67097221841070065</v>
      </c>
      <c r="P48">
        <v>0.50294566256817608</v>
      </c>
      <c r="Q48">
        <v>0.67965630076780548</v>
      </c>
      <c r="R48">
        <v>0.38717336501314914</v>
      </c>
      <c r="S48">
        <v>0.52320725001776913</v>
      </c>
      <c r="T48">
        <v>0.36155268598849877</v>
      </c>
      <c r="U48">
        <v>0.59406031512087509</v>
      </c>
      <c r="V48">
        <v>0.48858471079526861</v>
      </c>
      <c r="W48">
        <v>0.38236294855352793</v>
      </c>
      <c r="X48">
        <v>0.5167066872344972</v>
      </c>
      <c r="Y48">
        <v>0.66820683177461015</v>
      </c>
      <c r="Z48">
        <v>0.9029822051008245</v>
      </c>
      <c r="AA48">
        <v>0.35872309797708229</v>
      </c>
      <c r="AB48">
        <v>0.48476094321227337</v>
      </c>
      <c r="AC48">
        <v>0.2645128952450353</v>
      </c>
      <c r="AD48">
        <v>0.35744985843923688</v>
      </c>
      <c r="AE48">
        <v>0.42966712701700971</v>
      </c>
      <c r="AF48">
        <v>0.58063125272568883</v>
      </c>
      <c r="AG48">
        <v>0.35521201561503268</v>
      </c>
      <c r="AH48">
        <v>0.48001623731761173</v>
      </c>
      <c r="AI48">
        <v>0.6767909106545047</v>
      </c>
      <c r="AJ48">
        <v>0.9145823116952766</v>
      </c>
      <c r="AK48">
        <v>0.50294566256817608</v>
      </c>
      <c r="AL48">
        <v>0.67965630076780548</v>
      </c>
      <c r="AM48">
        <v>0.63464867430204397</v>
      </c>
      <c r="AN48">
        <v>0.85763334365141075</v>
      </c>
      <c r="AO48">
        <v>0.59400332859502147</v>
      </c>
      <c r="AP48">
        <v>0.80270720080408309</v>
      </c>
      <c r="AQ48">
        <v>0.57156372915356424</v>
      </c>
      <c r="AR48">
        <v>0.77238341777508679</v>
      </c>
    </row>
    <row r="49" spans="1:44" x14ac:dyDescent="0.3">
      <c r="A49" t="s">
        <v>13</v>
      </c>
      <c r="B49">
        <v>12</v>
      </c>
      <c r="C49">
        <v>4</v>
      </c>
      <c r="D49">
        <v>79.3</v>
      </c>
      <c r="E49">
        <v>2.6933292113182881</v>
      </c>
      <c r="F49">
        <v>20</v>
      </c>
      <c r="G49">
        <v>34</v>
      </c>
      <c r="H49">
        <v>1.5193277310924369E-2</v>
      </c>
      <c r="I49">
        <v>212.47112712608967</v>
      </c>
      <c r="J49">
        <v>0.55274827739958132</v>
      </c>
      <c r="K49">
        <v>195.28594715601179</v>
      </c>
      <c r="L49">
        <v>104.52715623525849</v>
      </c>
      <c r="M49">
        <v>0.17</v>
      </c>
      <c r="N49">
        <v>0.12360127884858937</v>
      </c>
      <c r="O49">
        <v>0.72706634616817278</v>
      </c>
      <c r="P49">
        <v>0.11503882209236421</v>
      </c>
      <c r="Q49">
        <v>0.67669895348449527</v>
      </c>
      <c r="R49">
        <v>0.12892954824311861</v>
      </c>
      <c r="S49">
        <v>0.75840910731246236</v>
      </c>
      <c r="T49">
        <v>0.15801973878160064</v>
      </c>
      <c r="U49">
        <v>0.11347757222863582</v>
      </c>
      <c r="V49">
        <v>0.66751513075668123</v>
      </c>
      <c r="W49">
        <v>8.6228565519798558E-2</v>
      </c>
      <c r="X49">
        <v>0.50722685599881501</v>
      </c>
      <c r="Y49">
        <v>0.16100885507073884</v>
      </c>
      <c r="Z49">
        <v>0.94711091218081667</v>
      </c>
      <c r="AA49">
        <v>0.15243660190670674</v>
      </c>
      <c r="AB49">
        <v>0.89668589356886308</v>
      </c>
      <c r="AC49">
        <v>9.9175733004992439E-2</v>
      </c>
      <c r="AD49">
        <v>0.58338666473524958</v>
      </c>
      <c r="AE49">
        <v>0.154734444957662</v>
      </c>
      <c r="AF49">
        <v>0.91020261739801167</v>
      </c>
      <c r="AG49">
        <v>0.15094459465291232</v>
      </c>
      <c r="AH49">
        <v>0.88790938031124889</v>
      </c>
      <c r="AI49">
        <v>0.12862827836683247</v>
      </c>
      <c r="AJ49">
        <v>0.75663693156960266</v>
      </c>
      <c r="AK49">
        <v>0.212644348091411</v>
      </c>
      <c r="AL49">
        <v>1.2508491064200646</v>
      </c>
      <c r="AM49">
        <v>0.15547380427579349</v>
      </c>
      <c r="AN49">
        <v>0.91455178985760877</v>
      </c>
      <c r="AO49">
        <v>0.12691956329147039</v>
      </c>
      <c r="AP49">
        <v>0.74658566642041402</v>
      </c>
      <c r="AQ49">
        <v>0.10971446668410485</v>
      </c>
      <c r="AR49">
        <v>0.64537921578885205</v>
      </c>
    </row>
    <row r="50" spans="1:44" x14ac:dyDescent="0.3">
      <c r="B50">
        <v>12</v>
      </c>
      <c r="C50">
        <v>4</v>
      </c>
      <c r="D50">
        <v>79.3</v>
      </c>
      <c r="E50">
        <v>2.6933292113182881</v>
      </c>
      <c r="F50">
        <v>20</v>
      </c>
      <c r="G50">
        <v>34</v>
      </c>
      <c r="H50">
        <v>1.5193277310924369E-2</v>
      </c>
      <c r="I50">
        <v>297.45957797652545</v>
      </c>
      <c r="J50">
        <v>0.3738475883594139</v>
      </c>
      <c r="K50">
        <v>195.28594715601179</v>
      </c>
      <c r="L50">
        <v>224.4523975917665</v>
      </c>
      <c r="M50">
        <v>0.36</v>
      </c>
      <c r="N50">
        <v>0.23382929397444591</v>
      </c>
      <c r="O50">
        <v>0.64952581659568309</v>
      </c>
      <c r="P50">
        <v>0.22879062923694596</v>
      </c>
      <c r="Q50">
        <v>0.63552952565818321</v>
      </c>
      <c r="R50">
        <v>0.18233419881936391</v>
      </c>
      <c r="S50">
        <v>0.50648388560934421</v>
      </c>
      <c r="T50">
        <v>0.22122763429424089</v>
      </c>
      <c r="U50">
        <v>0.22241604156812622</v>
      </c>
      <c r="V50">
        <v>0.61452120637289143</v>
      </c>
      <c r="W50">
        <v>0.17376065301427127</v>
      </c>
      <c r="X50">
        <v>0.48266848059519796</v>
      </c>
      <c r="Y50">
        <v>0.32829200890576948</v>
      </c>
      <c r="Z50">
        <v>0.91192224696047086</v>
      </c>
      <c r="AA50">
        <v>0.21341124266938935</v>
      </c>
      <c r="AB50">
        <v>0.59280900741497045</v>
      </c>
      <c r="AC50">
        <v>0.14804647473725147</v>
      </c>
      <c r="AD50">
        <v>0.41124020760347629</v>
      </c>
      <c r="AE50">
        <v>0.23599968452414569</v>
      </c>
      <c r="AF50">
        <v>0.655554679233738</v>
      </c>
      <c r="AG50">
        <v>0.21132243251407717</v>
      </c>
      <c r="AH50">
        <v>0.58700675698354776</v>
      </c>
      <c r="AI50">
        <v>0.29431649941524463</v>
      </c>
      <c r="AJ50">
        <v>0.81754583170901285</v>
      </c>
      <c r="AK50">
        <v>0.31523014425318951</v>
      </c>
      <c r="AL50">
        <v>0.87563928959219317</v>
      </c>
      <c r="AM50">
        <v>0.30788868939637559</v>
      </c>
      <c r="AN50">
        <v>0.85524635943437666</v>
      </c>
      <c r="AO50">
        <v>0.25786701101209974</v>
      </c>
      <c r="AP50">
        <v>0.71629725281138823</v>
      </c>
      <c r="AQ50">
        <v>0.23560615229212351</v>
      </c>
      <c r="AR50">
        <v>0.65446153414478758</v>
      </c>
    </row>
    <row r="51" spans="1:44" x14ac:dyDescent="0.3">
      <c r="B51">
        <v>12</v>
      </c>
      <c r="C51">
        <v>4</v>
      </c>
      <c r="D51">
        <v>79.3</v>
      </c>
      <c r="E51">
        <v>2.6933292113182881</v>
      </c>
      <c r="F51">
        <v>20</v>
      </c>
      <c r="G51">
        <v>34</v>
      </c>
      <c r="H51">
        <v>1.5193277310924369E-2</v>
      </c>
      <c r="I51">
        <v>382.44802882696138</v>
      </c>
      <c r="J51">
        <v>0.19494689931924625</v>
      </c>
      <c r="K51">
        <v>195.28594715601179</v>
      </c>
      <c r="L51">
        <v>344.37763894827469</v>
      </c>
      <c r="M51">
        <v>0.56000000000000005</v>
      </c>
      <c r="N51">
        <v>0.34405730910030269</v>
      </c>
      <c r="O51">
        <v>0.61438805196482615</v>
      </c>
      <c r="P51">
        <v>0.34382945132931025</v>
      </c>
      <c r="Q51">
        <v>0.61398116308805395</v>
      </c>
      <c r="R51">
        <v>0.26828723098144308</v>
      </c>
      <c r="S51">
        <v>0.47908434103829117</v>
      </c>
      <c r="T51">
        <v>0.28443552980688114</v>
      </c>
      <c r="U51">
        <v>0.36766733402078017</v>
      </c>
      <c r="V51">
        <v>0.50792058894085912</v>
      </c>
      <c r="W51">
        <v>0.26129274050874413</v>
      </c>
      <c r="X51">
        <v>0.46659417947990017</v>
      </c>
      <c r="Y51">
        <v>0.47652338277659018</v>
      </c>
      <c r="Z51">
        <v>0.85093461210105381</v>
      </c>
      <c r="AA51">
        <v>0.27438588343207215</v>
      </c>
      <c r="AB51">
        <v>0.48997479184298592</v>
      </c>
      <c r="AC51">
        <v>0.19691721646951058</v>
      </c>
      <c r="AD51">
        <v>0.3516378865526974</v>
      </c>
      <c r="AE51">
        <v>0.31726492409062951</v>
      </c>
      <c r="AF51">
        <v>0.56654450730469552</v>
      </c>
      <c r="AG51">
        <v>0.27170027037524214</v>
      </c>
      <c r="AH51">
        <v>0.48517905424150376</v>
      </c>
      <c r="AI51">
        <v>0.46119037928928075</v>
      </c>
      <c r="AJ51">
        <v>0.82355424873085836</v>
      </c>
      <c r="AK51">
        <v>0.42200204719783496</v>
      </c>
      <c r="AL51">
        <v>0.75357508428184805</v>
      </c>
      <c r="AM51">
        <v>0.45023334739497817</v>
      </c>
      <c r="AN51">
        <v>0.80398812034817524</v>
      </c>
      <c r="AO51">
        <v>0.39531109325123459</v>
      </c>
      <c r="AP51">
        <v>0.70591266652006168</v>
      </c>
      <c r="AQ51">
        <v>0.37093892177749088</v>
      </c>
      <c r="AR51">
        <v>0.66239093174551933</v>
      </c>
    </row>
    <row r="52" spans="1:44" x14ac:dyDescent="0.3">
      <c r="B52">
        <v>12</v>
      </c>
      <c r="C52">
        <v>4</v>
      </c>
      <c r="D52">
        <v>79.3</v>
      </c>
      <c r="E52">
        <v>2.6933292113182881</v>
      </c>
      <c r="F52">
        <v>20</v>
      </c>
      <c r="G52">
        <v>34</v>
      </c>
      <c r="H52">
        <v>1.5193277310924369E-2</v>
      </c>
      <c r="I52">
        <v>500</v>
      </c>
      <c r="J52">
        <v>0</v>
      </c>
      <c r="K52">
        <v>195.28594715601179</v>
      </c>
      <c r="L52">
        <v>500</v>
      </c>
      <c r="M52">
        <v>0.78</v>
      </c>
      <c r="N52">
        <v>0.49651944162391848</v>
      </c>
      <c r="O52">
        <v>0.63656338669733137</v>
      </c>
      <c r="P52">
        <v>0.50294566256817608</v>
      </c>
      <c r="Q52">
        <v>0.64480213149766163</v>
      </c>
      <c r="R52">
        <v>0.38717336501314914</v>
      </c>
      <c r="S52">
        <v>0.49637610899121681</v>
      </c>
      <c r="T52">
        <v>0.36155268598849877</v>
      </c>
      <c r="U52">
        <v>0.59406031512087509</v>
      </c>
      <c r="V52">
        <v>0.46352908460063941</v>
      </c>
      <c r="W52">
        <v>0.38236294855352793</v>
      </c>
      <c r="X52">
        <v>0.49020890840195885</v>
      </c>
      <c r="Y52">
        <v>0.66820683177461015</v>
      </c>
      <c r="Z52">
        <v>0.85667542535206431</v>
      </c>
      <c r="AA52">
        <v>0.35872309797708229</v>
      </c>
      <c r="AB52">
        <v>0.45990140766292598</v>
      </c>
      <c r="AC52">
        <v>0.2645128952450353</v>
      </c>
      <c r="AD52">
        <v>0.33911909646799393</v>
      </c>
      <c r="AE52">
        <v>0.42966712701700971</v>
      </c>
      <c r="AF52">
        <v>0.55085529104744835</v>
      </c>
      <c r="AG52">
        <v>0.35521201561503268</v>
      </c>
      <c r="AH52">
        <v>0.45540002001927266</v>
      </c>
      <c r="AI52">
        <v>0.6767909106545047</v>
      </c>
      <c r="AJ52">
        <v>0.86768065468526245</v>
      </c>
      <c r="AK52">
        <v>0.50294566256817608</v>
      </c>
      <c r="AL52">
        <v>0.64480213149766163</v>
      </c>
      <c r="AM52">
        <v>0.63464867430204397</v>
      </c>
      <c r="AN52">
        <v>0.81365214654108198</v>
      </c>
      <c r="AO52">
        <v>0.59400332859502147</v>
      </c>
      <c r="AP52">
        <v>0.76154272896797626</v>
      </c>
      <c r="AQ52">
        <v>0.57156372915356424</v>
      </c>
      <c r="AR52">
        <v>0.73277401173533874</v>
      </c>
    </row>
    <row r="53" spans="1:44" x14ac:dyDescent="0.3">
      <c r="A53" t="s">
        <v>14</v>
      </c>
      <c r="B53">
        <v>12</v>
      </c>
      <c r="C53">
        <v>4</v>
      </c>
      <c r="D53">
        <v>46</v>
      </c>
      <c r="E53">
        <v>2.6933292113182881</v>
      </c>
      <c r="F53">
        <v>70</v>
      </c>
      <c r="G53">
        <v>88</v>
      </c>
      <c r="H53">
        <v>1.0220067765707051E-2</v>
      </c>
      <c r="I53">
        <v>245.19477048546645</v>
      </c>
      <c r="J53">
        <v>0.48386500812809308</v>
      </c>
      <c r="K53">
        <v>281.54823249932105</v>
      </c>
      <c r="L53">
        <v>108.96343267873223</v>
      </c>
      <c r="M53">
        <v>0.31</v>
      </c>
      <c r="N53">
        <v>0.17775875829437093</v>
      </c>
      <c r="O53">
        <v>0.57341534933668048</v>
      </c>
      <c r="P53">
        <v>0.2614277011499988</v>
      </c>
      <c r="Q53">
        <v>0.84331516499999615</v>
      </c>
      <c r="R53">
        <v>0.32189705492002607</v>
      </c>
      <c r="S53">
        <v>1.0383775965162132</v>
      </c>
      <c r="T53">
        <v>0.35643211676505032</v>
      </c>
      <c r="U53">
        <v>0.15160704695540023</v>
      </c>
      <c r="V53">
        <v>0.4890549901787104</v>
      </c>
      <c r="W53">
        <v>0.35388215107782112</v>
      </c>
      <c r="X53">
        <v>1.1415553260574876</v>
      </c>
      <c r="Y53">
        <v>0.11661272527526795</v>
      </c>
      <c r="Z53">
        <v>0.37617008153312242</v>
      </c>
      <c r="AA53">
        <v>0.43368023499729708</v>
      </c>
      <c r="AB53">
        <v>1.3989684999912808</v>
      </c>
      <c r="AC53">
        <v>0.15711776961185428</v>
      </c>
      <c r="AD53">
        <v>0.50683151487694933</v>
      </c>
      <c r="AE53">
        <v>0.27873857274862496</v>
      </c>
      <c r="AF53">
        <v>0.89915668628588696</v>
      </c>
      <c r="AG53">
        <v>0.38870614788651509</v>
      </c>
      <c r="AH53">
        <v>1.2538907996339197</v>
      </c>
      <c r="AI53">
        <v>0.33732996102036494</v>
      </c>
      <c r="AJ53">
        <v>1.0881611645818223</v>
      </c>
      <c r="AK53">
        <v>0.45926972621923035</v>
      </c>
      <c r="AL53">
        <v>1.481515245868485</v>
      </c>
      <c r="AM53">
        <v>0.39015477691263195</v>
      </c>
      <c r="AN53">
        <v>1.2585637964923611</v>
      </c>
      <c r="AO53">
        <v>0.26856327509053168</v>
      </c>
      <c r="AP53">
        <v>0.86633314545332807</v>
      </c>
      <c r="AQ53">
        <v>0.25075475797443053</v>
      </c>
      <c r="AR53">
        <v>0.80888631604655015</v>
      </c>
    </row>
    <row r="54" spans="1:44" x14ac:dyDescent="0.3">
      <c r="B54">
        <v>12</v>
      </c>
      <c r="C54">
        <v>4</v>
      </c>
      <c r="D54">
        <v>46</v>
      </c>
      <c r="E54">
        <v>2.6933292113182881</v>
      </c>
      <c r="F54">
        <v>70</v>
      </c>
      <c r="G54">
        <v>88</v>
      </c>
      <c r="H54">
        <v>1.0220067765707051E-2</v>
      </c>
      <c r="I54">
        <v>294.23372458255977</v>
      </c>
      <c r="J54">
        <v>0.38063800975371165</v>
      </c>
      <c r="K54">
        <v>281.54823249932105</v>
      </c>
      <c r="L54">
        <v>187.06576571434294</v>
      </c>
      <c r="M54">
        <v>0.44</v>
      </c>
      <c r="N54">
        <v>0.29205769761843819</v>
      </c>
      <c r="O54">
        <v>0.66376749458735951</v>
      </c>
      <c r="P54">
        <v>0.35522130050725187</v>
      </c>
      <c r="Q54">
        <v>0.80732113751648149</v>
      </c>
      <c r="R54">
        <v>0.38627646590403136</v>
      </c>
      <c r="S54">
        <v>0.87790105887279857</v>
      </c>
      <c r="T54">
        <v>0.42771854011806032</v>
      </c>
      <c r="U54">
        <v>0.21831414761577628</v>
      </c>
      <c r="V54">
        <v>0.49616851730858247</v>
      </c>
      <c r="W54">
        <v>0.48460524761713825</v>
      </c>
      <c r="X54">
        <v>1.1013755627662232</v>
      </c>
      <c r="Y54">
        <v>0.31270442459490816</v>
      </c>
      <c r="Z54">
        <v>0.71069187407933676</v>
      </c>
      <c r="AA54">
        <v>0.52041628199675649</v>
      </c>
      <c r="AB54">
        <v>1.1827642772653557</v>
      </c>
      <c r="AC54">
        <v>0.19466692875272593</v>
      </c>
      <c r="AD54">
        <v>0.4424248380743771</v>
      </c>
      <c r="AE54">
        <v>0.34899935700575707</v>
      </c>
      <c r="AF54">
        <v>0.79318035683126609</v>
      </c>
      <c r="AG54">
        <v>0.46644737746381815</v>
      </c>
      <c r="AH54">
        <v>1.0601076760541321</v>
      </c>
      <c r="AI54">
        <v>0.51208771889422056</v>
      </c>
      <c r="AJ54">
        <v>1.1638357247595921</v>
      </c>
      <c r="AK54">
        <v>0.57347208499430369</v>
      </c>
      <c r="AL54">
        <v>1.3033456477143266</v>
      </c>
      <c r="AM54">
        <v>0.54740373328463166</v>
      </c>
      <c r="AN54">
        <v>1.2440993938287084</v>
      </c>
      <c r="AO54">
        <v>0.36707375632649369</v>
      </c>
      <c r="AP54">
        <v>0.83425853710566744</v>
      </c>
      <c r="AQ54">
        <v>0.35059800811605646</v>
      </c>
      <c r="AR54">
        <v>0.79681365480921917</v>
      </c>
    </row>
    <row r="55" spans="1:44" x14ac:dyDescent="0.3">
      <c r="A55" t="s">
        <v>15</v>
      </c>
      <c r="B55">
        <v>12</v>
      </c>
      <c r="C55">
        <v>4</v>
      </c>
      <c r="D55">
        <v>46</v>
      </c>
      <c r="E55">
        <v>2.6933292113182881</v>
      </c>
      <c r="F55">
        <v>70</v>
      </c>
      <c r="G55">
        <v>84</v>
      </c>
      <c r="H55">
        <v>1.0231758789687727E-2</v>
      </c>
      <c r="I55">
        <v>193.94581491041436</v>
      </c>
      <c r="J55">
        <v>0.59174405961357779</v>
      </c>
      <c r="K55">
        <v>281.24711366257765</v>
      </c>
      <c r="L55">
        <v>27.519506117119334</v>
      </c>
      <c r="M55">
        <v>0.14000000000000001</v>
      </c>
      <c r="N55">
        <v>5.8682947698772012E-2</v>
      </c>
      <c r="O55">
        <v>0.41916391213408577</v>
      </c>
      <c r="P55">
        <v>0.20403700135961789</v>
      </c>
      <c r="Q55">
        <v>1.4574071525686991</v>
      </c>
      <c r="R55">
        <v>0.25448360281216226</v>
      </c>
      <c r="S55">
        <v>1.8177400200868732</v>
      </c>
      <c r="T55">
        <v>0.28189693997758725</v>
      </c>
      <c r="U55">
        <v>9.4830153189527797E-2</v>
      </c>
      <c r="V55">
        <v>0.67735823706805565</v>
      </c>
      <c r="W55">
        <v>0.20431834059431456</v>
      </c>
      <c r="X55">
        <v>1.4594167185308182</v>
      </c>
      <c r="AA55">
        <v>0.3287046387272517</v>
      </c>
      <c r="AB55">
        <v>2.3478902766232261</v>
      </c>
      <c r="AC55">
        <v>0.11523936794471183</v>
      </c>
      <c r="AD55">
        <v>0.82313834246222728</v>
      </c>
      <c r="AE55">
        <v>0.20116225891139128</v>
      </c>
      <c r="AF55">
        <v>1.4368732779385089</v>
      </c>
      <c r="AG55">
        <v>0.29412765044564287</v>
      </c>
      <c r="AH55">
        <v>2.1009117888974491</v>
      </c>
      <c r="AI55">
        <v>0.20824829465924125</v>
      </c>
      <c r="AJ55">
        <v>1.4874878189945802</v>
      </c>
      <c r="AK55">
        <v>0.34115284171600047</v>
      </c>
      <c r="AL55">
        <v>2.4368060122571458</v>
      </c>
      <c r="AM55">
        <v>0.25772959683539293</v>
      </c>
      <c r="AN55">
        <v>1.8409256916813779</v>
      </c>
      <c r="AO55">
        <v>0.20668540172693578</v>
      </c>
      <c r="AP55">
        <v>1.4763242980495412</v>
      </c>
      <c r="AQ55">
        <v>0.18995703895200047</v>
      </c>
      <c r="AR55">
        <v>1.356835992514289</v>
      </c>
    </row>
    <row r="56" spans="1:44" x14ac:dyDescent="0.3">
      <c r="B56">
        <v>12</v>
      </c>
      <c r="C56">
        <v>4</v>
      </c>
      <c r="D56">
        <v>46</v>
      </c>
      <c r="E56">
        <v>2.6933292113182881</v>
      </c>
      <c r="F56">
        <v>70</v>
      </c>
      <c r="G56">
        <v>84</v>
      </c>
      <c r="H56">
        <v>1.0231758789687727E-2</v>
      </c>
      <c r="I56">
        <v>242.43226863801794</v>
      </c>
      <c r="J56">
        <v>0.48968007451697226</v>
      </c>
      <c r="K56">
        <v>281.24711366257765</v>
      </c>
      <c r="L56">
        <v>104.71116106204354</v>
      </c>
      <c r="M56">
        <v>0.31</v>
      </c>
      <c r="N56">
        <v>0.17160378323165554</v>
      </c>
      <c r="O56">
        <v>0.55356059106985656</v>
      </c>
      <c r="P56">
        <v>0.25504625169952239</v>
      </c>
      <c r="Q56">
        <v>0.82272984419200768</v>
      </c>
      <c r="R56">
        <v>0.31810450351520281</v>
      </c>
      <c r="S56">
        <v>1.0261435597264608</v>
      </c>
      <c r="T56">
        <v>0.35237117497198406</v>
      </c>
      <c r="U56">
        <v>0.14817211435863717</v>
      </c>
      <c r="V56">
        <v>0.4779745624472167</v>
      </c>
      <c r="W56">
        <v>0.32769362389701645</v>
      </c>
      <c r="X56">
        <v>1.0570762061194079</v>
      </c>
      <c r="Y56">
        <v>0.1046210585381572</v>
      </c>
      <c r="Z56">
        <v>0.33748728560695873</v>
      </c>
      <c r="AA56">
        <v>0.41088079840906461</v>
      </c>
      <c r="AB56">
        <v>1.3254219303518213</v>
      </c>
      <c r="AC56">
        <v>0.15153491962762775</v>
      </c>
      <c r="AD56">
        <v>0.48882232137944437</v>
      </c>
      <c r="AE56">
        <v>0.26922754232665702</v>
      </c>
      <c r="AF56">
        <v>0.86847594298921615</v>
      </c>
      <c r="AG56">
        <v>0.36765956305705361</v>
      </c>
      <c r="AH56">
        <v>1.1859985905066246</v>
      </c>
      <c r="AI56">
        <v>0.32538796040506446</v>
      </c>
      <c r="AJ56">
        <v>1.0496385819518208</v>
      </c>
      <c r="AK56">
        <v>0.44695119530032318</v>
      </c>
      <c r="AL56">
        <v>1.4417780493558812</v>
      </c>
      <c r="AM56">
        <v>0.37777567175969251</v>
      </c>
      <c r="AN56">
        <v>1.2186311992248147</v>
      </c>
      <c r="AO56">
        <v>0.26192842472274047</v>
      </c>
      <c r="AP56">
        <v>0.84493040233142092</v>
      </c>
      <c r="AQ56">
        <v>0.24411368354271806</v>
      </c>
      <c r="AR56">
        <v>0.78746349529909054</v>
      </c>
    </row>
    <row r="57" spans="1:44" x14ac:dyDescent="0.3">
      <c r="B57">
        <v>12</v>
      </c>
      <c r="C57">
        <v>4</v>
      </c>
      <c r="D57">
        <v>46</v>
      </c>
      <c r="E57">
        <v>2.6933292113182881</v>
      </c>
      <c r="F57">
        <v>70</v>
      </c>
      <c r="G57">
        <v>84</v>
      </c>
      <c r="H57">
        <v>1.0231758789687727E-2</v>
      </c>
      <c r="I57">
        <v>290.91872236562153</v>
      </c>
      <c r="J57">
        <v>0.38761608942036674</v>
      </c>
      <c r="K57">
        <v>281.24711366257765</v>
      </c>
      <c r="L57">
        <v>181.90281600696778</v>
      </c>
      <c r="M57">
        <v>0.4</v>
      </c>
      <c r="N57">
        <v>0.28452461876453911</v>
      </c>
      <c r="O57">
        <v>0.71131154691134768</v>
      </c>
      <c r="P57">
        <v>0.34178055859895096</v>
      </c>
      <c r="Q57">
        <v>0.85445139649737734</v>
      </c>
      <c r="R57">
        <v>0.38172540421824341</v>
      </c>
      <c r="S57">
        <v>0.95431351054560853</v>
      </c>
      <c r="T57">
        <v>0.42284540996638087</v>
      </c>
      <c r="U57">
        <v>0.21336784467643757</v>
      </c>
      <c r="V57">
        <v>0.53341961169109386</v>
      </c>
      <c r="W57">
        <v>0.45106890719971832</v>
      </c>
      <c r="X57">
        <v>1.1276722679992957</v>
      </c>
      <c r="Y57">
        <v>0.30028311915040534</v>
      </c>
      <c r="Z57">
        <v>0.75070779787601327</v>
      </c>
      <c r="AA57">
        <v>0.49305695809087752</v>
      </c>
      <c r="AB57">
        <v>1.2326423952271937</v>
      </c>
      <c r="AC57">
        <v>0.18783047131054365</v>
      </c>
      <c r="AD57">
        <v>0.46957617827635911</v>
      </c>
      <c r="AE57">
        <v>0.33729282574192276</v>
      </c>
      <c r="AF57">
        <v>0.84323206435480691</v>
      </c>
      <c r="AG57">
        <v>0.44119147566846434</v>
      </c>
      <c r="AH57">
        <v>1.1029786891711608</v>
      </c>
      <c r="AI57">
        <v>0.49163800751316639</v>
      </c>
      <c r="AJ57">
        <v>1.2290950187829159</v>
      </c>
      <c r="AK57">
        <v>0.55810831374453196</v>
      </c>
      <c r="AL57">
        <v>1.3952707843613299</v>
      </c>
      <c r="AM57">
        <v>0.52828836334725671</v>
      </c>
      <c r="AN57">
        <v>1.3207209083681417</v>
      </c>
      <c r="AO57">
        <v>0.35330111276505638</v>
      </c>
      <c r="AP57">
        <v>0.88325278191264089</v>
      </c>
      <c r="AQ57">
        <v>0.33666233863404676</v>
      </c>
      <c r="AR57">
        <v>0.84165584658511683</v>
      </c>
    </row>
    <row r="58" spans="1:44" x14ac:dyDescent="0.3">
      <c r="A58" t="s">
        <v>16</v>
      </c>
      <c r="B58">
        <v>12</v>
      </c>
      <c r="C58">
        <v>4</v>
      </c>
      <c r="D58">
        <v>46</v>
      </c>
      <c r="E58">
        <v>2.6933292113182881</v>
      </c>
      <c r="F58">
        <v>70</v>
      </c>
      <c r="G58">
        <v>84</v>
      </c>
      <c r="H58">
        <v>1.0231758789687727E-2</v>
      </c>
      <c r="I58">
        <v>193.94581491041436</v>
      </c>
      <c r="J58">
        <v>0.59174405961357779</v>
      </c>
      <c r="K58">
        <v>281.24711366257765</v>
      </c>
      <c r="L58">
        <v>27.519506117119334</v>
      </c>
      <c r="M58">
        <v>0.25</v>
      </c>
      <c r="N58">
        <v>5.8682947698772012E-2</v>
      </c>
      <c r="O58">
        <v>0.23473179079508805</v>
      </c>
      <c r="P58">
        <v>0.20403700135961789</v>
      </c>
      <c r="Q58">
        <v>0.81614800543847155</v>
      </c>
      <c r="R58">
        <v>0.25448360281216226</v>
      </c>
      <c r="S58">
        <v>1.017934411248649</v>
      </c>
      <c r="T58">
        <v>0.28189693997758725</v>
      </c>
      <c r="U58">
        <v>9.4830153189527797E-2</v>
      </c>
      <c r="V58">
        <v>0.37932061275811119</v>
      </c>
      <c r="W58">
        <v>0.20431834059431456</v>
      </c>
      <c r="X58">
        <v>0.81727336237725823</v>
      </c>
      <c r="AA58">
        <v>0.3287046387272517</v>
      </c>
      <c r="AB58">
        <v>1.3148185549090068</v>
      </c>
      <c r="AC58">
        <v>0.11523936794471183</v>
      </c>
      <c r="AD58">
        <v>0.46095747177884733</v>
      </c>
      <c r="AE58">
        <v>0.20116225891139128</v>
      </c>
      <c r="AF58">
        <v>0.80464903564556511</v>
      </c>
      <c r="AG58">
        <v>0.29412765044564287</v>
      </c>
      <c r="AH58">
        <v>1.1765106017825715</v>
      </c>
      <c r="AI58">
        <v>0.20824829465924125</v>
      </c>
      <c r="AJ58">
        <v>0.83299317863696498</v>
      </c>
      <c r="AK58">
        <v>0.34115284171600047</v>
      </c>
      <c r="AL58">
        <v>1.3646113668640019</v>
      </c>
      <c r="AM58">
        <v>0.25772959683539293</v>
      </c>
      <c r="AN58">
        <v>1.0309183873415717</v>
      </c>
      <c r="AO58">
        <v>0.20668540172693578</v>
      </c>
      <c r="AP58">
        <v>0.82674160690774312</v>
      </c>
      <c r="AQ58">
        <v>0.18995703895200047</v>
      </c>
      <c r="AR58">
        <v>0.75982815580800189</v>
      </c>
    </row>
    <row r="59" spans="1:44" x14ac:dyDescent="0.3">
      <c r="B59">
        <v>12</v>
      </c>
      <c r="C59">
        <v>4</v>
      </c>
      <c r="D59">
        <v>46</v>
      </c>
      <c r="E59">
        <v>2.6933292113182881</v>
      </c>
      <c r="F59">
        <v>70</v>
      </c>
      <c r="G59">
        <v>84</v>
      </c>
      <c r="H59">
        <v>1.0231758789687727E-2</v>
      </c>
      <c r="I59">
        <v>242.43226863801794</v>
      </c>
      <c r="J59">
        <v>0.48968007451697226</v>
      </c>
      <c r="K59">
        <v>281.24711366257765</v>
      </c>
      <c r="L59">
        <v>104.71116106204354</v>
      </c>
      <c r="M59">
        <v>0.44</v>
      </c>
      <c r="N59">
        <v>0.17160378323165554</v>
      </c>
      <c r="O59">
        <v>0.39000859825376261</v>
      </c>
      <c r="P59">
        <v>0.25504625169952239</v>
      </c>
      <c r="Q59">
        <v>0.57965057204436909</v>
      </c>
      <c r="R59">
        <v>0.31810450351520281</v>
      </c>
      <c r="S59">
        <v>0.72296478071637005</v>
      </c>
      <c r="T59">
        <v>0.35237117497198406</v>
      </c>
      <c r="U59">
        <v>0.14817211435863717</v>
      </c>
      <c r="V59">
        <v>0.33675480536053903</v>
      </c>
      <c r="W59">
        <v>0.32769362389701645</v>
      </c>
      <c r="X59">
        <v>0.74475823612958281</v>
      </c>
      <c r="Y59">
        <v>0.1046210585381572</v>
      </c>
      <c r="Z59">
        <v>0.23777513304126638</v>
      </c>
      <c r="AA59">
        <v>0.41088079840906461</v>
      </c>
      <c r="AB59">
        <v>0.93381999638423774</v>
      </c>
      <c r="AC59">
        <v>0.15153491962762775</v>
      </c>
      <c r="AD59">
        <v>0.3443975446082449</v>
      </c>
      <c r="AE59">
        <v>0.26922754232665702</v>
      </c>
      <c r="AF59">
        <v>0.61188077801512963</v>
      </c>
      <c r="AG59">
        <v>0.36765956305705361</v>
      </c>
      <c r="AH59">
        <v>0.83558991603875821</v>
      </c>
      <c r="AI59">
        <v>0.32538796040506446</v>
      </c>
      <c r="AJ59">
        <v>0.73951809182969197</v>
      </c>
      <c r="AK59">
        <v>0.44695119530032318</v>
      </c>
      <c r="AL59">
        <v>1.015798171137098</v>
      </c>
      <c r="AM59">
        <v>0.37777567175969251</v>
      </c>
      <c r="AN59">
        <v>0.85858107218111934</v>
      </c>
      <c r="AO59">
        <v>0.26192842472274047</v>
      </c>
      <c r="AP59">
        <v>0.59529187436986475</v>
      </c>
      <c r="AQ59">
        <v>0.24411368354271806</v>
      </c>
      <c r="AR59">
        <v>0.55480382623345015</v>
      </c>
    </row>
    <row r="60" spans="1:44" x14ac:dyDescent="0.3">
      <c r="B60">
        <v>12</v>
      </c>
      <c r="C60">
        <v>4</v>
      </c>
      <c r="D60">
        <v>46</v>
      </c>
      <c r="E60">
        <v>2.6933292113182881</v>
      </c>
      <c r="F60">
        <v>70</v>
      </c>
      <c r="G60">
        <v>84</v>
      </c>
      <c r="H60">
        <v>1.0231758789687727E-2</v>
      </c>
      <c r="I60">
        <v>290.91872236562153</v>
      </c>
      <c r="J60">
        <v>0.38761608942036674</v>
      </c>
      <c r="K60">
        <v>281.24711366257765</v>
      </c>
      <c r="L60">
        <v>181.90281600696778</v>
      </c>
      <c r="M60">
        <v>0.56000000000000005</v>
      </c>
      <c r="N60">
        <v>0.28452461876453911</v>
      </c>
      <c r="O60">
        <v>0.50807967636524831</v>
      </c>
      <c r="P60">
        <v>0.34178055859895096</v>
      </c>
      <c r="Q60">
        <v>0.61032242606955522</v>
      </c>
      <c r="R60">
        <v>0.38172540421824341</v>
      </c>
      <c r="S60">
        <v>0.68165250753257745</v>
      </c>
      <c r="T60">
        <v>0.42284540996638087</v>
      </c>
      <c r="U60">
        <v>0.21336784467643757</v>
      </c>
      <c r="V60">
        <v>0.38101400835078136</v>
      </c>
      <c r="W60">
        <v>0.45106890719971832</v>
      </c>
      <c r="X60">
        <v>0.80548019142806837</v>
      </c>
      <c r="Y60">
        <v>0.30028311915040534</v>
      </c>
      <c r="Z60">
        <v>0.53621985562572383</v>
      </c>
      <c r="AA60">
        <v>0.49305695809087752</v>
      </c>
      <c r="AB60">
        <v>0.8804588537337098</v>
      </c>
      <c r="AC60">
        <v>0.18783047131054365</v>
      </c>
      <c r="AD60">
        <v>0.33541155591168503</v>
      </c>
      <c r="AE60">
        <v>0.33729282574192276</v>
      </c>
      <c r="AF60">
        <v>0.6023086173962906</v>
      </c>
      <c r="AG60">
        <v>0.44119147566846434</v>
      </c>
      <c r="AH60">
        <v>0.78784192083654336</v>
      </c>
      <c r="AI60">
        <v>0.49163800751316639</v>
      </c>
      <c r="AJ60">
        <v>0.87792501341636842</v>
      </c>
      <c r="AK60">
        <v>0.55810831374453196</v>
      </c>
      <c r="AL60">
        <v>0.99662198882952124</v>
      </c>
      <c r="AM60">
        <v>0.52828836334725671</v>
      </c>
      <c r="AN60">
        <v>0.94337207740581541</v>
      </c>
      <c r="AO60">
        <v>0.35330111276505638</v>
      </c>
      <c r="AP60">
        <v>0.63089484422331488</v>
      </c>
      <c r="AQ60">
        <v>0.33666233863404676</v>
      </c>
      <c r="AR60">
        <v>0.6011827475607977</v>
      </c>
    </row>
    <row r="61" spans="1:44" x14ac:dyDescent="0.3">
      <c r="A61" t="s">
        <v>17</v>
      </c>
      <c r="B61">
        <v>25</v>
      </c>
      <c r="C61">
        <v>4</v>
      </c>
      <c r="D61">
        <v>62</v>
      </c>
      <c r="E61">
        <v>2.6933292113182881</v>
      </c>
      <c r="F61">
        <v>20</v>
      </c>
      <c r="G61">
        <v>40.5</v>
      </c>
      <c r="H61">
        <v>5.5421516754850089E-2</v>
      </c>
      <c r="I61">
        <v>210.83754926858927</v>
      </c>
      <c r="J61">
        <v>0.55618695878961955</v>
      </c>
      <c r="K61">
        <v>66.612008163975105</v>
      </c>
      <c r="L61">
        <v>173.78881902899866</v>
      </c>
      <c r="M61">
        <v>0.23</v>
      </c>
      <c r="N61">
        <v>0.14122631889912982</v>
      </c>
      <c r="O61">
        <v>0.61402747347447739</v>
      </c>
      <c r="P61">
        <v>0.15610003267778957</v>
      </c>
      <c r="Q61">
        <v>0.67869579425125903</v>
      </c>
      <c r="R61">
        <v>0.12361189410122388</v>
      </c>
      <c r="S61">
        <v>0.53744301783140813</v>
      </c>
      <c r="T61">
        <v>0.17799191159417418</v>
      </c>
      <c r="U61">
        <v>0.24169857413436355</v>
      </c>
      <c r="V61">
        <v>0.77387787649640949</v>
      </c>
      <c r="W61">
        <v>0.10544233907574208</v>
      </c>
      <c r="X61">
        <v>0.45844495250322642</v>
      </c>
      <c r="Y61">
        <v>0.25417901221399969</v>
      </c>
      <c r="Z61">
        <v>1.1051261400608681</v>
      </c>
      <c r="AA61">
        <v>0.14383411603156659</v>
      </c>
      <c r="AB61">
        <v>0.62536572187637651</v>
      </c>
      <c r="AC61">
        <v>0.12690083925469661</v>
      </c>
      <c r="AD61">
        <v>0.55174277936824612</v>
      </c>
      <c r="AE61">
        <v>0.19519775377137535</v>
      </c>
      <c r="AF61">
        <v>0.8486858859625015</v>
      </c>
      <c r="AG61">
        <v>0.17613018452712623</v>
      </c>
      <c r="AH61">
        <v>0.76578341098750535</v>
      </c>
      <c r="AI61">
        <v>0.1597966073534369</v>
      </c>
      <c r="AJ61">
        <v>0.69476785805842123</v>
      </c>
      <c r="AK61">
        <v>0.18103752318944741</v>
      </c>
      <c r="AL61">
        <v>0.78711966604107564</v>
      </c>
      <c r="AM61">
        <v>0.16770822936657279</v>
      </c>
      <c r="AN61">
        <v>0.72916621463727294</v>
      </c>
      <c r="AO61">
        <v>0.24569876241229988</v>
      </c>
      <c r="AP61">
        <v>1.0682554887491298</v>
      </c>
      <c r="AQ61">
        <v>0.18174855379482613</v>
      </c>
      <c r="AR61">
        <v>0.79021110345576573</v>
      </c>
    </row>
    <row r="62" spans="1:44" x14ac:dyDescent="0.3">
      <c r="B62">
        <v>25</v>
      </c>
      <c r="C62">
        <v>4</v>
      </c>
      <c r="D62">
        <v>62</v>
      </c>
      <c r="E62">
        <v>2.6933292113182881</v>
      </c>
      <c r="F62">
        <v>20</v>
      </c>
      <c r="G62">
        <v>40.5</v>
      </c>
      <c r="H62">
        <v>5.5421516754850089E-2</v>
      </c>
      <c r="I62">
        <v>316.25632390288388</v>
      </c>
      <c r="J62">
        <v>0.33428043818442932</v>
      </c>
      <c r="K62">
        <v>66.612008163975105</v>
      </c>
      <c r="L62">
        <v>293.9892326254855</v>
      </c>
      <c r="M62">
        <v>0.35</v>
      </c>
      <c r="N62">
        <v>0.22835615725307237</v>
      </c>
      <c r="O62">
        <v>0.65244616358020679</v>
      </c>
      <c r="P62">
        <v>0.2594615172931995</v>
      </c>
      <c r="Q62">
        <v>0.74131862083771294</v>
      </c>
      <c r="R62">
        <v>0.19987448053425924</v>
      </c>
      <c r="S62">
        <v>0.57106994438359782</v>
      </c>
      <c r="T62">
        <v>0.26698786739126135</v>
      </c>
      <c r="U62">
        <v>0.54382179180231793</v>
      </c>
      <c r="V62">
        <v>0.76282247826074678</v>
      </c>
      <c r="W62">
        <v>0.16745168588376233</v>
      </c>
      <c r="X62">
        <v>0.47843338823932097</v>
      </c>
      <c r="Y62">
        <v>0.40646494314195047</v>
      </c>
      <c r="Z62">
        <v>1.1613284089770015</v>
      </c>
      <c r="AA62">
        <v>0.21575117404734986</v>
      </c>
      <c r="AB62">
        <v>0.61643192584957107</v>
      </c>
      <c r="AC62">
        <v>0.20520757586832802</v>
      </c>
      <c r="AD62">
        <v>0.58630735962379443</v>
      </c>
      <c r="AE62">
        <v>0.30447476144073832</v>
      </c>
      <c r="AF62">
        <v>0.86992788983068092</v>
      </c>
      <c r="AG62">
        <v>0.26419527679068933</v>
      </c>
      <c r="AH62">
        <v>0.75484364797339809</v>
      </c>
      <c r="AI62">
        <v>0.28188069149101397</v>
      </c>
      <c r="AJ62">
        <v>0.80537340426004</v>
      </c>
      <c r="AK62">
        <v>0.28066544154832729</v>
      </c>
      <c r="AL62">
        <v>0.80190126156664943</v>
      </c>
      <c r="AM62">
        <v>0.28449284747940923</v>
      </c>
      <c r="AN62">
        <v>0.81283670708402644</v>
      </c>
      <c r="AO62">
        <v>0.45402654428008321</v>
      </c>
      <c r="AP62">
        <v>1.2972186979430951</v>
      </c>
      <c r="AQ62">
        <v>0.33563541112836781</v>
      </c>
      <c r="AR62">
        <v>0.95895831750962235</v>
      </c>
    </row>
    <row r="63" spans="1:44" x14ac:dyDescent="0.3">
      <c r="B63">
        <v>25</v>
      </c>
      <c r="C63">
        <v>4</v>
      </c>
      <c r="D63">
        <v>62</v>
      </c>
      <c r="E63">
        <v>2.6933292113182881</v>
      </c>
      <c r="F63">
        <v>20</v>
      </c>
      <c r="G63">
        <v>40.5</v>
      </c>
      <c r="H63">
        <v>5.5421516754850089E-2</v>
      </c>
      <c r="I63">
        <v>421.67509853717854</v>
      </c>
      <c r="J63">
        <v>0.1123739175792392</v>
      </c>
      <c r="K63">
        <v>66.612008163975105</v>
      </c>
      <c r="L63">
        <v>414.1896462219724</v>
      </c>
      <c r="M63">
        <v>0.49</v>
      </c>
      <c r="N63">
        <v>0.31548599560701496</v>
      </c>
      <c r="O63">
        <v>0.6438489706265611</v>
      </c>
      <c r="P63">
        <v>0.3628230019086095</v>
      </c>
      <c r="Q63">
        <v>0.74045510593593777</v>
      </c>
      <c r="R63">
        <v>0.27613706696729462</v>
      </c>
      <c r="S63">
        <v>0.5635450346271319</v>
      </c>
      <c r="T63">
        <v>0.35598382318834837</v>
      </c>
      <c r="U63">
        <v>0.96679429653745419</v>
      </c>
      <c r="V63">
        <v>0.72649759834356809</v>
      </c>
      <c r="W63">
        <v>0.22946103269178258</v>
      </c>
      <c r="X63">
        <v>0.46828782181996448</v>
      </c>
      <c r="Y63">
        <v>0.55371158910571106</v>
      </c>
      <c r="Z63">
        <v>1.130023651236145</v>
      </c>
      <c r="AA63">
        <v>0.28766823206313319</v>
      </c>
      <c r="AB63">
        <v>0.58707802461863923</v>
      </c>
      <c r="AC63">
        <v>0.28351431248195952</v>
      </c>
      <c r="AD63">
        <v>0.57860063771828474</v>
      </c>
      <c r="AE63">
        <v>0.41375176911010131</v>
      </c>
      <c r="AF63">
        <v>0.84439136553081906</v>
      </c>
      <c r="AG63">
        <v>0.35226036905425245</v>
      </c>
      <c r="AH63">
        <v>0.71889871235561731</v>
      </c>
      <c r="AI63">
        <v>0.40396477562859107</v>
      </c>
      <c r="AJ63">
        <v>0.82441790944610427</v>
      </c>
      <c r="AK63">
        <v>0.38172208565646731</v>
      </c>
      <c r="AL63">
        <v>0.77902466460503539</v>
      </c>
      <c r="AM63">
        <v>0.3966591978935074</v>
      </c>
      <c r="AN63">
        <v>0.80950856712960695</v>
      </c>
      <c r="AO63">
        <v>0.6987163424831655</v>
      </c>
      <c r="AP63">
        <v>1.425951719353399</v>
      </c>
      <c r="AQ63">
        <v>0.5176213335911779</v>
      </c>
      <c r="AR63">
        <v>1.0563700685534243</v>
      </c>
    </row>
    <row r="64" spans="1:44" x14ac:dyDescent="0.3">
      <c r="B64">
        <v>25</v>
      </c>
      <c r="C64">
        <v>4</v>
      </c>
      <c r="D64">
        <v>62</v>
      </c>
      <c r="E64">
        <v>2.6933292113182881</v>
      </c>
      <c r="F64">
        <v>20</v>
      </c>
      <c r="G64">
        <v>40.5</v>
      </c>
      <c r="H64">
        <v>5.5421516754850089E-2</v>
      </c>
      <c r="I64">
        <v>500</v>
      </c>
      <c r="J64">
        <v>0</v>
      </c>
      <c r="K64">
        <v>66.612008163975105</v>
      </c>
      <c r="L64">
        <v>500</v>
      </c>
      <c r="M64">
        <v>0.67</v>
      </c>
      <c r="N64">
        <v>0.38022243394277228</v>
      </c>
      <c r="O64">
        <v>0.56749617006383923</v>
      </c>
      <c r="P64">
        <v>0.43961936124438972</v>
      </c>
      <c r="Q64">
        <v>0.65614830036476068</v>
      </c>
      <c r="R64">
        <v>0.33279926578708802</v>
      </c>
      <c r="S64">
        <v>0.49671532207028057</v>
      </c>
      <c r="T64">
        <v>0.40277070489560068</v>
      </c>
      <c r="U64">
        <v>1.2376256565018231</v>
      </c>
      <c r="V64">
        <v>0.60115030581432938</v>
      </c>
      <c r="W64">
        <v>0.27553324321937567</v>
      </c>
      <c r="X64">
        <v>0.41124364659608303</v>
      </c>
      <c r="Y64">
        <v>0.66173818367432125</v>
      </c>
      <c r="Z64">
        <v>0.98766893085719587</v>
      </c>
      <c r="AA64">
        <v>0.34110175471716869</v>
      </c>
      <c r="AB64">
        <v>0.50910709659278908</v>
      </c>
      <c r="AC64">
        <v>0.3416952906845131</v>
      </c>
      <c r="AD64">
        <v>0.50999297117091502</v>
      </c>
      <c r="AE64">
        <v>0.49494329203898202</v>
      </c>
      <c r="AF64">
        <v>0.73872133140146568</v>
      </c>
      <c r="AG64">
        <v>0.41769168997205336</v>
      </c>
      <c r="AH64">
        <v>0.62342043279410941</v>
      </c>
      <c r="AI64">
        <v>0.49024229779742012</v>
      </c>
      <c r="AJ64">
        <v>0.73170492208570159</v>
      </c>
      <c r="AK64">
        <v>0.43961936124438972</v>
      </c>
      <c r="AL64">
        <v>0.65614830036476068</v>
      </c>
      <c r="AM64">
        <v>0.47797067242625069</v>
      </c>
      <c r="AN64">
        <v>0.7133890633227622</v>
      </c>
      <c r="AO64">
        <v>0.90406272691227141</v>
      </c>
      <c r="AP64">
        <v>1.349347353600405</v>
      </c>
      <c r="AQ64">
        <v>0.66114062330281209</v>
      </c>
      <c r="AR64">
        <v>0.98677704970568958</v>
      </c>
    </row>
    <row r="65" spans="1:44" x14ac:dyDescent="0.3">
      <c r="A65" t="s">
        <v>18</v>
      </c>
      <c r="B65">
        <v>25</v>
      </c>
      <c r="C65">
        <v>4</v>
      </c>
      <c r="D65">
        <v>62</v>
      </c>
      <c r="E65">
        <v>2.6933292113182881</v>
      </c>
      <c r="F65">
        <v>20</v>
      </c>
      <c r="G65">
        <v>40.5</v>
      </c>
      <c r="H65">
        <v>5.5421516754850089E-2</v>
      </c>
      <c r="I65">
        <v>210.83754926858927</v>
      </c>
      <c r="J65">
        <v>0.55618695878961955</v>
      </c>
      <c r="K65">
        <v>66.612008163975105</v>
      </c>
      <c r="L65">
        <v>173.78881902899866</v>
      </c>
      <c r="M65">
        <v>0.27</v>
      </c>
      <c r="N65">
        <v>0.14122631889912982</v>
      </c>
      <c r="O65">
        <v>0.52306044036714738</v>
      </c>
      <c r="P65">
        <v>0.15610003267778957</v>
      </c>
      <c r="Q65">
        <v>0.57814826917699835</v>
      </c>
      <c r="R65">
        <v>0.12361189410122388</v>
      </c>
      <c r="S65">
        <v>0.45782183000453286</v>
      </c>
      <c r="T65">
        <v>0.17799191159417418</v>
      </c>
      <c r="U65">
        <v>0.24169857413436355</v>
      </c>
      <c r="V65">
        <v>0.65922930220064513</v>
      </c>
      <c r="W65">
        <v>0.10544233907574208</v>
      </c>
      <c r="X65">
        <v>0.39052718176200768</v>
      </c>
      <c r="Y65">
        <v>0.25417901221399969</v>
      </c>
      <c r="Z65">
        <v>0.94140374894073953</v>
      </c>
      <c r="AA65">
        <v>0.14383411603156659</v>
      </c>
      <c r="AB65">
        <v>0.53271894826506139</v>
      </c>
      <c r="AC65">
        <v>0.12690083925469661</v>
      </c>
      <c r="AD65">
        <v>0.47000310835072817</v>
      </c>
      <c r="AE65">
        <v>0.19519775377137535</v>
      </c>
      <c r="AF65">
        <v>0.72295464359768646</v>
      </c>
      <c r="AG65">
        <v>0.17613018452712623</v>
      </c>
      <c r="AH65">
        <v>0.6523340167671341</v>
      </c>
      <c r="AI65">
        <v>0.1597966073534369</v>
      </c>
      <c r="AJ65">
        <v>0.59183928649421069</v>
      </c>
      <c r="AK65">
        <v>0.18103752318944741</v>
      </c>
      <c r="AL65">
        <v>0.6705093451461015</v>
      </c>
      <c r="AM65">
        <v>0.16770822936657279</v>
      </c>
      <c r="AN65">
        <v>0.62114159024656579</v>
      </c>
      <c r="AO65">
        <v>0.24569876241229988</v>
      </c>
      <c r="AP65">
        <v>0.90999541634185133</v>
      </c>
      <c r="AQ65">
        <v>0.18174855379482613</v>
      </c>
      <c r="AR65">
        <v>0.67314279183268932</v>
      </c>
    </row>
    <row r="66" spans="1:44" x14ac:dyDescent="0.3">
      <c r="B66">
        <v>25</v>
      </c>
      <c r="C66">
        <v>4</v>
      </c>
      <c r="D66">
        <v>62</v>
      </c>
      <c r="E66">
        <v>2.6933292113182881</v>
      </c>
      <c r="F66">
        <v>20</v>
      </c>
      <c r="G66">
        <v>40.5</v>
      </c>
      <c r="H66">
        <v>5.5421516754850089E-2</v>
      </c>
      <c r="I66">
        <v>316.25632390288388</v>
      </c>
      <c r="J66">
        <v>0.33428043818442932</v>
      </c>
      <c r="K66">
        <v>66.612008163975105</v>
      </c>
      <c r="L66">
        <v>293.9892326254855</v>
      </c>
      <c r="M66">
        <v>0.4</v>
      </c>
      <c r="N66">
        <v>0.22835615725307237</v>
      </c>
      <c r="O66">
        <v>0.57089039313268086</v>
      </c>
      <c r="P66">
        <v>0.2594615172931995</v>
      </c>
      <c r="Q66">
        <v>0.64865379323299865</v>
      </c>
      <c r="R66">
        <v>0.19987448053425924</v>
      </c>
      <c r="S66">
        <v>0.49968620133564806</v>
      </c>
      <c r="T66">
        <v>0.26698786739126135</v>
      </c>
      <c r="U66">
        <v>0.54382179180231793</v>
      </c>
      <c r="V66">
        <v>0.66746966847815337</v>
      </c>
      <c r="W66">
        <v>0.16745168588376233</v>
      </c>
      <c r="X66">
        <v>0.41862921470940578</v>
      </c>
      <c r="Y66">
        <v>0.40646494314195047</v>
      </c>
      <c r="Z66">
        <v>1.0161623578548762</v>
      </c>
      <c r="AA66">
        <v>0.21575117404734986</v>
      </c>
      <c r="AB66">
        <v>0.53937793511837462</v>
      </c>
      <c r="AC66">
        <v>0.20520757586832802</v>
      </c>
      <c r="AD66">
        <v>0.51301893967082002</v>
      </c>
      <c r="AE66">
        <v>0.30447476144073832</v>
      </c>
      <c r="AF66">
        <v>0.76118690360184571</v>
      </c>
      <c r="AG66">
        <v>0.26419527679068933</v>
      </c>
      <c r="AH66">
        <v>0.66048819197672326</v>
      </c>
      <c r="AI66">
        <v>0.28188069149101397</v>
      </c>
      <c r="AJ66">
        <v>0.70470172872753489</v>
      </c>
      <c r="AK66">
        <v>0.28066544154832729</v>
      </c>
      <c r="AL66">
        <v>0.70166360387081816</v>
      </c>
      <c r="AM66">
        <v>0.28449284747940923</v>
      </c>
      <c r="AN66">
        <v>0.71123211869852299</v>
      </c>
      <c r="AO66">
        <v>0.45402654428008321</v>
      </c>
      <c r="AP66">
        <v>1.1350663607002081</v>
      </c>
      <c r="AQ66">
        <v>0.33563541112836781</v>
      </c>
      <c r="AR66">
        <v>0.83908852782091947</v>
      </c>
    </row>
    <row r="67" spans="1:44" x14ac:dyDescent="0.3">
      <c r="B67">
        <v>25</v>
      </c>
      <c r="C67">
        <v>4</v>
      </c>
      <c r="D67">
        <v>62</v>
      </c>
      <c r="E67">
        <v>2.6933292113182881</v>
      </c>
      <c r="F67">
        <v>20</v>
      </c>
      <c r="G67">
        <v>40.5</v>
      </c>
      <c r="H67">
        <v>5.5421516754850089E-2</v>
      </c>
      <c r="I67">
        <v>421.67509853717854</v>
      </c>
      <c r="J67">
        <v>0.1123739175792392</v>
      </c>
      <c r="K67">
        <v>66.612008163975105</v>
      </c>
      <c r="L67">
        <v>414.1896462219724</v>
      </c>
      <c r="M67">
        <v>0.53</v>
      </c>
      <c r="N67">
        <v>0.31548599560701496</v>
      </c>
      <c r="O67">
        <v>0.59525659548493381</v>
      </c>
      <c r="P67">
        <v>0.3628230019086095</v>
      </c>
      <c r="Q67">
        <v>0.68457170171435755</v>
      </c>
      <c r="R67">
        <v>0.27613706696729462</v>
      </c>
      <c r="S67">
        <v>0.52101333390055582</v>
      </c>
      <c r="T67">
        <v>0.35598382318834837</v>
      </c>
      <c r="U67">
        <v>0.96679429653745419</v>
      </c>
      <c r="V67">
        <v>0.67166759092141204</v>
      </c>
      <c r="W67">
        <v>0.22946103269178258</v>
      </c>
      <c r="X67">
        <v>0.43294534470147655</v>
      </c>
      <c r="Y67">
        <v>0.55371158910571106</v>
      </c>
      <c r="Z67">
        <v>1.044738847369266</v>
      </c>
      <c r="AA67">
        <v>0.28766823206313319</v>
      </c>
      <c r="AB67">
        <v>0.54277024917572292</v>
      </c>
      <c r="AC67">
        <v>0.28351431248195952</v>
      </c>
      <c r="AD67">
        <v>0.5349326650603009</v>
      </c>
      <c r="AE67">
        <v>0.41375176911010131</v>
      </c>
      <c r="AF67">
        <v>0.7806637153020779</v>
      </c>
      <c r="AG67">
        <v>0.35226036905425245</v>
      </c>
      <c r="AH67">
        <v>0.66464220576274047</v>
      </c>
      <c r="AI67">
        <v>0.40396477562859107</v>
      </c>
      <c r="AJ67">
        <v>0.76219768986526615</v>
      </c>
      <c r="AK67">
        <v>0.38172208565646731</v>
      </c>
      <c r="AL67">
        <v>0.72023035029522131</v>
      </c>
      <c r="AM67">
        <v>0.3966591978935074</v>
      </c>
      <c r="AN67">
        <v>0.74841358093114596</v>
      </c>
      <c r="AO67">
        <v>0.6987163424831655</v>
      </c>
      <c r="AP67">
        <v>1.3183327216663498</v>
      </c>
      <c r="AQ67">
        <v>0.5176213335911779</v>
      </c>
      <c r="AR67">
        <v>0.97664402564373187</v>
      </c>
    </row>
    <row r="68" spans="1:44" x14ac:dyDescent="0.3">
      <c r="B68">
        <v>25</v>
      </c>
      <c r="C68">
        <v>4</v>
      </c>
      <c r="D68">
        <v>62</v>
      </c>
      <c r="E68">
        <v>2.6933292113182881</v>
      </c>
      <c r="F68">
        <v>20</v>
      </c>
      <c r="G68">
        <v>40.5</v>
      </c>
      <c r="H68">
        <v>5.5421516754850089E-2</v>
      </c>
      <c r="I68">
        <v>500</v>
      </c>
      <c r="J68">
        <v>0</v>
      </c>
      <c r="K68">
        <v>66.612008163975105</v>
      </c>
      <c r="L68">
        <v>500</v>
      </c>
      <c r="M68">
        <v>0.72</v>
      </c>
      <c r="N68">
        <v>0.38022243394277228</v>
      </c>
      <c r="O68">
        <v>0.52808671380940597</v>
      </c>
      <c r="P68">
        <v>0.43961936124438972</v>
      </c>
      <c r="Q68">
        <v>0.61058244617276347</v>
      </c>
      <c r="R68">
        <v>0.33279926578708802</v>
      </c>
      <c r="S68">
        <v>0.46222120248206672</v>
      </c>
      <c r="T68">
        <v>0.40277070489560068</v>
      </c>
      <c r="U68">
        <v>1.2376256565018231</v>
      </c>
      <c r="V68">
        <v>0.55940375679944543</v>
      </c>
      <c r="W68">
        <v>0.27553324321937567</v>
      </c>
      <c r="X68">
        <v>0.38268506002691066</v>
      </c>
      <c r="Y68">
        <v>0.66173818367432125</v>
      </c>
      <c r="Z68">
        <v>0.91908081065877956</v>
      </c>
      <c r="AA68">
        <v>0.34110175471716869</v>
      </c>
      <c r="AB68">
        <v>0.47375243710717874</v>
      </c>
      <c r="AC68">
        <v>0.3416952906845131</v>
      </c>
      <c r="AD68">
        <v>0.47457679261737934</v>
      </c>
      <c r="AE68">
        <v>0.49494329203898202</v>
      </c>
      <c r="AF68">
        <v>0.68742123894303064</v>
      </c>
      <c r="AG68">
        <v>0.41769168997205336</v>
      </c>
      <c r="AH68">
        <v>0.58012734718340742</v>
      </c>
      <c r="AI68">
        <v>0.49024229779742012</v>
      </c>
      <c r="AJ68">
        <v>0.68089208027419468</v>
      </c>
      <c r="AK68">
        <v>0.43961936124438972</v>
      </c>
      <c r="AL68">
        <v>0.61058244617276347</v>
      </c>
      <c r="AM68">
        <v>0.47797067242625069</v>
      </c>
      <c r="AN68">
        <v>0.66384815614757042</v>
      </c>
      <c r="AO68">
        <v>0.90406272691227141</v>
      </c>
      <c r="AP68">
        <v>1.2556426762670436</v>
      </c>
      <c r="AQ68">
        <v>0.66114062330281209</v>
      </c>
      <c r="AR68">
        <v>0.91825086569835013</v>
      </c>
    </row>
    <row r="69" spans="1:44" x14ac:dyDescent="0.3">
      <c r="A69" t="s">
        <v>19</v>
      </c>
      <c r="B69">
        <v>25</v>
      </c>
      <c r="C69">
        <v>4</v>
      </c>
      <c r="D69">
        <v>28.7</v>
      </c>
      <c r="E69">
        <v>2.6933292113182881</v>
      </c>
      <c r="F69">
        <v>70</v>
      </c>
      <c r="G69">
        <v>94.5</v>
      </c>
      <c r="H69">
        <v>5.2620596145749564E-2</v>
      </c>
      <c r="I69">
        <v>122.34076582972288</v>
      </c>
      <c r="J69">
        <v>0.6</v>
      </c>
      <c r="K69">
        <v>69.198767762806767</v>
      </c>
      <c r="L69">
        <v>80.821505172038826</v>
      </c>
      <c r="M69">
        <v>0.3</v>
      </c>
      <c r="N69">
        <v>0.10990592534117057</v>
      </c>
      <c r="O69">
        <v>0.36635308447056858</v>
      </c>
      <c r="P69">
        <v>0.10939457736918726</v>
      </c>
      <c r="Q69">
        <v>0.36464859123062421</v>
      </c>
      <c r="R69">
        <v>0.12881608464782118</v>
      </c>
      <c r="S69">
        <v>0.42938694882607065</v>
      </c>
      <c r="T69">
        <v>0.16556711308129932</v>
      </c>
      <c r="U69">
        <v>8.1665558272208852E-2</v>
      </c>
      <c r="V69">
        <v>0.27221852757402953</v>
      </c>
      <c r="W69">
        <v>0.12972038637164129</v>
      </c>
      <c r="X69">
        <v>0.432401287905471</v>
      </c>
      <c r="Y69">
        <v>0.11990796349814375</v>
      </c>
      <c r="Z69">
        <v>0.39969321166047922</v>
      </c>
      <c r="AA69">
        <v>0.18533904628583389</v>
      </c>
      <c r="AB69">
        <v>0.61779682095277966</v>
      </c>
      <c r="AC69">
        <v>8.7861380667245123E-2</v>
      </c>
      <c r="AD69">
        <v>0.2928712688908171</v>
      </c>
      <c r="AE69">
        <v>0.14891108881475229</v>
      </c>
      <c r="AF69">
        <v>0.49637029604917432</v>
      </c>
      <c r="AG69">
        <v>0.22163979815661172</v>
      </c>
      <c r="AH69">
        <v>0.73879932718870578</v>
      </c>
      <c r="AI69">
        <v>0.22163979815661172</v>
      </c>
      <c r="AJ69">
        <v>0.73879932718870578</v>
      </c>
      <c r="AK69">
        <v>0.21747161875638735</v>
      </c>
      <c r="AL69">
        <v>0.72490539585462455</v>
      </c>
      <c r="AM69">
        <v>0.10939457736918726</v>
      </c>
      <c r="AN69">
        <v>0.36464859123062421</v>
      </c>
      <c r="AO69">
        <v>0.11977962427406223</v>
      </c>
      <c r="AP69">
        <v>0.39926541424687412</v>
      </c>
      <c r="AQ69">
        <v>0.10575890342601783</v>
      </c>
      <c r="AR69">
        <v>0.35252967808672614</v>
      </c>
    </row>
    <row r="70" spans="1:44" x14ac:dyDescent="0.3">
      <c r="B70">
        <v>25</v>
      </c>
      <c r="C70">
        <v>4</v>
      </c>
      <c r="D70">
        <v>28.7</v>
      </c>
      <c r="E70">
        <v>2.6933292113182881</v>
      </c>
      <c r="F70">
        <v>70</v>
      </c>
      <c r="G70">
        <v>94.5</v>
      </c>
      <c r="H70">
        <v>5.2620596145749564E-2</v>
      </c>
      <c r="I70">
        <v>244.68153165944577</v>
      </c>
      <c r="J70">
        <v>0.4849453758568667</v>
      </c>
      <c r="K70">
        <v>69.198767762806767</v>
      </c>
      <c r="L70">
        <v>211.1239092178794</v>
      </c>
      <c r="M70">
        <v>0.56999999999999995</v>
      </c>
      <c r="N70">
        <v>0.27627222904761223</v>
      </c>
      <c r="O70">
        <v>0.48468812113616183</v>
      </c>
      <c r="P70">
        <v>0.38150227100816453</v>
      </c>
      <c r="Q70">
        <v>0.66930222983888521</v>
      </c>
      <c r="R70">
        <v>0.32380698977208044</v>
      </c>
      <c r="S70">
        <v>0.5680824381966324</v>
      </c>
      <c r="T70">
        <v>0.33113422616259863</v>
      </c>
      <c r="U70">
        <v>0.32666223308883541</v>
      </c>
      <c r="V70">
        <v>0.57309163699795695</v>
      </c>
      <c r="W70">
        <v>0.29763448903466261</v>
      </c>
      <c r="X70">
        <v>0.52216577023625022</v>
      </c>
      <c r="Y70">
        <v>0.43409062108857388</v>
      </c>
      <c r="Z70">
        <v>0.76156249313784896</v>
      </c>
      <c r="AA70">
        <v>0.37067809257166778</v>
      </c>
      <c r="AB70">
        <v>0.65031244310818914</v>
      </c>
      <c r="AC70">
        <v>0.218404599319305</v>
      </c>
      <c r="AD70">
        <v>0.38316596371807898</v>
      </c>
      <c r="AE70">
        <v>0.33143842403959017</v>
      </c>
      <c r="AF70">
        <v>0.58147091936770212</v>
      </c>
      <c r="AG70">
        <v>0.44327959631322345</v>
      </c>
      <c r="AH70">
        <v>0.77768350230390082</v>
      </c>
      <c r="AI70">
        <v>0.44327959631322345</v>
      </c>
      <c r="AJ70">
        <v>0.77768350230390082</v>
      </c>
      <c r="AK70">
        <v>0.46445424899750293</v>
      </c>
      <c r="AL70">
        <v>0.8148320157850929</v>
      </c>
      <c r="AM70">
        <v>0.43559236577183119</v>
      </c>
      <c r="AN70">
        <v>0.76419713293303726</v>
      </c>
      <c r="AO70">
        <v>0.42685407389062208</v>
      </c>
      <c r="AP70">
        <v>0.74886679629933706</v>
      </c>
      <c r="AQ70">
        <v>0.40884274805073917</v>
      </c>
      <c r="AR70">
        <v>0.71726797903638462</v>
      </c>
    </row>
    <row r="71" spans="1:44" x14ac:dyDescent="0.3">
      <c r="A71" t="s">
        <v>20</v>
      </c>
      <c r="B71">
        <v>25</v>
      </c>
      <c r="C71">
        <v>4</v>
      </c>
      <c r="D71">
        <v>28.7</v>
      </c>
      <c r="E71">
        <v>2.6933292113182881</v>
      </c>
      <c r="F71">
        <v>70</v>
      </c>
      <c r="G71">
        <v>90.5</v>
      </c>
      <c r="H71">
        <v>5.2767941707515108E-2</v>
      </c>
      <c r="I71">
        <v>120.90671371295994</v>
      </c>
      <c r="J71">
        <v>0.6</v>
      </c>
      <c r="K71">
        <v>69.055845270099979</v>
      </c>
      <c r="L71">
        <v>79.47320655089996</v>
      </c>
      <c r="M71">
        <v>0.26</v>
      </c>
      <c r="N71">
        <v>0.1079259949450118</v>
      </c>
      <c r="O71">
        <v>0.41509998055773767</v>
      </c>
      <c r="P71">
        <v>0.10629770257672502</v>
      </c>
      <c r="Q71">
        <v>0.40883731760278852</v>
      </c>
      <c r="R71">
        <v>0.12657750301551265</v>
      </c>
      <c r="S71">
        <v>0.48683655005966403</v>
      </c>
      <c r="T71">
        <v>0.16360417247081654</v>
      </c>
      <c r="U71">
        <v>7.9740606352613888E-2</v>
      </c>
      <c r="V71">
        <v>0.3066946398177457</v>
      </c>
      <c r="W71">
        <v>0.12197922277412948</v>
      </c>
      <c r="X71">
        <v>0.46915085682357494</v>
      </c>
      <c r="Y71">
        <v>0.1154480933219694</v>
      </c>
      <c r="Z71">
        <v>0.44403112816142076</v>
      </c>
      <c r="AA71">
        <v>0.17610174858082356</v>
      </c>
      <c r="AB71">
        <v>0.67731441761855216</v>
      </c>
      <c r="AC71">
        <v>8.3899052148472111E-2</v>
      </c>
      <c r="AD71">
        <v>0.32268866210950808</v>
      </c>
      <c r="AE71">
        <v>0.14399660571473696</v>
      </c>
      <c r="AF71">
        <v>0.5538330989028345</v>
      </c>
      <c r="AG71">
        <v>0.20933695758146395</v>
      </c>
      <c r="AH71">
        <v>0.80514214454409205</v>
      </c>
      <c r="AI71">
        <v>0.10629770257672502</v>
      </c>
      <c r="AJ71">
        <v>0.40883731760278852</v>
      </c>
      <c r="AK71">
        <v>0.21173980120691188</v>
      </c>
      <c r="AL71">
        <v>0.81438385079581488</v>
      </c>
      <c r="AM71">
        <v>0.10629770257672502</v>
      </c>
      <c r="AN71">
        <v>0.40883731760278852</v>
      </c>
      <c r="AO71">
        <v>0.11661648578447287</v>
      </c>
      <c r="AP71">
        <v>0.44852494532489562</v>
      </c>
      <c r="AQ71">
        <v>0.10282888284834817</v>
      </c>
      <c r="AR71">
        <v>0.39549570326287753</v>
      </c>
    </row>
    <row r="72" spans="1:44" x14ac:dyDescent="0.3">
      <c r="B72">
        <v>25</v>
      </c>
      <c r="C72">
        <v>4</v>
      </c>
      <c r="D72">
        <v>28.7</v>
      </c>
      <c r="E72">
        <v>2.6933292113182881</v>
      </c>
      <c r="F72">
        <v>70</v>
      </c>
      <c r="G72">
        <v>90.5</v>
      </c>
      <c r="H72">
        <v>5.2767941707515108E-2</v>
      </c>
      <c r="I72">
        <v>241.81342742591988</v>
      </c>
      <c r="J72">
        <v>0.49098273526843861</v>
      </c>
      <c r="K72">
        <v>69.055845270099979</v>
      </c>
      <c r="L72">
        <v>207.90819962893212</v>
      </c>
      <c r="M72">
        <v>0.6</v>
      </c>
      <c r="N72">
        <v>0.27211941231575132</v>
      </c>
      <c r="O72">
        <v>0.45353235385958557</v>
      </c>
      <c r="P72">
        <v>0.37132705037540759</v>
      </c>
      <c r="Q72">
        <v>0.61887841729234605</v>
      </c>
      <c r="R72">
        <v>0.31914642761019552</v>
      </c>
      <c r="S72">
        <v>0.53191071268365919</v>
      </c>
      <c r="T72">
        <v>0.32720834494163309</v>
      </c>
      <c r="U72">
        <v>0.31896242541045555</v>
      </c>
      <c r="V72">
        <v>0.53160404235075931</v>
      </c>
      <c r="W72">
        <v>0.28090090952765673</v>
      </c>
      <c r="X72">
        <v>0.46816818254609455</v>
      </c>
      <c r="Y72">
        <v>0.42747513686676497</v>
      </c>
      <c r="Z72">
        <v>0.71245856144460828</v>
      </c>
      <c r="AA72">
        <v>0.35220349716164712</v>
      </c>
      <c r="AB72">
        <v>0.58700582860274519</v>
      </c>
      <c r="AC72">
        <v>0.20927750609102935</v>
      </c>
      <c r="AD72">
        <v>0.34879584348504894</v>
      </c>
      <c r="AE72">
        <v>0.32097389209282901</v>
      </c>
      <c r="AF72">
        <v>0.53495648682138175</v>
      </c>
      <c r="AG72">
        <v>0.4186739151629279</v>
      </c>
      <c r="AH72">
        <v>0.69778985860487985</v>
      </c>
      <c r="AI72">
        <v>0.40042765797216162</v>
      </c>
      <c r="AJ72">
        <v>0.66737942995360278</v>
      </c>
      <c r="AK72">
        <v>0.4517790176630731</v>
      </c>
      <c r="AL72">
        <v>0.75296502943845522</v>
      </c>
      <c r="AM72">
        <v>0.42243772809082808</v>
      </c>
      <c r="AN72">
        <v>0.70406288015138019</v>
      </c>
      <c r="AO72">
        <v>0.41610235652026495</v>
      </c>
      <c r="AP72">
        <v>0.69350392753377499</v>
      </c>
      <c r="AQ72">
        <v>0.3981688688469045</v>
      </c>
      <c r="AR72">
        <v>0.66361478141150754</v>
      </c>
    </row>
    <row r="73" spans="1:44" x14ac:dyDescent="0.3">
      <c r="A73" t="s">
        <v>21</v>
      </c>
      <c r="B73">
        <v>25</v>
      </c>
      <c r="C73">
        <v>4</v>
      </c>
      <c r="D73">
        <v>28.7</v>
      </c>
      <c r="E73">
        <v>2.6933292113182881</v>
      </c>
      <c r="F73">
        <v>70</v>
      </c>
      <c r="G73">
        <v>90.5</v>
      </c>
      <c r="H73">
        <v>5.2767941707515108E-2</v>
      </c>
      <c r="I73">
        <v>120.90671371295994</v>
      </c>
      <c r="J73">
        <v>0.6</v>
      </c>
      <c r="K73">
        <v>69.055845270099979</v>
      </c>
      <c r="L73">
        <v>79.47320655089996</v>
      </c>
      <c r="M73">
        <v>0.27</v>
      </c>
      <c r="N73">
        <v>0.1079259949450118</v>
      </c>
      <c r="O73">
        <v>0.3997259072037474</v>
      </c>
      <c r="P73">
        <v>0.10629770257672502</v>
      </c>
      <c r="Q73">
        <v>0.39369519472861114</v>
      </c>
      <c r="R73">
        <v>0.12657750301551265</v>
      </c>
      <c r="S73">
        <v>0.46880556672412094</v>
      </c>
      <c r="T73">
        <v>0.16360417247081654</v>
      </c>
      <c r="U73">
        <v>7.9740606352613888E-2</v>
      </c>
      <c r="V73">
        <v>0.29533557908375513</v>
      </c>
      <c r="W73">
        <v>0.12197922277412948</v>
      </c>
      <c r="X73">
        <v>0.45177489916344249</v>
      </c>
      <c r="Y73">
        <v>0.1154480933219694</v>
      </c>
      <c r="Z73">
        <v>0.42758553082210887</v>
      </c>
      <c r="AA73">
        <v>0.17610174858082356</v>
      </c>
      <c r="AB73">
        <v>0.65222869844749465</v>
      </c>
      <c r="AC73">
        <v>8.3899052148472111E-2</v>
      </c>
      <c r="AD73">
        <v>0.31073723017952631</v>
      </c>
      <c r="AE73">
        <v>0.14399660571473696</v>
      </c>
      <c r="AF73">
        <v>0.53332076190643318</v>
      </c>
      <c r="AG73">
        <v>0.20933695758146395</v>
      </c>
      <c r="AH73">
        <v>0.77532206511653312</v>
      </c>
      <c r="AI73">
        <v>0.10629770257672502</v>
      </c>
      <c r="AJ73">
        <v>0.39369519472861114</v>
      </c>
      <c r="AK73">
        <v>0.21173980120691188</v>
      </c>
      <c r="AL73">
        <v>0.78422148595152541</v>
      </c>
      <c r="AM73">
        <v>0.10629770257672502</v>
      </c>
      <c r="AN73">
        <v>0.39369519472861114</v>
      </c>
      <c r="AO73">
        <v>0.11661648578447287</v>
      </c>
      <c r="AP73">
        <v>0.43191291031286244</v>
      </c>
      <c r="AQ73">
        <v>0.10282888284834817</v>
      </c>
      <c r="AR73">
        <v>0.38084771425314135</v>
      </c>
    </row>
    <row r="74" spans="1:44" x14ac:dyDescent="0.3">
      <c r="B74">
        <v>25</v>
      </c>
      <c r="C74">
        <v>4</v>
      </c>
      <c r="D74">
        <v>28.7</v>
      </c>
      <c r="E74">
        <v>2.6933292113182881</v>
      </c>
      <c r="F74">
        <v>70</v>
      </c>
      <c r="G74">
        <v>90.5</v>
      </c>
      <c r="H74">
        <v>5.2767941707515108E-2</v>
      </c>
      <c r="I74">
        <v>241.81342742591988</v>
      </c>
      <c r="J74">
        <v>0.49098273526843861</v>
      </c>
      <c r="K74">
        <v>69.055845270099979</v>
      </c>
      <c r="L74">
        <v>207.90819962893212</v>
      </c>
      <c r="M74">
        <v>0.59</v>
      </c>
      <c r="N74">
        <v>0.27211941231575132</v>
      </c>
      <c r="O74">
        <v>0.46121934290805311</v>
      </c>
      <c r="P74">
        <v>0.37132705037540759</v>
      </c>
      <c r="Q74">
        <v>0.62936788199221627</v>
      </c>
      <c r="R74">
        <v>0.31914642761019552</v>
      </c>
      <c r="S74">
        <v>0.54092614849185683</v>
      </c>
      <c r="T74">
        <v>0.32720834494163309</v>
      </c>
      <c r="U74">
        <v>0.31896242541045555</v>
      </c>
      <c r="V74">
        <v>0.54061428035670434</v>
      </c>
      <c r="W74">
        <v>0.28090090952765673</v>
      </c>
      <c r="X74">
        <v>0.47610323648755382</v>
      </c>
      <c r="Y74">
        <v>0.42747513686676497</v>
      </c>
      <c r="Z74">
        <v>0.72453413028265257</v>
      </c>
      <c r="AA74">
        <v>0.35220349716164712</v>
      </c>
      <c r="AB74">
        <v>0.59695507993499519</v>
      </c>
      <c r="AC74">
        <v>0.20927750609102935</v>
      </c>
      <c r="AD74">
        <v>0.35470763744242267</v>
      </c>
      <c r="AE74">
        <v>0.32097389209282901</v>
      </c>
      <c r="AF74">
        <v>0.5440235459200492</v>
      </c>
      <c r="AG74">
        <v>0.4186739151629279</v>
      </c>
      <c r="AH74">
        <v>0.70961680536089478</v>
      </c>
      <c r="AI74">
        <v>0.40042765797216162</v>
      </c>
      <c r="AJ74">
        <v>0.67869094571552824</v>
      </c>
      <c r="AK74">
        <v>0.4517790176630731</v>
      </c>
      <c r="AL74">
        <v>0.76572714858147983</v>
      </c>
      <c r="AM74">
        <v>0.42243772809082808</v>
      </c>
      <c r="AN74">
        <v>0.71599614930648836</v>
      </c>
      <c r="AO74">
        <v>0.41610235652026495</v>
      </c>
      <c r="AP74">
        <v>0.70525823139027966</v>
      </c>
      <c r="AQ74">
        <v>0.3981688688469045</v>
      </c>
      <c r="AR74">
        <v>0.67486248957102457</v>
      </c>
    </row>
    <row r="75" spans="1:44" x14ac:dyDescent="0.3">
      <c r="A75" t="s">
        <v>22</v>
      </c>
      <c r="B75">
        <v>9.52</v>
      </c>
      <c r="C75">
        <v>3</v>
      </c>
      <c r="D75">
        <v>22.2</v>
      </c>
      <c r="E75">
        <v>3.5641600019995088</v>
      </c>
      <c r="F75">
        <v>20.64</v>
      </c>
      <c r="G75">
        <v>25.4</v>
      </c>
      <c r="H75">
        <v>3.2448510099947522E-2</v>
      </c>
      <c r="I75">
        <v>295.47063165325955</v>
      </c>
      <c r="J75">
        <v>0.37803432036988871</v>
      </c>
      <c r="K75">
        <v>130.56402948394532</v>
      </c>
      <c r="L75">
        <v>246.11294750254217</v>
      </c>
      <c r="M75">
        <v>0.15</v>
      </c>
      <c r="N75">
        <v>0.13329381492770445</v>
      </c>
      <c r="O75">
        <v>0.88862543285136308</v>
      </c>
      <c r="P75">
        <v>0.12366214399887077</v>
      </c>
      <c r="Q75">
        <v>0.82441429332580518</v>
      </c>
      <c r="R75">
        <v>0.13033571952634693</v>
      </c>
      <c r="S75">
        <v>0.86890479684231292</v>
      </c>
      <c r="T75">
        <v>0.14133750002718667</v>
      </c>
      <c r="U75">
        <v>0.13684830482913171</v>
      </c>
      <c r="V75">
        <v>0.91232203219421149</v>
      </c>
      <c r="W75">
        <v>0.10572052130096984</v>
      </c>
      <c r="X75">
        <v>0.70480347533979903</v>
      </c>
      <c r="Y75">
        <v>0.20816075063164449</v>
      </c>
      <c r="Z75">
        <v>1.3877383375442967</v>
      </c>
      <c r="AA75">
        <v>0.141040005310795</v>
      </c>
      <c r="AB75">
        <v>0.94026670207196672</v>
      </c>
      <c r="AC75">
        <v>9.7608122271360079E-2</v>
      </c>
      <c r="AD75">
        <v>0.65072081514240054</v>
      </c>
      <c r="AE75">
        <v>0.12185310734004789</v>
      </c>
      <c r="AF75">
        <v>0.81235404893365271</v>
      </c>
      <c r="AG75">
        <v>0.1396639404957189</v>
      </c>
      <c r="AH75">
        <v>0.93109293663812598</v>
      </c>
      <c r="AI75">
        <v>0.14576285622789853</v>
      </c>
      <c r="AJ75">
        <v>0.97175237485265686</v>
      </c>
      <c r="AK75">
        <v>0.15361393013724833</v>
      </c>
      <c r="AL75">
        <v>1.0240928675816556</v>
      </c>
      <c r="AM75">
        <v>0.15022612934554355</v>
      </c>
      <c r="AN75">
        <v>1.0015075289702904</v>
      </c>
      <c r="AO75">
        <v>0.14468014850431984</v>
      </c>
      <c r="AP75">
        <v>0.9645343233621323</v>
      </c>
      <c r="AQ75">
        <v>0.13437916066970959</v>
      </c>
      <c r="AR75">
        <v>0.89586107113139735</v>
      </c>
    </row>
    <row r="76" spans="1:44" x14ac:dyDescent="0.3">
      <c r="B76">
        <v>9.52</v>
      </c>
      <c r="C76">
        <v>3</v>
      </c>
      <c r="D76">
        <v>22.2</v>
      </c>
      <c r="E76">
        <v>3.5641600019995088</v>
      </c>
      <c r="F76">
        <v>20.64</v>
      </c>
      <c r="G76">
        <v>25.4</v>
      </c>
      <c r="H76">
        <v>3.2448510099947522E-2</v>
      </c>
      <c r="I76">
        <v>343.86668338956935</v>
      </c>
      <c r="J76">
        <v>0.27616063146495651</v>
      </c>
      <c r="K76">
        <v>130.56402948394532</v>
      </c>
      <c r="L76">
        <v>307.81003856067383</v>
      </c>
      <c r="M76">
        <v>0.17</v>
      </c>
      <c r="N76">
        <v>0.1630033372764875</v>
      </c>
      <c r="O76">
        <v>0.95884316044992635</v>
      </c>
      <c r="P76">
        <v>0.1537022961834705</v>
      </c>
      <c r="Q76">
        <v>0.90413115402041466</v>
      </c>
      <c r="R76">
        <v>0.15938591944907343</v>
      </c>
      <c r="S76">
        <v>0.93756423205337303</v>
      </c>
      <c r="T76">
        <v>0.16448760779026034</v>
      </c>
      <c r="U76">
        <v>0.18534931298386784</v>
      </c>
      <c r="V76">
        <v>0.96757416347211955</v>
      </c>
      <c r="W76">
        <v>0.12620235173470354</v>
      </c>
      <c r="X76">
        <v>0.74236677491002079</v>
      </c>
      <c r="Y76">
        <v>0.25338034839322776</v>
      </c>
      <c r="Z76">
        <v>1.4904726376072219</v>
      </c>
      <c r="AA76">
        <v>0.16414138549101145</v>
      </c>
      <c r="AB76">
        <v>0.96553756171183203</v>
      </c>
      <c r="AC76">
        <v>0.11609888852796953</v>
      </c>
      <c r="AD76">
        <v>0.68293463839982071</v>
      </c>
      <c r="AE76">
        <v>0.14354614769334423</v>
      </c>
      <c r="AF76">
        <v>0.84438910407849543</v>
      </c>
      <c r="AG76">
        <v>0.16253993074932804</v>
      </c>
      <c r="AH76">
        <v>0.95611723970192963</v>
      </c>
      <c r="AI76">
        <v>0.18594638321687937</v>
      </c>
      <c r="AJ76">
        <v>1.0938022542169374</v>
      </c>
      <c r="AK76">
        <v>0.18189082526950365</v>
      </c>
      <c r="AL76">
        <v>1.0699460309970803</v>
      </c>
      <c r="AM76">
        <v>0.18610540199744188</v>
      </c>
      <c r="AN76">
        <v>1.0947376588084816</v>
      </c>
      <c r="AO76">
        <v>0.18162927748054286</v>
      </c>
      <c r="AP76">
        <v>1.0684075145914285</v>
      </c>
      <c r="AQ76">
        <v>0.172036156056423</v>
      </c>
      <c r="AR76">
        <v>1.0119773885671941</v>
      </c>
    </row>
    <row r="77" spans="1:44" x14ac:dyDescent="0.3">
      <c r="A77" t="s">
        <v>23</v>
      </c>
      <c r="B77">
        <v>12.7</v>
      </c>
      <c r="C77">
        <v>3</v>
      </c>
      <c r="D77">
        <v>19.05</v>
      </c>
      <c r="E77">
        <v>3.9766081638229425</v>
      </c>
      <c r="F77">
        <v>19.05</v>
      </c>
      <c r="G77">
        <v>25.4</v>
      </c>
      <c r="H77">
        <v>6.4212474555939286E-2</v>
      </c>
      <c r="I77">
        <v>303.25602523129726</v>
      </c>
      <c r="J77">
        <v>0.36164606688811929</v>
      </c>
      <c r="K77">
        <v>83.818709045569435</v>
      </c>
      <c r="L77">
        <v>272.94331877332746</v>
      </c>
      <c r="M77">
        <v>0.15</v>
      </c>
      <c r="N77">
        <v>0.11767813019457772</v>
      </c>
      <c r="O77">
        <v>0.78452086796385145</v>
      </c>
      <c r="P77">
        <v>0.12257101888901509</v>
      </c>
      <c r="Q77">
        <v>0.81714012592676732</v>
      </c>
      <c r="R77">
        <v>0.12444951194564861</v>
      </c>
      <c r="S77">
        <v>0.82966341297099078</v>
      </c>
      <c r="T77">
        <v>0.14698610892576175</v>
      </c>
      <c r="U77">
        <v>0.17649154312756957</v>
      </c>
      <c r="V77">
        <v>0.97990739283841166</v>
      </c>
      <c r="W77">
        <v>8.5929874012790203E-2</v>
      </c>
      <c r="X77">
        <v>0.57286582675193476</v>
      </c>
      <c r="Y77">
        <v>0.22278344779495962</v>
      </c>
      <c r="Z77">
        <v>1.485222985299731</v>
      </c>
      <c r="AA77">
        <v>0.14363438998836361</v>
      </c>
      <c r="AB77">
        <v>0.9575625999224241</v>
      </c>
      <c r="AC77">
        <v>0.1096602547768438</v>
      </c>
      <c r="AD77">
        <v>0.73106836517895868</v>
      </c>
      <c r="AE77">
        <v>0.12691535141382154</v>
      </c>
      <c r="AF77">
        <v>0.84610234275881036</v>
      </c>
      <c r="AG77">
        <v>0.14556964857609481</v>
      </c>
      <c r="AH77">
        <v>0.97046432384063208</v>
      </c>
      <c r="AI77">
        <v>0.13878769380193201</v>
      </c>
      <c r="AJ77">
        <v>0.92525129201288014</v>
      </c>
      <c r="AK77">
        <v>0.14222424166995234</v>
      </c>
      <c r="AL77">
        <v>0.94816161113301567</v>
      </c>
      <c r="AM77">
        <v>0.14131486041685221</v>
      </c>
      <c r="AN77">
        <v>0.94209906944568145</v>
      </c>
      <c r="AO77">
        <v>0.16104591288533532</v>
      </c>
      <c r="AP77">
        <v>1.0736394192355689</v>
      </c>
      <c r="AQ77">
        <v>0.14298862215441252</v>
      </c>
      <c r="AR77">
        <v>0.95325748102941688</v>
      </c>
    </row>
    <row r="78" spans="1:44" x14ac:dyDescent="0.3">
      <c r="B78">
        <v>12.7</v>
      </c>
      <c r="C78">
        <v>3</v>
      </c>
      <c r="D78">
        <v>19.05</v>
      </c>
      <c r="E78">
        <v>3.9766081638229425</v>
      </c>
      <c r="F78">
        <v>19.05</v>
      </c>
      <c r="G78">
        <v>25.4</v>
      </c>
      <c r="H78">
        <v>6.4212474555939286E-2</v>
      </c>
      <c r="I78">
        <v>347.81022799039772</v>
      </c>
      <c r="J78">
        <v>0.26785947008021282</v>
      </c>
      <c r="K78">
        <v>83.818709045569435</v>
      </c>
      <c r="L78">
        <v>325.35859300264394</v>
      </c>
      <c r="M78">
        <v>0.17</v>
      </c>
      <c r="N78">
        <v>0.13840455251524975</v>
      </c>
      <c r="O78">
        <v>0.81414442656029251</v>
      </c>
      <c r="P78">
        <v>0.1465765794133671</v>
      </c>
      <c r="Q78">
        <v>0.86221517301980644</v>
      </c>
      <c r="R78">
        <v>0.14636856468656209</v>
      </c>
      <c r="S78">
        <v>0.86099155697977692</v>
      </c>
      <c r="T78">
        <v>0.16858122445513909</v>
      </c>
      <c r="U78">
        <v>0.23216124372145697</v>
      </c>
      <c r="V78">
        <v>0.99165426150081815</v>
      </c>
      <c r="W78">
        <v>9.9764479324658137E-2</v>
      </c>
      <c r="X78">
        <v>0.58684987838034197</v>
      </c>
      <c r="Y78">
        <v>0.26112007113741192</v>
      </c>
      <c r="Z78">
        <v>1.5360004184553642</v>
      </c>
      <c r="AA78">
        <v>0.16473707287764924</v>
      </c>
      <c r="AB78">
        <v>0.96904160516264248</v>
      </c>
      <c r="AC78">
        <v>0.12821946998055819</v>
      </c>
      <c r="AD78">
        <v>0.75423217635622464</v>
      </c>
      <c r="AE78">
        <v>0.14694396331799323</v>
      </c>
      <c r="AF78">
        <v>0.86437625481172475</v>
      </c>
      <c r="AG78">
        <v>0.16695665855646888</v>
      </c>
      <c r="AH78">
        <v>0.98209799150864041</v>
      </c>
      <c r="AI78">
        <v>0.16917412974027912</v>
      </c>
      <c r="AJ78">
        <v>0.99514193964870068</v>
      </c>
      <c r="AK78">
        <v>0.16518119122789468</v>
      </c>
      <c r="AL78">
        <v>0.97165406604643922</v>
      </c>
      <c r="AM78">
        <v>0.16892438347148633</v>
      </c>
      <c r="AN78">
        <v>0.9936728439499195</v>
      </c>
      <c r="AO78">
        <v>0.19575398369670524</v>
      </c>
      <c r="AP78">
        <v>1.1514940217453249</v>
      </c>
      <c r="AQ78">
        <v>0.17687038984542722</v>
      </c>
      <c r="AR78">
        <v>1.0404140579142778</v>
      </c>
    </row>
    <row r="79" spans="1:44" x14ac:dyDescent="0.3">
      <c r="B79">
        <v>12.7</v>
      </c>
      <c r="C79">
        <v>3</v>
      </c>
      <c r="D79">
        <v>19.05</v>
      </c>
      <c r="E79">
        <v>3.9766081638229425</v>
      </c>
      <c r="F79">
        <v>19.05</v>
      </c>
      <c r="G79">
        <v>25.4</v>
      </c>
      <c r="H79">
        <v>6.4212474555939286E-2</v>
      </c>
      <c r="I79">
        <v>411.04845126137917</v>
      </c>
      <c r="J79">
        <v>0.13474301009479672</v>
      </c>
      <c r="K79">
        <v>83.818709045569435</v>
      </c>
      <c r="L79">
        <v>399.75446610231916</v>
      </c>
      <c r="M79">
        <v>0.2</v>
      </c>
      <c r="N79">
        <v>0.16782270032523594</v>
      </c>
      <c r="O79">
        <v>0.8391135016261797</v>
      </c>
      <c r="P79">
        <v>0.18064898789954423</v>
      </c>
      <c r="Q79">
        <v>0.90324493949772111</v>
      </c>
      <c r="R79">
        <v>0.17747947825431035</v>
      </c>
      <c r="S79">
        <v>0.88739739127155171</v>
      </c>
      <c r="T79">
        <v>0.19817501382220473</v>
      </c>
      <c r="U79">
        <v>0.32082566870426454</v>
      </c>
      <c r="V79">
        <v>0.99087506911102363</v>
      </c>
      <c r="W79">
        <v>0.11940069331569654</v>
      </c>
      <c r="X79">
        <v>0.59700346657848269</v>
      </c>
      <c r="Y79">
        <v>0.31456154155224142</v>
      </c>
      <c r="Z79">
        <v>1.572807707761207</v>
      </c>
      <c r="AA79">
        <v>0.19468926794631275</v>
      </c>
      <c r="AB79">
        <v>0.97344633973156369</v>
      </c>
      <c r="AC79">
        <v>0.15456158188260449</v>
      </c>
      <c r="AD79">
        <v>0.77280790941302246</v>
      </c>
      <c r="AE79">
        <v>0.17537167053681754</v>
      </c>
      <c r="AF79">
        <v>0.87685835268408763</v>
      </c>
      <c r="AG79">
        <v>0.19731241465764507</v>
      </c>
      <c r="AH79">
        <v>0.98656207328822532</v>
      </c>
      <c r="AI79">
        <v>0.2123032646205138</v>
      </c>
      <c r="AJ79">
        <v>1.0615163231025688</v>
      </c>
      <c r="AK79">
        <v>0.19301515670636996</v>
      </c>
      <c r="AL79">
        <v>0.96507578353184975</v>
      </c>
      <c r="AM79">
        <v>0.20712561799566825</v>
      </c>
      <c r="AN79">
        <v>1.0356280899783412</v>
      </c>
      <c r="AO79">
        <v>0.24679825111898007</v>
      </c>
      <c r="AP79">
        <v>1.2339912555949002</v>
      </c>
      <c r="AQ79">
        <v>0.22798547852130341</v>
      </c>
      <c r="AR79">
        <v>1.139927392606517</v>
      </c>
    </row>
    <row r="80" spans="1:44" x14ac:dyDescent="0.3">
      <c r="A80" t="s">
        <v>24</v>
      </c>
      <c r="B80">
        <v>15.9</v>
      </c>
      <c r="C80">
        <v>3</v>
      </c>
      <c r="D80">
        <v>15.9</v>
      </c>
      <c r="E80">
        <v>3.9766081638229425</v>
      </c>
      <c r="F80">
        <v>17.46</v>
      </c>
      <c r="G80">
        <v>25.4</v>
      </c>
      <c r="H80">
        <v>0.10835067563565463</v>
      </c>
      <c r="I80">
        <v>289.73492291565424</v>
      </c>
      <c r="J80">
        <v>0.39010798726254781</v>
      </c>
      <c r="K80">
        <v>58.591082217381022</v>
      </c>
      <c r="L80">
        <v>266.8780737602973</v>
      </c>
      <c r="M80">
        <v>0.16</v>
      </c>
      <c r="N80">
        <v>9.633661918313291E-2</v>
      </c>
      <c r="O80">
        <v>0.60210386989458065</v>
      </c>
      <c r="P80">
        <v>0.11125206827518069</v>
      </c>
      <c r="Q80">
        <v>0.69532542671987929</v>
      </c>
      <c r="R80">
        <v>0.10731930169564004</v>
      </c>
      <c r="S80">
        <v>0.67074563559775024</v>
      </c>
      <c r="T80">
        <v>0.14464187891341146</v>
      </c>
      <c r="U80">
        <v>0.20413587615404677</v>
      </c>
      <c r="V80">
        <v>0.90401174320882161</v>
      </c>
      <c r="W80">
        <v>6.8099250668552158E-2</v>
      </c>
      <c r="X80">
        <v>0.42562031667845096</v>
      </c>
      <c r="Y80">
        <v>0.21246038370039774</v>
      </c>
      <c r="Z80">
        <v>1.3278773981274858</v>
      </c>
      <c r="AA80">
        <v>0.13793919159603718</v>
      </c>
      <c r="AB80">
        <v>0.86211994747523235</v>
      </c>
      <c r="AC80">
        <v>0.11256531755015997</v>
      </c>
      <c r="AD80">
        <v>0.70353323468849982</v>
      </c>
      <c r="AE80">
        <v>0.12149822076563109</v>
      </c>
      <c r="AF80">
        <v>0.75936387978519426</v>
      </c>
      <c r="AG80">
        <v>0.14147730104921094</v>
      </c>
      <c r="AH80">
        <v>0.88423313155756833</v>
      </c>
      <c r="AI80">
        <v>0.12007419362751766</v>
      </c>
      <c r="AJ80">
        <v>0.75046371017198532</v>
      </c>
      <c r="AK80">
        <v>0.12254081777601554</v>
      </c>
      <c r="AL80">
        <v>0.76588011110009713</v>
      </c>
      <c r="AM80">
        <v>0.12207375489278674</v>
      </c>
      <c r="AN80">
        <v>0.76296096807991709</v>
      </c>
      <c r="AO80">
        <v>0.12007419362751766</v>
      </c>
      <c r="AP80">
        <v>0.75046371017198532</v>
      </c>
      <c r="AQ80">
        <v>0.13899119070157095</v>
      </c>
      <c r="AR80">
        <v>0.86869494188481844</v>
      </c>
    </row>
    <row r="81" spans="1:44" x14ac:dyDescent="0.3">
      <c r="B81">
        <v>15.9</v>
      </c>
      <c r="C81">
        <v>3</v>
      </c>
      <c r="D81">
        <v>15.9</v>
      </c>
      <c r="E81">
        <v>3.9766081638229425</v>
      </c>
      <c r="F81">
        <v>17.46</v>
      </c>
      <c r="G81">
        <v>25.4</v>
      </c>
      <c r="H81">
        <v>0.10835067563565463</v>
      </c>
      <c r="I81">
        <v>379.98022677462848</v>
      </c>
      <c r="J81">
        <v>0.20014162263940705</v>
      </c>
      <c r="K81">
        <v>58.591082217381022</v>
      </c>
      <c r="L81">
        <v>368.25371250744291</v>
      </c>
      <c r="M81">
        <v>0.21</v>
      </c>
      <c r="N81">
        <v>0.13048666289426775</v>
      </c>
      <c r="O81">
        <v>0.62136506140127501</v>
      </c>
      <c r="P81">
        <v>0.1537594628733715</v>
      </c>
      <c r="Q81">
        <v>0.73218791844462616</v>
      </c>
      <c r="R81">
        <v>0.14536255954536384</v>
      </c>
      <c r="S81">
        <v>0.69220266450173262</v>
      </c>
      <c r="T81">
        <v>0.18969426742742493</v>
      </c>
      <c r="U81">
        <v>0.35110712372639064</v>
      </c>
      <c r="V81">
        <v>0.90330603536869014</v>
      </c>
      <c r="W81">
        <v>9.0733600949242044E-2</v>
      </c>
      <c r="X81">
        <v>0.43206476642496211</v>
      </c>
      <c r="Y81">
        <v>0.28578159863879343</v>
      </c>
      <c r="Z81">
        <v>1.3608647554228259</v>
      </c>
      <c r="AA81">
        <v>0.18090385783086843</v>
      </c>
      <c r="AB81">
        <v>0.86144694205175443</v>
      </c>
      <c r="AC81">
        <v>0.15324241295874669</v>
      </c>
      <c r="AD81">
        <v>0.72972577599403188</v>
      </c>
      <c r="AE81">
        <v>0.16214997104322221</v>
      </c>
      <c r="AF81">
        <v>0.77214271925343914</v>
      </c>
      <c r="AG81">
        <v>0.18554400137601432</v>
      </c>
      <c r="AH81">
        <v>0.88354286369530632</v>
      </c>
      <c r="AI81">
        <v>0.17056620402683209</v>
      </c>
      <c r="AJ81">
        <v>0.81222001917539099</v>
      </c>
      <c r="AK81">
        <v>0.16388788457928524</v>
      </c>
      <c r="AL81">
        <v>0.78041849799659646</v>
      </c>
      <c r="AM81">
        <v>0.16894366164547195</v>
      </c>
      <c r="AN81">
        <v>0.80449362688319981</v>
      </c>
      <c r="AO81">
        <v>0.17056620402683209</v>
      </c>
      <c r="AP81">
        <v>0.81222001917539099</v>
      </c>
      <c r="AQ81">
        <v>0.20845553183839405</v>
      </c>
      <c r="AR81">
        <v>0.9926453897066384</v>
      </c>
    </row>
    <row r="82" spans="1:44" x14ac:dyDescent="0.3">
      <c r="A82" t="s">
        <v>25</v>
      </c>
      <c r="B82">
        <v>16</v>
      </c>
      <c r="C82">
        <v>2</v>
      </c>
      <c r="D82">
        <v>138</v>
      </c>
      <c r="E82">
        <v>3.2689999999999997</v>
      </c>
      <c r="F82">
        <v>40</v>
      </c>
      <c r="G82">
        <v>48</v>
      </c>
      <c r="H82">
        <v>1.7479097888417915E-2</v>
      </c>
      <c r="I82">
        <v>185.27396447016579</v>
      </c>
      <c r="J82">
        <v>0.6</v>
      </c>
      <c r="K82">
        <v>211.30113906801034</v>
      </c>
      <c r="L82">
        <v>58.493281029359594</v>
      </c>
      <c r="M82">
        <v>0.15</v>
      </c>
      <c r="N82">
        <v>9.7763317902372596E-2</v>
      </c>
      <c r="O82">
        <v>0.65175545268248403</v>
      </c>
      <c r="P82">
        <v>0.12206155113118464</v>
      </c>
      <c r="Q82">
        <v>0.81374367420789762</v>
      </c>
      <c r="R82">
        <v>0.16208568924502412</v>
      </c>
      <c r="S82">
        <v>1.0805712616334942</v>
      </c>
      <c r="T82">
        <v>0.25148969879103655</v>
      </c>
      <c r="U82">
        <v>9.5278931346240325E-2</v>
      </c>
      <c r="V82">
        <v>0.63519287564160221</v>
      </c>
      <c r="W82">
        <v>0.17060852360291542</v>
      </c>
      <c r="X82">
        <v>1.1373901573527696</v>
      </c>
      <c r="AA82">
        <v>0.26244074176287685</v>
      </c>
      <c r="AB82">
        <v>1.7496049450858457</v>
      </c>
      <c r="AC82">
        <v>0.13855918503325088</v>
      </c>
      <c r="AD82">
        <v>0.9237279002216725</v>
      </c>
      <c r="AE82">
        <v>0.13532727526154789</v>
      </c>
      <c r="AF82">
        <v>0.90218183507698602</v>
      </c>
      <c r="AG82">
        <v>0.20548680545764142</v>
      </c>
      <c r="AH82">
        <v>1.3699120363842763</v>
      </c>
      <c r="AI82">
        <v>0.12206155113118464</v>
      </c>
      <c r="AJ82">
        <v>0.81374367420789762</v>
      </c>
      <c r="AK82">
        <v>0.21378025833653602</v>
      </c>
      <c r="AL82">
        <v>1.4252017222435736</v>
      </c>
      <c r="AM82">
        <v>0.14488845434355033</v>
      </c>
      <c r="AN82">
        <v>0.96592302895700222</v>
      </c>
      <c r="AO82">
        <v>0.123820150465785</v>
      </c>
      <c r="AP82">
        <v>0.8254676697719</v>
      </c>
      <c r="AQ82">
        <v>0.1037257334013387</v>
      </c>
      <c r="AR82">
        <v>0.69150488934225807</v>
      </c>
    </row>
    <row r="83" spans="1:44" x14ac:dyDescent="0.3">
      <c r="B83">
        <v>16</v>
      </c>
      <c r="C83">
        <v>2</v>
      </c>
      <c r="D83">
        <v>138</v>
      </c>
      <c r="E83">
        <v>3.2689999999999997</v>
      </c>
      <c r="F83">
        <v>40</v>
      </c>
      <c r="G83">
        <v>48</v>
      </c>
      <c r="H83">
        <v>1.7479097888417915E-2</v>
      </c>
      <c r="I83">
        <v>211.76759699968991</v>
      </c>
      <c r="J83">
        <v>0.5542292083156527</v>
      </c>
      <c r="K83">
        <v>211.30113906801034</v>
      </c>
      <c r="L83">
        <v>94.658333977830907</v>
      </c>
      <c r="M83">
        <v>0.2</v>
      </c>
      <c r="N83">
        <v>0.14204371000539809</v>
      </c>
      <c r="O83">
        <v>0.71021855002699041</v>
      </c>
      <c r="P83">
        <v>0.13951599429000236</v>
      </c>
      <c r="Q83">
        <v>0.69757997145001172</v>
      </c>
      <c r="R83">
        <v>0.18526346655136439</v>
      </c>
      <c r="S83">
        <v>0.92631733275682193</v>
      </c>
      <c r="T83">
        <v>0.28745198676703199</v>
      </c>
      <c r="U83">
        <v>0.12447642459592428</v>
      </c>
      <c r="V83">
        <v>0.62238212297962137</v>
      </c>
      <c r="W83">
        <v>0.21206575978511477</v>
      </c>
      <c r="X83">
        <v>1.0603287989255739</v>
      </c>
      <c r="Y83">
        <v>3.3635138842762015E-2</v>
      </c>
      <c r="Z83">
        <v>0.16817569421381007</v>
      </c>
      <c r="AA83">
        <v>0.29996899670644184</v>
      </c>
      <c r="AB83">
        <v>1.4998449835322092</v>
      </c>
      <c r="AC83">
        <v>0.16382824232957854</v>
      </c>
      <c r="AD83">
        <v>0.81914121164789266</v>
      </c>
      <c r="AE83">
        <v>0.15835952502381526</v>
      </c>
      <c r="AF83">
        <v>0.79179762511907625</v>
      </c>
      <c r="AG83">
        <v>0.23487081485706898</v>
      </c>
      <c r="AH83">
        <v>1.1743540742853449</v>
      </c>
      <c r="AI83">
        <v>0.1554803880682081</v>
      </c>
      <c r="AJ83">
        <v>0.77740194034104049</v>
      </c>
      <c r="AK83">
        <v>0.24747030525880651</v>
      </c>
      <c r="AL83">
        <v>1.2373515262940324</v>
      </c>
      <c r="AM83">
        <v>0.18402656659035707</v>
      </c>
      <c r="AN83">
        <v>0.92013283295178527</v>
      </c>
      <c r="AO83">
        <v>0.1449080164103107</v>
      </c>
      <c r="AP83">
        <v>0.72454008205155351</v>
      </c>
      <c r="AQ83">
        <v>0.1220794927460051</v>
      </c>
      <c r="AR83">
        <v>0.61039746373002546</v>
      </c>
    </row>
    <row r="84" spans="1:44" x14ac:dyDescent="0.3">
      <c r="B84">
        <v>16</v>
      </c>
      <c r="C84">
        <v>2</v>
      </c>
      <c r="D84">
        <v>138</v>
      </c>
      <c r="E84">
        <v>3.2689999999999997</v>
      </c>
      <c r="F84">
        <v>40</v>
      </c>
      <c r="G84">
        <v>48</v>
      </c>
      <c r="H84">
        <v>1.7479097888417915E-2</v>
      </c>
      <c r="I84">
        <v>238.26122952921415</v>
      </c>
      <c r="J84">
        <v>0.49846011184100414</v>
      </c>
      <c r="K84">
        <v>211.30113906801034</v>
      </c>
      <c r="L84">
        <v>132.93604011724216</v>
      </c>
      <c r="M84">
        <v>0.25</v>
      </c>
      <c r="N84">
        <v>0.18632410210842379</v>
      </c>
      <c r="O84">
        <v>0.74529640843369516</v>
      </c>
      <c r="P84">
        <v>0.15697043744882017</v>
      </c>
      <c r="Q84">
        <v>0.62788174979528066</v>
      </c>
      <c r="R84">
        <v>0.20844124385770482</v>
      </c>
      <c r="S84">
        <v>0.83376497543081929</v>
      </c>
      <c r="T84">
        <v>0.32341427474302747</v>
      </c>
      <c r="U84">
        <v>0.15757047544565747</v>
      </c>
      <c r="V84">
        <v>0.63028190178262988</v>
      </c>
      <c r="W84">
        <v>0.25352299596731431</v>
      </c>
      <c r="X84">
        <v>1.0140919838692573</v>
      </c>
      <c r="Y84">
        <v>0.15698056442293562</v>
      </c>
      <c r="Z84">
        <v>0.62792225769174248</v>
      </c>
      <c r="AA84">
        <v>0.33749725165000705</v>
      </c>
      <c r="AB84">
        <v>1.3499890066000282</v>
      </c>
      <c r="AC84">
        <v>0.1890972996259063</v>
      </c>
      <c r="AD84">
        <v>0.75638919850362518</v>
      </c>
      <c r="AE84">
        <v>0.1813917747860827</v>
      </c>
      <c r="AF84">
        <v>0.72556709914433082</v>
      </c>
      <c r="AG84">
        <v>0.26425482425649671</v>
      </c>
      <c r="AH84">
        <v>1.0570192970259868</v>
      </c>
      <c r="AI84">
        <v>0.19681733910587482</v>
      </c>
      <c r="AJ84">
        <v>0.78726935642349927</v>
      </c>
      <c r="AK84">
        <v>0.28276491369972662</v>
      </c>
      <c r="AL84">
        <v>1.1310596547989065</v>
      </c>
      <c r="AM84">
        <v>0.22568965840486765</v>
      </c>
      <c r="AN84">
        <v>0.90275863361947062</v>
      </c>
      <c r="AO84">
        <v>0.16633265556782492</v>
      </c>
      <c r="AP84">
        <v>0.66533062227129969</v>
      </c>
      <c r="AQ84">
        <v>0.14131432749734416</v>
      </c>
      <c r="AR84">
        <v>0.56525730998937662</v>
      </c>
    </row>
    <row r="85" spans="1:44" x14ac:dyDescent="0.3">
      <c r="B85">
        <v>16</v>
      </c>
      <c r="C85">
        <v>2</v>
      </c>
      <c r="D85">
        <v>138</v>
      </c>
      <c r="E85">
        <v>3.2689999999999997</v>
      </c>
      <c r="F85">
        <v>40</v>
      </c>
      <c r="G85">
        <v>48</v>
      </c>
      <c r="H85">
        <v>1.7479097888417915E-2</v>
      </c>
      <c r="I85">
        <v>264.70949624961241</v>
      </c>
      <c r="J85">
        <v>0.44278651039456585</v>
      </c>
      <c r="K85">
        <v>211.30113906801034</v>
      </c>
      <c r="L85">
        <v>171.14820223929127</v>
      </c>
      <c r="M85">
        <v>0.28000000000000003</v>
      </c>
      <c r="N85">
        <v>0.2305286716222319</v>
      </c>
      <c r="O85">
        <v>0.82331668436511385</v>
      </c>
      <c r="P85">
        <v>0.17439499286250298</v>
      </c>
      <c r="Q85">
        <v>0.62283926022322489</v>
      </c>
      <c r="R85">
        <v>0.23157933318920554</v>
      </c>
      <c r="S85">
        <v>0.8270690471043054</v>
      </c>
      <c r="T85">
        <v>0.35931498345878993</v>
      </c>
      <c r="U85">
        <v>0.19449441343113166</v>
      </c>
      <c r="V85">
        <v>0.69462290511118441</v>
      </c>
      <c r="W85">
        <v>0.29490924373139349</v>
      </c>
      <c r="X85">
        <v>1.0532472990406909</v>
      </c>
      <c r="Y85">
        <v>0.26892161187916835</v>
      </c>
      <c r="Z85">
        <v>0.96043432813988694</v>
      </c>
      <c r="AA85">
        <v>0.37496124588305235</v>
      </c>
      <c r="AB85">
        <v>1.3391473067251869</v>
      </c>
      <c r="AC85">
        <v>0.21432308798850738</v>
      </c>
      <c r="AD85">
        <v>0.76543959995895483</v>
      </c>
      <c r="AE85">
        <v>0.20438458576451057</v>
      </c>
      <c r="AF85">
        <v>0.72994494915896624</v>
      </c>
      <c r="AG85">
        <v>0.29358851857133628</v>
      </c>
      <c r="AH85">
        <v>1.048530423469058</v>
      </c>
      <c r="AI85">
        <v>0.24293810635657515</v>
      </c>
      <c r="AJ85">
        <v>0.86763609413062548</v>
      </c>
      <c r="AK85">
        <v>0.31920260266931544</v>
      </c>
      <c r="AL85">
        <v>1.1400092952475551</v>
      </c>
      <c r="AM85">
        <v>0.2693390201409227</v>
      </c>
      <c r="AN85">
        <v>0.96192507193186672</v>
      </c>
      <c r="AO85">
        <v>0.18805651740640325</v>
      </c>
      <c r="AP85">
        <v>0.67163041930858303</v>
      </c>
      <c r="AQ85">
        <v>0.16139503955002021</v>
      </c>
      <c r="AR85">
        <v>0.57641085553578641</v>
      </c>
    </row>
    <row r="86" spans="1:44" x14ac:dyDescent="0.3">
      <c r="B86">
        <v>16</v>
      </c>
      <c r="C86">
        <v>2</v>
      </c>
      <c r="D86">
        <v>138</v>
      </c>
      <c r="E86">
        <v>3.2689999999999997</v>
      </c>
      <c r="F86">
        <v>40</v>
      </c>
      <c r="G86">
        <v>48</v>
      </c>
      <c r="H86">
        <v>1.7479097888417915E-2</v>
      </c>
      <c r="I86">
        <v>291.15776297001077</v>
      </c>
      <c r="J86">
        <v>0.38711290894812733</v>
      </c>
      <c r="K86">
        <v>211.30113906801034</v>
      </c>
      <c r="L86">
        <v>209.36036436134049</v>
      </c>
      <c r="M86">
        <v>0.28000000000000003</v>
      </c>
      <c r="N86">
        <v>0.27473324113604009</v>
      </c>
      <c r="O86">
        <v>0.98119014691442874</v>
      </c>
      <c r="P86">
        <v>0.19711643896364461</v>
      </c>
      <c r="Q86">
        <v>0.70398728201301641</v>
      </c>
      <c r="R86">
        <v>0.25471742252070634</v>
      </c>
      <c r="S86">
        <v>0.90970508043109399</v>
      </c>
      <c r="T86">
        <v>0.39521569217455249</v>
      </c>
      <c r="U86">
        <v>0.23530157606629135</v>
      </c>
      <c r="V86">
        <v>0.84036277166532614</v>
      </c>
      <c r="W86">
        <v>0.33629549149547283</v>
      </c>
      <c r="X86">
        <v>1.2010553267695456</v>
      </c>
      <c r="Y86">
        <v>0.37272851383387728</v>
      </c>
      <c r="Z86">
        <v>1.3311732636924187</v>
      </c>
      <c r="AA86">
        <v>0.41242524011609777</v>
      </c>
      <c r="AB86">
        <v>1.4729472861289206</v>
      </c>
      <c r="AC86">
        <v>0.23954887635110861</v>
      </c>
      <c r="AD86">
        <v>0.85553170125395928</v>
      </c>
      <c r="AE86">
        <v>0.22737739674293855</v>
      </c>
      <c r="AF86">
        <v>0.81206213122478044</v>
      </c>
      <c r="AG86">
        <v>0.32292221288617595</v>
      </c>
      <c r="AH86">
        <v>1.1532936174506283</v>
      </c>
      <c r="AI86">
        <v>0.29732680364536013</v>
      </c>
      <c r="AJ86">
        <v>1.0618814415905717</v>
      </c>
      <c r="AK86">
        <v>0.35657266524135406</v>
      </c>
      <c r="AL86">
        <v>1.2734738044334073</v>
      </c>
      <c r="AM86">
        <v>0.31768673757826954</v>
      </c>
      <c r="AN86">
        <v>1.1345954913509626</v>
      </c>
      <c r="AO86">
        <v>0.21541289079995019</v>
      </c>
      <c r="AP86">
        <v>0.76933175285696487</v>
      </c>
      <c r="AQ86">
        <v>0.18765070289867256</v>
      </c>
      <c r="AR86">
        <v>0.67018108178097335</v>
      </c>
    </row>
    <row r="87" spans="1:44" x14ac:dyDescent="0.3">
      <c r="B87">
        <v>16</v>
      </c>
      <c r="C87">
        <v>2</v>
      </c>
      <c r="D87">
        <v>138</v>
      </c>
      <c r="E87">
        <v>3.2689999999999997</v>
      </c>
      <c r="F87">
        <v>40</v>
      </c>
      <c r="G87">
        <v>48</v>
      </c>
      <c r="H87">
        <v>1.7479097888417915E-2</v>
      </c>
      <c r="I87">
        <v>317.65139549953489</v>
      </c>
      <c r="J87">
        <v>0.33134381247347899</v>
      </c>
      <c r="K87">
        <v>211.30113906801034</v>
      </c>
      <c r="L87">
        <v>247.63807050075155</v>
      </c>
      <c r="M87">
        <v>0.3</v>
      </c>
      <c r="N87">
        <v>0.31901363323906562</v>
      </c>
      <c r="O87">
        <v>1.0633787774635521</v>
      </c>
      <c r="P87">
        <v>0.24075254686068898</v>
      </c>
      <c r="Q87">
        <v>0.80250848953562992</v>
      </c>
      <c r="R87">
        <v>0.27830327743026689</v>
      </c>
      <c r="S87">
        <v>0.92767759143422301</v>
      </c>
      <c r="T87">
        <v>0.43117798015054798</v>
      </c>
      <c r="U87">
        <v>0.28007195534082957</v>
      </c>
      <c r="V87">
        <v>0.93357318446943194</v>
      </c>
      <c r="W87">
        <v>0.37775272767767221</v>
      </c>
      <c r="X87">
        <v>1.2591757589255741</v>
      </c>
      <c r="Y87">
        <v>0.47059657553398709</v>
      </c>
      <c r="Z87">
        <v>1.568655251779957</v>
      </c>
      <c r="AA87">
        <v>0.44995349505966281</v>
      </c>
      <c r="AB87">
        <v>1.4998449835322094</v>
      </c>
      <c r="AC87">
        <v>0.26481793364743622</v>
      </c>
      <c r="AD87">
        <v>0.88272644549145407</v>
      </c>
      <c r="AE87">
        <v>0.25040964650520592</v>
      </c>
      <c r="AF87">
        <v>0.83469882168401976</v>
      </c>
      <c r="AG87">
        <v>0.35230622228560349</v>
      </c>
      <c r="AH87">
        <v>1.1743540742853451</v>
      </c>
      <c r="AI87">
        <v>0.36721458076330876</v>
      </c>
      <c r="AJ87">
        <v>1.2240486025443627</v>
      </c>
      <c r="AK87">
        <v>0.39474964041638233</v>
      </c>
      <c r="AL87">
        <v>1.3158321347212745</v>
      </c>
      <c r="AM87">
        <v>0.37759847845251104</v>
      </c>
      <c r="AN87">
        <v>1.2586615948417035</v>
      </c>
      <c r="AO87">
        <v>0.26402836100173493</v>
      </c>
      <c r="AP87">
        <v>0.88009453667244986</v>
      </c>
      <c r="AQ87">
        <v>0.2357074112267262</v>
      </c>
      <c r="AR87">
        <v>0.78569137075575401</v>
      </c>
    </row>
    <row r="88" spans="1:44" x14ac:dyDescent="0.3">
      <c r="B88">
        <v>16</v>
      </c>
      <c r="C88">
        <v>2</v>
      </c>
      <c r="D88">
        <v>138</v>
      </c>
      <c r="E88">
        <v>3.2689999999999997</v>
      </c>
      <c r="F88">
        <v>40</v>
      </c>
      <c r="G88">
        <v>48</v>
      </c>
      <c r="H88">
        <v>1.7479097888417915E-2</v>
      </c>
      <c r="I88">
        <v>344.14502802905912</v>
      </c>
      <c r="J88">
        <v>0.27557471599883054</v>
      </c>
      <c r="K88">
        <v>211.30113906801034</v>
      </c>
      <c r="L88">
        <v>285.91577664016279</v>
      </c>
      <c r="M88">
        <v>0.33</v>
      </c>
      <c r="N88">
        <v>0.36329402534209126</v>
      </c>
      <c r="O88">
        <v>1.100890985885125</v>
      </c>
      <c r="P88">
        <v>0.28438865475773345</v>
      </c>
      <c r="Q88">
        <v>0.86178380229616192</v>
      </c>
      <c r="R88">
        <v>0.31693290627416754</v>
      </c>
      <c r="S88">
        <v>0.96040274628535616</v>
      </c>
      <c r="T88">
        <v>0.46714026812654336</v>
      </c>
      <c r="U88">
        <v>0.32873889221541702</v>
      </c>
      <c r="V88">
        <v>0.99617846125883946</v>
      </c>
      <c r="W88">
        <v>0.41920996385987175</v>
      </c>
      <c r="X88">
        <v>1.2703332238177931</v>
      </c>
      <c r="Y88">
        <v>0.56375561051767764</v>
      </c>
      <c r="Z88">
        <v>1.7083503349020535</v>
      </c>
      <c r="AA88">
        <v>0.48748175000322802</v>
      </c>
      <c r="AB88">
        <v>1.477217424252206</v>
      </c>
      <c r="AC88">
        <v>0.290086990943764</v>
      </c>
      <c r="AD88">
        <v>0.87905148770837571</v>
      </c>
      <c r="AE88">
        <v>0.27344189626747334</v>
      </c>
      <c r="AF88">
        <v>0.82861180687113134</v>
      </c>
      <c r="AG88">
        <v>0.38169023168503119</v>
      </c>
      <c r="AH88">
        <v>1.1566370657122156</v>
      </c>
      <c r="AI88">
        <v>0.43710235788125756</v>
      </c>
      <c r="AJ88">
        <v>1.3245525996401744</v>
      </c>
      <c r="AK88">
        <v>0.43352937343696901</v>
      </c>
      <c r="AL88">
        <v>1.3137253740514212</v>
      </c>
      <c r="AM88">
        <v>0.43587366466313154</v>
      </c>
      <c r="AN88">
        <v>1.3208292868579743</v>
      </c>
      <c r="AO88">
        <v>0.31298060441650827</v>
      </c>
      <c r="AP88">
        <v>0.94842607398941892</v>
      </c>
      <c r="AQ88">
        <v>0.28464519496145257</v>
      </c>
      <c r="AR88">
        <v>0.86256119685288657</v>
      </c>
    </row>
    <row r="89" spans="1:44" x14ac:dyDescent="0.3">
      <c r="B89">
        <v>16</v>
      </c>
      <c r="C89">
        <v>2</v>
      </c>
      <c r="D89">
        <v>138</v>
      </c>
      <c r="E89">
        <v>3.2689999999999997</v>
      </c>
      <c r="F89">
        <v>40</v>
      </c>
      <c r="G89">
        <v>48</v>
      </c>
      <c r="H89">
        <v>1.7479097888417915E-2</v>
      </c>
      <c r="I89">
        <v>370.54792894033159</v>
      </c>
      <c r="J89">
        <v>0.21999660958060197</v>
      </c>
      <c r="K89">
        <v>211.30113906801034</v>
      </c>
      <c r="L89">
        <v>324.06239474485005</v>
      </c>
      <c r="M89">
        <v>0.33</v>
      </c>
      <c r="N89">
        <v>0.407422772266682</v>
      </c>
      <c r="O89">
        <v>1.2346144614141878</v>
      </c>
      <c r="P89">
        <v>0.32787532392910324</v>
      </c>
      <c r="Q89">
        <v>0.9935615876639492</v>
      </c>
      <c r="R89">
        <v>0.35543024186860289</v>
      </c>
      <c r="S89">
        <v>1.0770613389957664</v>
      </c>
      <c r="T89">
        <v>0.50297939758207311</v>
      </c>
      <c r="U89">
        <v>0.3811157253849613</v>
      </c>
      <c r="V89">
        <v>1.1548961375301856</v>
      </c>
      <c r="W89">
        <v>0.46052522320583089</v>
      </c>
      <c r="X89">
        <v>1.3955309794116086</v>
      </c>
      <c r="Y89">
        <v>0.65291447916542988</v>
      </c>
      <c r="Z89">
        <v>1.9785287247437269</v>
      </c>
      <c r="AA89">
        <v>0.5248814835257537</v>
      </c>
      <c r="AB89">
        <v>1.5905499500780413</v>
      </c>
      <c r="AC89">
        <v>0.31526951037263856</v>
      </c>
      <c r="AD89">
        <v>0.9553621526443592</v>
      </c>
      <c r="AE89">
        <v>0.29639526846206188</v>
      </c>
      <c r="AF89">
        <v>0.89816748018806625</v>
      </c>
      <c r="AG89">
        <v>0.41097361091528284</v>
      </c>
      <c r="AH89">
        <v>1.2453745785311601</v>
      </c>
      <c r="AI89">
        <v>0.50675079329674777</v>
      </c>
      <c r="AJ89">
        <v>1.5356084645355992</v>
      </c>
      <c r="AK89">
        <v>0.47267082737059674</v>
      </c>
      <c r="AL89">
        <v>1.4323358405169597</v>
      </c>
      <c r="AM89">
        <v>0.49248466369405719</v>
      </c>
      <c r="AN89">
        <v>1.4923777687698703</v>
      </c>
      <c r="AO89">
        <v>0.36210024835054477</v>
      </c>
      <c r="AP89">
        <v>1.0972734798501356</v>
      </c>
      <c r="AQ89">
        <v>0.33429193804752977</v>
      </c>
      <c r="AR89">
        <v>1.0130058728713023</v>
      </c>
    </row>
    <row r="90" spans="1:44" x14ac:dyDescent="0.3">
      <c r="A90" t="s">
        <v>26</v>
      </c>
      <c r="B90">
        <v>16</v>
      </c>
      <c r="C90">
        <v>2</v>
      </c>
      <c r="D90">
        <v>138</v>
      </c>
      <c r="E90">
        <v>3.2689999999999997</v>
      </c>
      <c r="F90">
        <v>40</v>
      </c>
      <c r="G90">
        <v>48</v>
      </c>
      <c r="H90">
        <v>1.7479097888417915E-2</v>
      </c>
      <c r="I90">
        <v>211.76759699968991</v>
      </c>
      <c r="J90">
        <v>0.5542292083156527</v>
      </c>
      <c r="K90">
        <v>211.30113906801034</v>
      </c>
      <c r="L90">
        <v>94.658333977830907</v>
      </c>
      <c r="M90">
        <v>0.15</v>
      </c>
      <c r="N90">
        <v>0.14204371000539809</v>
      </c>
      <c r="O90">
        <v>0.94695806670265392</v>
      </c>
      <c r="P90">
        <v>0.13951599429000236</v>
      </c>
      <c r="Q90">
        <v>0.93010662860001581</v>
      </c>
      <c r="R90">
        <v>0.18526346655136439</v>
      </c>
      <c r="S90">
        <v>1.2350897770090961</v>
      </c>
      <c r="T90">
        <v>0.28745198676703199</v>
      </c>
      <c r="U90">
        <v>0.12447642459592428</v>
      </c>
      <c r="V90">
        <v>0.82984283063949527</v>
      </c>
      <c r="W90">
        <v>0.21206575978511477</v>
      </c>
      <c r="X90">
        <v>1.4137717319007652</v>
      </c>
      <c r="Y90">
        <v>3.3635138842762015E-2</v>
      </c>
      <c r="Z90">
        <v>0.22423425895174678</v>
      </c>
      <c r="AA90">
        <v>0.29996899670644184</v>
      </c>
      <c r="AB90">
        <v>1.9997933113762789</v>
      </c>
      <c r="AC90">
        <v>0.16382824232957854</v>
      </c>
      <c r="AD90">
        <v>1.0921882821971904</v>
      </c>
      <c r="AE90">
        <v>0.15835952502381526</v>
      </c>
      <c r="AF90">
        <v>1.0557301668254351</v>
      </c>
      <c r="AG90">
        <v>0.23487081485706898</v>
      </c>
      <c r="AH90">
        <v>1.56580543238046</v>
      </c>
      <c r="AI90">
        <v>0.1554803880682081</v>
      </c>
      <c r="AJ90">
        <v>1.0365359204547206</v>
      </c>
      <c r="AK90">
        <v>0.24747030525880651</v>
      </c>
      <c r="AL90">
        <v>1.6498020350587101</v>
      </c>
      <c r="AM90">
        <v>0.18402656659035707</v>
      </c>
      <c r="AN90">
        <v>1.2268437772690473</v>
      </c>
      <c r="AO90">
        <v>0.1449080164103107</v>
      </c>
      <c r="AP90">
        <v>0.96605344273540472</v>
      </c>
      <c r="AQ90">
        <v>0.1220794927460051</v>
      </c>
      <c r="AR90">
        <v>0.81386328497336735</v>
      </c>
    </row>
    <row r="91" spans="1:44" x14ac:dyDescent="0.3">
      <c r="B91">
        <v>16</v>
      </c>
      <c r="C91">
        <v>2</v>
      </c>
      <c r="D91">
        <v>138</v>
      </c>
      <c r="E91">
        <v>3.2689999999999997</v>
      </c>
      <c r="F91">
        <v>40</v>
      </c>
      <c r="G91">
        <v>48</v>
      </c>
      <c r="H91">
        <v>1.7479097888417915E-2</v>
      </c>
      <c r="I91">
        <v>238.26122952921415</v>
      </c>
      <c r="J91">
        <v>0.49846011184100414</v>
      </c>
      <c r="K91">
        <v>211.30113906801034</v>
      </c>
      <c r="L91">
        <v>132.93604011724216</v>
      </c>
      <c r="M91">
        <v>0.18</v>
      </c>
      <c r="N91">
        <v>0.18632410210842379</v>
      </c>
      <c r="O91">
        <v>1.0351339006023543</v>
      </c>
      <c r="P91">
        <v>0.15697043744882017</v>
      </c>
      <c r="Q91">
        <v>0.87205798582677874</v>
      </c>
      <c r="R91">
        <v>0.20844124385770482</v>
      </c>
      <c r="S91">
        <v>1.1580069103205823</v>
      </c>
      <c r="T91">
        <v>0.32341427474302747</v>
      </c>
      <c r="U91">
        <v>0.15757047544565747</v>
      </c>
      <c r="V91">
        <v>0.87539153025365268</v>
      </c>
      <c r="W91">
        <v>0.25352299596731431</v>
      </c>
      <c r="X91">
        <v>1.4084610887073017</v>
      </c>
      <c r="Y91">
        <v>0.15698056442293562</v>
      </c>
      <c r="Z91">
        <v>0.87211424679408678</v>
      </c>
      <c r="AA91">
        <v>0.33749725165000705</v>
      </c>
      <c r="AB91">
        <v>1.8749847313889281</v>
      </c>
      <c r="AC91">
        <v>0.1890972996259063</v>
      </c>
      <c r="AD91">
        <v>1.0505405534772572</v>
      </c>
      <c r="AE91">
        <v>0.1813917747860827</v>
      </c>
      <c r="AF91">
        <v>1.0077320821449041</v>
      </c>
      <c r="AG91">
        <v>0.26425482425649671</v>
      </c>
      <c r="AH91">
        <v>1.4680823569805372</v>
      </c>
      <c r="AI91">
        <v>0.19681733910587482</v>
      </c>
      <c r="AJ91">
        <v>1.0934296616993047</v>
      </c>
      <c r="AK91">
        <v>0.28276491369972662</v>
      </c>
      <c r="AL91">
        <v>1.5709161872207036</v>
      </c>
      <c r="AM91">
        <v>0.22568965840486765</v>
      </c>
      <c r="AN91">
        <v>1.2538314355825981</v>
      </c>
      <c r="AO91">
        <v>0.16633265556782492</v>
      </c>
      <c r="AP91">
        <v>0.92407030871013851</v>
      </c>
      <c r="AQ91">
        <v>0.14131432749734416</v>
      </c>
      <c r="AR91">
        <v>0.78507959720746756</v>
      </c>
    </row>
    <row r="92" spans="1:44" x14ac:dyDescent="0.3">
      <c r="B92">
        <v>16</v>
      </c>
      <c r="C92">
        <v>2</v>
      </c>
      <c r="D92">
        <v>138</v>
      </c>
      <c r="E92">
        <v>3.2689999999999997</v>
      </c>
      <c r="F92">
        <v>40</v>
      </c>
      <c r="G92">
        <v>48</v>
      </c>
      <c r="H92">
        <v>1.7479097888417915E-2</v>
      </c>
      <c r="I92">
        <v>264.70949624961241</v>
      </c>
      <c r="J92">
        <v>0.44278651039456585</v>
      </c>
      <c r="K92">
        <v>211.30113906801034</v>
      </c>
      <c r="L92">
        <v>171.14820223929127</v>
      </c>
      <c r="M92">
        <v>0.2</v>
      </c>
      <c r="N92">
        <v>0.2305286716222319</v>
      </c>
      <c r="O92">
        <v>1.1526433581111595</v>
      </c>
      <c r="P92">
        <v>0.17439499286250298</v>
      </c>
      <c r="Q92">
        <v>0.87197496431251487</v>
      </c>
      <c r="R92">
        <v>0.23157933318920554</v>
      </c>
      <c r="S92">
        <v>1.1578966659460277</v>
      </c>
      <c r="T92">
        <v>0.35931498345878993</v>
      </c>
      <c r="U92">
        <v>0.19449441343113166</v>
      </c>
      <c r="V92">
        <v>0.97247206715565826</v>
      </c>
      <c r="W92">
        <v>0.29490924373139349</v>
      </c>
      <c r="X92">
        <v>1.4745462186569673</v>
      </c>
      <c r="Y92">
        <v>0.26892161187916835</v>
      </c>
      <c r="Z92">
        <v>1.3446080593958416</v>
      </c>
      <c r="AA92">
        <v>0.37496124588305235</v>
      </c>
      <c r="AB92">
        <v>1.8748062294152616</v>
      </c>
      <c r="AC92">
        <v>0.21432308798850738</v>
      </c>
      <c r="AD92">
        <v>1.0716154399425368</v>
      </c>
      <c r="AE92">
        <v>0.20438458576451057</v>
      </c>
      <c r="AF92">
        <v>1.0219229288225529</v>
      </c>
      <c r="AG92">
        <v>0.29358851857133628</v>
      </c>
      <c r="AH92">
        <v>1.4679425928566814</v>
      </c>
      <c r="AI92">
        <v>0.24293810635657515</v>
      </c>
      <c r="AJ92">
        <v>1.2146905317828756</v>
      </c>
      <c r="AK92">
        <v>0.31920260266931544</v>
      </c>
      <c r="AL92">
        <v>1.5960130133465771</v>
      </c>
      <c r="AM92">
        <v>0.2693390201409227</v>
      </c>
      <c r="AN92">
        <v>1.3466951007046135</v>
      </c>
      <c r="AO92">
        <v>0.18805651740640325</v>
      </c>
      <c r="AP92">
        <v>0.94028258703201617</v>
      </c>
      <c r="AQ92">
        <v>0.16139503955002021</v>
      </c>
      <c r="AR92">
        <v>0.80697519775010107</v>
      </c>
    </row>
    <row r="93" spans="1:44" x14ac:dyDescent="0.3">
      <c r="B93">
        <v>16</v>
      </c>
      <c r="C93">
        <v>2</v>
      </c>
      <c r="D93">
        <v>138</v>
      </c>
      <c r="E93">
        <v>3.2689999999999997</v>
      </c>
      <c r="F93">
        <v>40</v>
      </c>
      <c r="G93">
        <v>48</v>
      </c>
      <c r="H93">
        <v>1.7479097888417915E-2</v>
      </c>
      <c r="I93">
        <v>291.15776297001077</v>
      </c>
      <c r="J93">
        <v>0.38711290894812733</v>
      </c>
      <c r="K93">
        <v>211.30113906801034</v>
      </c>
      <c r="L93">
        <v>209.36036436134049</v>
      </c>
      <c r="M93">
        <v>0.25</v>
      </c>
      <c r="N93">
        <v>0.27473324113604009</v>
      </c>
      <c r="O93">
        <v>1.0989329645441603</v>
      </c>
      <c r="P93">
        <v>0.19711643896364461</v>
      </c>
      <c r="Q93">
        <v>0.78846575585457845</v>
      </c>
      <c r="R93">
        <v>0.25471742252070634</v>
      </c>
      <c r="S93">
        <v>1.0188696900828254</v>
      </c>
      <c r="T93">
        <v>0.39521569217455249</v>
      </c>
      <c r="U93">
        <v>0.23530157606629135</v>
      </c>
      <c r="V93">
        <v>0.94120630426516538</v>
      </c>
      <c r="W93">
        <v>0.33629549149547283</v>
      </c>
      <c r="X93">
        <v>1.3451819659818913</v>
      </c>
      <c r="Y93">
        <v>0.37272851383387728</v>
      </c>
      <c r="Z93">
        <v>1.4909140553355091</v>
      </c>
      <c r="AA93">
        <v>0.41242524011609777</v>
      </c>
      <c r="AB93">
        <v>1.6497009604643911</v>
      </c>
      <c r="AC93">
        <v>0.23954887635110861</v>
      </c>
      <c r="AD93">
        <v>0.95819550540443443</v>
      </c>
      <c r="AE93">
        <v>0.22737739674293855</v>
      </c>
      <c r="AF93">
        <v>0.90950958697175421</v>
      </c>
      <c r="AG93">
        <v>0.32292221288617595</v>
      </c>
      <c r="AH93">
        <v>1.2916888515447038</v>
      </c>
      <c r="AI93">
        <v>0.29732680364536013</v>
      </c>
      <c r="AJ93">
        <v>1.1893072145814405</v>
      </c>
      <c r="AK93">
        <v>0.35657266524135406</v>
      </c>
      <c r="AL93">
        <v>1.4262906609654162</v>
      </c>
      <c r="AM93">
        <v>0.31768673757826954</v>
      </c>
      <c r="AN93">
        <v>1.2707469503130782</v>
      </c>
      <c r="AO93">
        <v>0.21541289079995019</v>
      </c>
      <c r="AP93">
        <v>0.86165156319980074</v>
      </c>
      <c r="AQ93">
        <v>0.18765070289867256</v>
      </c>
      <c r="AR93">
        <v>0.75060281159469022</v>
      </c>
    </row>
    <row r="94" spans="1:44" x14ac:dyDescent="0.3">
      <c r="B94">
        <v>16</v>
      </c>
      <c r="C94">
        <v>2</v>
      </c>
      <c r="D94">
        <v>138</v>
      </c>
      <c r="E94">
        <v>3.2689999999999997</v>
      </c>
      <c r="F94">
        <v>40</v>
      </c>
      <c r="G94">
        <v>48</v>
      </c>
      <c r="H94">
        <v>1.7479097888417915E-2</v>
      </c>
      <c r="I94">
        <v>317.65139549953489</v>
      </c>
      <c r="J94">
        <v>0.33134381247347899</v>
      </c>
      <c r="K94">
        <v>211.30113906801034</v>
      </c>
      <c r="L94">
        <v>247.63807050075155</v>
      </c>
      <c r="M94">
        <v>0.3</v>
      </c>
      <c r="N94">
        <v>0.31901363323906562</v>
      </c>
      <c r="O94">
        <v>1.0633787774635521</v>
      </c>
      <c r="P94">
        <v>0.24075254686068898</v>
      </c>
      <c r="Q94">
        <v>0.80250848953562992</v>
      </c>
      <c r="R94">
        <v>0.27830327743026689</v>
      </c>
      <c r="S94">
        <v>0.92767759143422301</v>
      </c>
      <c r="T94">
        <v>0.43117798015054798</v>
      </c>
      <c r="U94">
        <v>0.28007195534082957</v>
      </c>
      <c r="V94">
        <v>0.93357318446943194</v>
      </c>
      <c r="W94">
        <v>0.33629549149547283</v>
      </c>
      <c r="X94">
        <v>1.1209849716515761</v>
      </c>
      <c r="Y94">
        <v>0.47059657553398709</v>
      </c>
      <c r="Z94">
        <v>1.568655251779957</v>
      </c>
      <c r="AA94">
        <v>0.44995349505966281</v>
      </c>
      <c r="AB94">
        <v>1.4998449835322094</v>
      </c>
      <c r="AC94">
        <v>0.26481793364743622</v>
      </c>
      <c r="AD94">
        <v>0.88272644549145407</v>
      </c>
      <c r="AE94">
        <v>0.25040964650520592</v>
      </c>
      <c r="AF94">
        <v>0.83469882168401976</v>
      </c>
      <c r="AG94">
        <v>0.35230622228560349</v>
      </c>
      <c r="AH94">
        <v>1.1743540742853451</v>
      </c>
      <c r="AI94">
        <v>0.36721458076330876</v>
      </c>
      <c r="AJ94">
        <v>1.2240486025443627</v>
      </c>
      <c r="AK94">
        <v>0.39474964041638233</v>
      </c>
      <c r="AL94">
        <v>1.3158321347212745</v>
      </c>
      <c r="AM94">
        <v>0.37759847845251104</v>
      </c>
      <c r="AN94">
        <v>1.2586615948417035</v>
      </c>
      <c r="AO94">
        <v>0.26402836100173493</v>
      </c>
      <c r="AP94">
        <v>0.88009453667244986</v>
      </c>
      <c r="AQ94">
        <v>0.2357074112267262</v>
      </c>
      <c r="AR94">
        <v>0.78569137075575401</v>
      </c>
    </row>
    <row r="95" spans="1:44" x14ac:dyDescent="0.3">
      <c r="B95">
        <v>16</v>
      </c>
      <c r="C95">
        <v>2</v>
      </c>
      <c r="D95">
        <v>138</v>
      </c>
      <c r="E95">
        <v>3.2689999999999997</v>
      </c>
      <c r="F95">
        <v>40</v>
      </c>
      <c r="G95">
        <v>48</v>
      </c>
      <c r="H95">
        <v>1.7479097888417915E-2</v>
      </c>
      <c r="I95">
        <v>344.14502802905912</v>
      </c>
      <c r="J95">
        <v>0.27557471599883054</v>
      </c>
      <c r="K95">
        <v>211.30113906801034</v>
      </c>
      <c r="L95">
        <v>285.91577664016279</v>
      </c>
      <c r="M95">
        <v>0.33</v>
      </c>
      <c r="N95">
        <v>0.36329402534209126</v>
      </c>
      <c r="O95">
        <v>1.100890985885125</v>
      </c>
      <c r="P95">
        <v>0.28438865475773345</v>
      </c>
      <c r="Q95">
        <v>0.86178380229616192</v>
      </c>
      <c r="R95">
        <v>0.31693290627416754</v>
      </c>
      <c r="S95">
        <v>0.96040274628535616</v>
      </c>
      <c r="T95">
        <v>0.46714026812654336</v>
      </c>
      <c r="U95">
        <v>0.32873889221541702</v>
      </c>
      <c r="V95">
        <v>0.99617846125883946</v>
      </c>
      <c r="W95">
        <v>0.41920996385987175</v>
      </c>
      <c r="X95">
        <v>1.2703332238177931</v>
      </c>
      <c r="Y95">
        <v>0.56375561051767764</v>
      </c>
      <c r="Z95">
        <v>1.7083503349020535</v>
      </c>
      <c r="AA95">
        <v>0.48748175000322802</v>
      </c>
      <c r="AB95">
        <v>1.477217424252206</v>
      </c>
      <c r="AC95">
        <v>0.290086990943764</v>
      </c>
      <c r="AD95">
        <v>0.87905148770837571</v>
      </c>
      <c r="AE95">
        <v>0.27344189626747334</v>
      </c>
      <c r="AF95">
        <v>0.82861180687113134</v>
      </c>
      <c r="AG95">
        <v>0.38169023168503119</v>
      </c>
      <c r="AH95">
        <v>1.1566370657122156</v>
      </c>
      <c r="AI95">
        <v>0.43710235788125756</v>
      </c>
      <c r="AJ95">
        <v>1.3245525996401744</v>
      </c>
      <c r="AK95">
        <v>0.43352937343696901</v>
      </c>
      <c r="AL95">
        <v>1.3137253740514212</v>
      </c>
      <c r="AM95">
        <v>0.43587366466313154</v>
      </c>
      <c r="AN95">
        <v>1.3208292868579743</v>
      </c>
      <c r="AO95">
        <v>0.31298060441650827</v>
      </c>
      <c r="AP95">
        <v>0.94842607398941892</v>
      </c>
      <c r="AQ95">
        <v>0.28464519496145257</v>
      </c>
      <c r="AR95">
        <v>0.86256119685288657</v>
      </c>
    </row>
    <row r="96" spans="1:44" x14ac:dyDescent="0.3">
      <c r="B96">
        <v>16</v>
      </c>
      <c r="C96">
        <v>2</v>
      </c>
      <c r="D96">
        <v>138</v>
      </c>
      <c r="E96">
        <v>3.2689999999999997</v>
      </c>
      <c r="F96">
        <v>40</v>
      </c>
      <c r="G96">
        <v>48</v>
      </c>
      <c r="H96">
        <v>1.7479097888417915E-2</v>
      </c>
      <c r="I96">
        <v>370.54792894033159</v>
      </c>
      <c r="J96">
        <v>0.21999660958060197</v>
      </c>
      <c r="K96">
        <v>211.30113906801034</v>
      </c>
      <c r="L96">
        <v>324.06239474485005</v>
      </c>
      <c r="M96">
        <v>0.38</v>
      </c>
      <c r="N96">
        <v>0.407422772266682</v>
      </c>
      <c r="O96">
        <v>1.072165190175479</v>
      </c>
      <c r="P96">
        <v>0.32787532392910324</v>
      </c>
      <c r="Q96">
        <v>0.86282979981342955</v>
      </c>
      <c r="R96">
        <v>0.35543024186860289</v>
      </c>
      <c r="S96">
        <v>0.93534274175948129</v>
      </c>
      <c r="T96">
        <v>0.50297939758207311</v>
      </c>
      <c r="U96">
        <v>0.3811157253849613</v>
      </c>
      <c r="V96">
        <v>1.0029361194341087</v>
      </c>
      <c r="W96">
        <v>0.46052522320583089</v>
      </c>
      <c r="X96">
        <v>1.2119084821206076</v>
      </c>
      <c r="Y96">
        <v>0.65291447916542988</v>
      </c>
      <c r="Z96">
        <v>1.7181959978037629</v>
      </c>
      <c r="AA96">
        <v>0.5248814835257537</v>
      </c>
      <c r="AB96">
        <v>1.3812670619098781</v>
      </c>
      <c r="AC96">
        <v>0.31526951037263856</v>
      </c>
      <c r="AD96">
        <v>0.82965660624378568</v>
      </c>
      <c r="AE96">
        <v>0.29639526846206188</v>
      </c>
      <c r="AF96">
        <v>0.77998754858437336</v>
      </c>
      <c r="AG96">
        <v>0.41097361091528284</v>
      </c>
      <c r="AH96">
        <v>1.081509502408639</v>
      </c>
      <c r="AI96">
        <v>0.50675079329674777</v>
      </c>
      <c r="AJ96">
        <v>1.3335547192019679</v>
      </c>
      <c r="AK96">
        <v>0.47267082737059674</v>
      </c>
      <c r="AL96">
        <v>1.2438705983436755</v>
      </c>
      <c r="AM96">
        <v>0.49248466369405719</v>
      </c>
      <c r="AN96">
        <v>1.2960122728790979</v>
      </c>
      <c r="AO96">
        <v>0.36210024835054477</v>
      </c>
      <c r="AP96">
        <v>0.95289539039617044</v>
      </c>
      <c r="AQ96">
        <v>0.33429193804752977</v>
      </c>
      <c r="AR96">
        <v>0.87971562644086776</v>
      </c>
    </row>
    <row r="97" spans="1:44" x14ac:dyDescent="0.3">
      <c r="A97" t="s">
        <v>27</v>
      </c>
      <c r="B97">
        <v>16</v>
      </c>
      <c r="C97">
        <v>2</v>
      </c>
      <c r="D97">
        <v>168</v>
      </c>
      <c r="E97">
        <v>3.2689999999999997</v>
      </c>
      <c r="F97">
        <v>25</v>
      </c>
      <c r="G97">
        <v>33</v>
      </c>
      <c r="H97">
        <v>1.9393939393939394E-2</v>
      </c>
      <c r="I97">
        <v>211.76759699968994</v>
      </c>
      <c r="J97">
        <v>0.55422920831565259</v>
      </c>
      <c r="K97">
        <v>192.83556964816188</v>
      </c>
      <c r="L97">
        <v>104.8924918984913</v>
      </c>
      <c r="M97">
        <v>0.15</v>
      </c>
      <c r="N97">
        <v>0.13409248123173162</v>
      </c>
      <c r="O97">
        <v>0.89394987487821087</v>
      </c>
      <c r="P97">
        <v>9.9274752045339976E-2</v>
      </c>
      <c r="Q97">
        <v>0.66183168030226658</v>
      </c>
      <c r="R97">
        <v>0.14310195367254047</v>
      </c>
      <c r="S97">
        <v>0.95401302448360314</v>
      </c>
      <c r="T97">
        <v>0.2642822803837333</v>
      </c>
      <c r="U97">
        <v>0.12447642459592426</v>
      </c>
      <c r="V97">
        <v>0.82984283063949504</v>
      </c>
      <c r="W97">
        <v>0.14579520985226643</v>
      </c>
      <c r="X97">
        <v>0.97196806568177629</v>
      </c>
      <c r="Y97">
        <v>0.10853508175017515</v>
      </c>
      <c r="Z97">
        <v>0.72356721166783433</v>
      </c>
      <c r="AA97">
        <v>0.21268829038166062</v>
      </c>
      <c r="AB97">
        <v>1.4179219358777375</v>
      </c>
      <c r="AC97">
        <v>0.14641282095142341</v>
      </c>
      <c r="AD97">
        <v>0.97608547300948945</v>
      </c>
      <c r="AE97">
        <v>0.13474689552984886</v>
      </c>
      <c r="AF97">
        <v>0.8983126368656591</v>
      </c>
      <c r="AG97">
        <v>0.17296156171576588</v>
      </c>
      <c r="AH97">
        <v>1.1530770781051058</v>
      </c>
      <c r="AI97">
        <v>0.1106344620337962</v>
      </c>
      <c r="AJ97">
        <v>0.73756308022530803</v>
      </c>
      <c r="AK97">
        <v>0.1874345964053338</v>
      </c>
      <c r="AL97">
        <v>1.2495639760355588</v>
      </c>
      <c r="AM97">
        <v>0.13094693451446163</v>
      </c>
      <c r="AN97">
        <v>0.87297956342974425</v>
      </c>
      <c r="AO97">
        <v>0.11189098015843607</v>
      </c>
      <c r="AP97">
        <v>0.74593986772290721</v>
      </c>
      <c r="AQ97">
        <v>9.0993054957387257E-2</v>
      </c>
      <c r="AR97">
        <v>0.60662036638258177</v>
      </c>
    </row>
    <row r="98" spans="1:44" x14ac:dyDescent="0.3">
      <c r="B98">
        <v>16</v>
      </c>
      <c r="C98">
        <v>2</v>
      </c>
      <c r="D98">
        <v>168</v>
      </c>
      <c r="E98">
        <v>3.2689999999999997</v>
      </c>
      <c r="F98">
        <v>25</v>
      </c>
      <c r="G98">
        <v>33</v>
      </c>
      <c r="H98">
        <v>1.9393939393939394E-2</v>
      </c>
      <c r="I98">
        <v>238.26122952921412</v>
      </c>
      <c r="J98">
        <v>0.49846011184100425</v>
      </c>
      <c r="K98">
        <v>192.83556964816188</v>
      </c>
      <c r="L98">
        <v>142.14038991546758</v>
      </c>
      <c r="M98">
        <v>0.18</v>
      </c>
      <c r="N98">
        <v>0.1710731766375258</v>
      </c>
      <c r="O98">
        <v>0.95040653687514343</v>
      </c>
      <c r="P98">
        <v>0.11617858999591686</v>
      </c>
      <c r="Q98">
        <v>0.64543661108842698</v>
      </c>
      <c r="R98">
        <v>0.16100502585436646</v>
      </c>
      <c r="S98">
        <v>0.89447236585759149</v>
      </c>
      <c r="T98">
        <v>0.29734587330234952</v>
      </c>
      <c r="U98">
        <v>0.15757047544565744</v>
      </c>
      <c r="V98">
        <v>0.87539153025365246</v>
      </c>
      <c r="W98">
        <v>0.17429705972752854</v>
      </c>
      <c r="X98">
        <v>0.96831699848626973</v>
      </c>
      <c r="Y98">
        <v>0.21393535237281311</v>
      </c>
      <c r="Z98">
        <v>1.1885297354045172</v>
      </c>
      <c r="AA98">
        <v>0.23929710820147421</v>
      </c>
      <c r="AB98">
        <v>1.3294283788970789</v>
      </c>
      <c r="AC98">
        <v>0.16899570354193333</v>
      </c>
      <c r="AD98">
        <v>0.93886501967740743</v>
      </c>
      <c r="AE98">
        <v>0.1542959678316207</v>
      </c>
      <c r="AF98">
        <v>0.85719982128678163</v>
      </c>
      <c r="AG98">
        <v>0.19460028323290537</v>
      </c>
      <c r="AH98">
        <v>1.0811126846272521</v>
      </c>
      <c r="AI98">
        <v>0.14377344806676662</v>
      </c>
      <c r="AJ98">
        <v>0.7987413781487035</v>
      </c>
      <c r="AK98">
        <v>0.21377264107091123</v>
      </c>
      <c r="AL98">
        <v>1.1876257837272848</v>
      </c>
      <c r="AM98">
        <v>0.16376816585157861</v>
      </c>
      <c r="AN98">
        <v>0.90982314361988115</v>
      </c>
      <c r="AO98">
        <v>0.13446108739692486</v>
      </c>
      <c r="AP98">
        <v>0.74700604109402702</v>
      </c>
      <c r="AQ98">
        <v>0.11057333806157328</v>
      </c>
      <c r="AR98">
        <v>0.614296322564296</v>
      </c>
    </row>
    <row r="99" spans="1:44" x14ac:dyDescent="0.3">
      <c r="B99">
        <v>16</v>
      </c>
      <c r="C99">
        <v>2</v>
      </c>
      <c r="D99">
        <v>168</v>
      </c>
      <c r="E99">
        <v>3.2689999999999997</v>
      </c>
      <c r="F99">
        <v>25</v>
      </c>
      <c r="G99">
        <v>33</v>
      </c>
      <c r="H99">
        <v>1.9393939393939394E-2</v>
      </c>
      <c r="I99">
        <v>264.70949624961241</v>
      </c>
      <c r="J99">
        <v>0.44278651039456585</v>
      </c>
      <c r="K99">
        <v>192.83556964816188</v>
      </c>
      <c r="L99">
        <v>179.32450728515454</v>
      </c>
      <c r="M99">
        <v>0.2</v>
      </c>
      <c r="N99">
        <v>0.20799054893474836</v>
      </c>
      <c r="O99">
        <v>1.0399527446737418</v>
      </c>
      <c r="P99">
        <v>0.14717536615403232</v>
      </c>
      <c r="Q99">
        <v>0.73587683077016153</v>
      </c>
      <c r="R99">
        <v>0.1788774420906756</v>
      </c>
      <c r="S99">
        <v>0.89438721045337799</v>
      </c>
      <c r="T99">
        <v>0.33035285047966667</v>
      </c>
      <c r="U99">
        <v>0.19449441343113166</v>
      </c>
      <c r="V99">
        <v>0.97247206715565826</v>
      </c>
      <c r="W99">
        <v>0.20275010506533303</v>
      </c>
      <c r="X99">
        <v>1.013750525326665</v>
      </c>
      <c r="Y99">
        <v>0.3105283279517595</v>
      </c>
      <c r="Z99">
        <v>1.5526416397587974</v>
      </c>
      <c r="AA99">
        <v>0.26586036297707577</v>
      </c>
      <c r="AB99">
        <v>1.3293018148853788</v>
      </c>
      <c r="AC99">
        <v>0.19153991681293903</v>
      </c>
      <c r="AD99">
        <v>0.95769958406469513</v>
      </c>
      <c r="AE99">
        <v>0.17381156569451961</v>
      </c>
      <c r="AF99">
        <v>0.86905782847259805</v>
      </c>
      <c r="AG99">
        <v>0.21620195214470733</v>
      </c>
      <c r="AH99">
        <v>1.0810097607235365</v>
      </c>
      <c r="AI99">
        <v>0.18990028944419676</v>
      </c>
      <c r="AJ99">
        <v>0.94950144722098373</v>
      </c>
      <c r="AK99">
        <v>0.24074542196424184</v>
      </c>
      <c r="AL99">
        <v>1.2037271098212092</v>
      </c>
      <c r="AM99">
        <v>0.20635674960082567</v>
      </c>
      <c r="AN99">
        <v>1.0317837480041283</v>
      </c>
      <c r="AO99">
        <v>0.17168202493194709</v>
      </c>
      <c r="AP99">
        <v>0.85841012465973543</v>
      </c>
      <c r="AQ99">
        <v>0.14506549518116371</v>
      </c>
      <c r="AR99">
        <v>0.72532747590581848</v>
      </c>
    </row>
    <row r="100" spans="1:44" x14ac:dyDescent="0.3">
      <c r="B100">
        <v>16</v>
      </c>
      <c r="C100">
        <v>2</v>
      </c>
      <c r="D100">
        <v>168</v>
      </c>
      <c r="E100">
        <v>3.2689999999999997</v>
      </c>
      <c r="F100">
        <v>25</v>
      </c>
      <c r="G100">
        <v>33</v>
      </c>
      <c r="H100">
        <v>1.9393939393939394E-2</v>
      </c>
      <c r="I100">
        <v>291.15776297001071</v>
      </c>
      <c r="J100">
        <v>0.38711290894812744</v>
      </c>
      <c r="K100">
        <v>192.83556964816188</v>
      </c>
      <c r="L100">
        <v>216.50862465484153</v>
      </c>
      <c r="M100">
        <v>0.23</v>
      </c>
      <c r="N100">
        <v>0.24490792123197097</v>
      </c>
      <c r="O100">
        <v>1.0648170488346564</v>
      </c>
      <c r="P100">
        <v>0.17817214231214781</v>
      </c>
      <c r="Q100">
        <v>0.77466148831368609</v>
      </c>
      <c r="R100">
        <v>0.19760779435522915</v>
      </c>
      <c r="S100">
        <v>0.85916432328360504</v>
      </c>
      <c r="T100">
        <v>0.36335982765698382</v>
      </c>
      <c r="U100">
        <v>0.23530157606629135</v>
      </c>
      <c r="V100">
        <v>1.0230503307230059</v>
      </c>
      <c r="W100">
        <v>0.23120315040313752</v>
      </c>
      <c r="X100">
        <v>1.0052310887092935</v>
      </c>
      <c r="Y100">
        <v>0.40085214401713148</v>
      </c>
      <c r="Z100">
        <v>1.7428354087701368</v>
      </c>
      <c r="AA100">
        <v>0.29242361775267733</v>
      </c>
      <c r="AB100">
        <v>1.2714070337072927</v>
      </c>
      <c r="AC100">
        <v>0.2140841300839447</v>
      </c>
      <c r="AD100">
        <v>0.93080056558236823</v>
      </c>
      <c r="AE100">
        <v>0.19332716355741852</v>
      </c>
      <c r="AF100">
        <v>0.84055288503225445</v>
      </c>
      <c r="AG100">
        <v>0.23780362105650929</v>
      </c>
      <c r="AH100">
        <v>1.0339287872022143</v>
      </c>
      <c r="AI100">
        <v>0.23602713082162688</v>
      </c>
      <c r="AJ100">
        <v>1.026204916615769</v>
      </c>
      <c r="AK100">
        <v>0.26824487680377612</v>
      </c>
      <c r="AL100">
        <v>1.1662820730598962</v>
      </c>
      <c r="AM100">
        <v>0.24778164092129079</v>
      </c>
      <c r="AN100">
        <v>1.0773114822664815</v>
      </c>
      <c r="AO100">
        <v>0.20947007070116988</v>
      </c>
      <c r="AP100">
        <v>0.91073943783117339</v>
      </c>
      <c r="AQ100">
        <v>0.18038046539104616</v>
      </c>
      <c r="AR100">
        <v>0.78426289300454843</v>
      </c>
    </row>
    <row r="101" spans="1:44" x14ac:dyDescent="0.3">
      <c r="B101">
        <v>16</v>
      </c>
      <c r="C101">
        <v>2</v>
      </c>
      <c r="D101">
        <v>168</v>
      </c>
      <c r="E101">
        <v>3.2689999999999997</v>
      </c>
      <c r="F101">
        <v>25</v>
      </c>
      <c r="G101">
        <v>33</v>
      </c>
      <c r="H101">
        <v>1.9393939393939394E-2</v>
      </c>
      <c r="I101">
        <v>317.65139549953489</v>
      </c>
      <c r="J101">
        <v>0.33134381247347899</v>
      </c>
      <c r="K101">
        <v>192.83556964816188</v>
      </c>
      <c r="L101">
        <v>253.75652267181783</v>
      </c>
      <c r="M101">
        <v>0.25</v>
      </c>
      <c r="N101">
        <v>0.28188861663776515</v>
      </c>
      <c r="O101">
        <v>1.1275544665510606</v>
      </c>
      <c r="P101">
        <v>0.20922208618236979</v>
      </c>
      <c r="Q101">
        <v>0.83688834472947915</v>
      </c>
      <c r="R101">
        <v>0.22744624799160579</v>
      </c>
      <c r="S101">
        <v>0.90978499196642315</v>
      </c>
      <c r="T101">
        <v>0.39642342057560004</v>
      </c>
      <c r="U101">
        <v>0.28007195534082957</v>
      </c>
      <c r="V101">
        <v>1.1202878213633183</v>
      </c>
      <c r="W101">
        <v>0.25970500027839966</v>
      </c>
      <c r="X101">
        <v>1.0388200011135986</v>
      </c>
      <c r="Y101">
        <v>0.48661646663274533</v>
      </c>
      <c r="Z101">
        <v>1.9464658665309813</v>
      </c>
      <c r="AA101">
        <v>0.31903243557249095</v>
      </c>
      <c r="AB101">
        <v>1.2761297422899638</v>
      </c>
      <c r="AC101">
        <v>0.23666701267445472</v>
      </c>
      <c r="AD101">
        <v>0.9466680506978189</v>
      </c>
      <c r="AE101">
        <v>0.21287623585919035</v>
      </c>
      <c r="AF101">
        <v>0.85150494343676142</v>
      </c>
      <c r="AG101">
        <v>0.25944234257364879</v>
      </c>
      <c r="AH101">
        <v>1.0377693702945952</v>
      </c>
      <c r="AI101">
        <v>0.28223309199558777</v>
      </c>
      <c r="AJ101">
        <v>1.1289323679823511</v>
      </c>
      <c r="AK101">
        <v>0.29621109654667349</v>
      </c>
      <c r="AL101">
        <v>1.184844386186694</v>
      </c>
      <c r="AM101">
        <v>0.28822808346578666</v>
      </c>
      <c r="AN101">
        <v>1.1529123338631466</v>
      </c>
      <c r="AO101">
        <v>0.24789150119600176</v>
      </c>
      <c r="AP101">
        <v>0.99156600478400703</v>
      </c>
      <c r="AQ101">
        <v>0.21658094147941417</v>
      </c>
      <c r="AR101">
        <v>0.8663237659176567</v>
      </c>
    </row>
    <row r="102" spans="1:44" x14ac:dyDescent="0.3">
      <c r="B102">
        <v>16</v>
      </c>
      <c r="C102">
        <v>2</v>
      </c>
      <c r="D102">
        <v>168</v>
      </c>
      <c r="E102">
        <v>3.2689999999999997</v>
      </c>
      <c r="F102">
        <v>25</v>
      </c>
      <c r="G102">
        <v>33</v>
      </c>
      <c r="H102">
        <v>1.9393939393939394E-2</v>
      </c>
      <c r="I102">
        <v>344.14502802905906</v>
      </c>
      <c r="J102">
        <v>0.27557471599883065</v>
      </c>
      <c r="K102">
        <v>192.83556964816188</v>
      </c>
      <c r="L102">
        <v>291.00442068879414</v>
      </c>
      <c r="M102">
        <v>0.3</v>
      </c>
      <c r="N102">
        <v>0.31886931204355928</v>
      </c>
      <c r="O102">
        <v>1.0628977068118644</v>
      </c>
      <c r="P102">
        <v>0.24027203005259176</v>
      </c>
      <c r="Q102">
        <v>0.80090676684197259</v>
      </c>
      <c r="R102">
        <v>0.25728470162798234</v>
      </c>
      <c r="S102">
        <v>0.85761567209327449</v>
      </c>
      <c r="T102">
        <v>0.42948701349421625</v>
      </c>
      <c r="U102">
        <v>0.32873889221541713</v>
      </c>
      <c r="V102">
        <v>1.0957963073847239</v>
      </c>
      <c r="W102">
        <v>0.28820685015366176</v>
      </c>
      <c r="X102">
        <v>0.96068950051220592</v>
      </c>
      <c r="Y102">
        <v>0.5687514418715035</v>
      </c>
      <c r="Z102">
        <v>1.8958381395716783</v>
      </c>
      <c r="AA102">
        <v>0.34564125339230445</v>
      </c>
      <c r="AB102">
        <v>1.1521375113076815</v>
      </c>
      <c r="AC102">
        <v>0.25924989526496467</v>
      </c>
      <c r="AD102">
        <v>0.86416631754988227</v>
      </c>
      <c r="AE102">
        <v>0.23242530816096219</v>
      </c>
      <c r="AF102">
        <v>0.77475102720320732</v>
      </c>
      <c r="AG102">
        <v>0.28108106409078831</v>
      </c>
      <c r="AH102">
        <v>0.93693688030262778</v>
      </c>
      <c r="AI102">
        <v>0.32843905316954863</v>
      </c>
      <c r="AJ102">
        <v>1.0947968438984954</v>
      </c>
      <c r="AK102">
        <v>0.32451779874455605</v>
      </c>
      <c r="AL102">
        <v>1.0817259958151868</v>
      </c>
      <c r="AM102">
        <v>0.32772968510924738</v>
      </c>
      <c r="AN102">
        <v>1.0924322836974913</v>
      </c>
      <c r="AO102">
        <v>0.28688198707633744</v>
      </c>
      <c r="AP102">
        <v>0.95627329025445817</v>
      </c>
      <c r="AQ102">
        <v>0.25360705576531917</v>
      </c>
      <c r="AR102">
        <v>0.84535685255106396</v>
      </c>
    </row>
    <row r="103" spans="1:44" x14ac:dyDescent="0.3">
      <c r="B103">
        <v>16</v>
      </c>
      <c r="C103">
        <v>2</v>
      </c>
      <c r="D103">
        <v>168</v>
      </c>
      <c r="E103">
        <v>3.2689999999999997</v>
      </c>
      <c r="F103">
        <v>25</v>
      </c>
      <c r="G103">
        <v>33</v>
      </c>
      <c r="H103">
        <v>1.9393939393939394E-2</v>
      </c>
      <c r="I103">
        <v>370.54792894033153</v>
      </c>
      <c r="J103">
        <v>0.21999660958060208</v>
      </c>
      <c r="K103">
        <v>192.83556964816188</v>
      </c>
      <c r="L103">
        <v>328.12475741119187</v>
      </c>
      <c r="M103">
        <v>0.3</v>
      </c>
      <c r="N103">
        <v>0.35572336123221043</v>
      </c>
      <c r="O103">
        <v>1.1857445374407014</v>
      </c>
      <c r="P103">
        <v>0.27121563849860081</v>
      </c>
      <c r="Q103">
        <v>0.90405212832866944</v>
      </c>
      <c r="R103">
        <v>0.28702096877930294</v>
      </c>
      <c r="S103">
        <v>0.95673656259767648</v>
      </c>
      <c r="T103">
        <v>0.46243737493023435</v>
      </c>
      <c r="U103">
        <v>0.38111572538496119</v>
      </c>
      <c r="V103">
        <v>1.270385751283204</v>
      </c>
      <c r="W103">
        <v>0.31661109095400869</v>
      </c>
      <c r="X103">
        <v>1.055370303180029</v>
      </c>
      <c r="Y103">
        <v>0.64776800862686934</v>
      </c>
      <c r="Z103">
        <v>2.1592266954228978</v>
      </c>
      <c r="AA103">
        <v>0.37215894512369413</v>
      </c>
      <c r="AB103">
        <v>1.2405298170789805</v>
      </c>
      <c r="AC103">
        <v>0.28175543921646612</v>
      </c>
      <c r="AD103">
        <v>0.93918479738822047</v>
      </c>
      <c r="AE103">
        <v>0.25190743158498824</v>
      </c>
      <c r="AF103">
        <v>0.83969143861662754</v>
      </c>
      <c r="AG103">
        <v>0.3026456803972527</v>
      </c>
      <c r="AH103">
        <v>1.0088189346575092</v>
      </c>
      <c r="AI103">
        <v>0.37448677475044817</v>
      </c>
      <c r="AJ103">
        <v>1.2482892491681605</v>
      </c>
      <c r="AK103">
        <v>0.35300690649432698</v>
      </c>
      <c r="AL103">
        <v>1.1766896883144233</v>
      </c>
      <c r="AM103">
        <v>0.36625043346120217</v>
      </c>
      <c r="AN103">
        <v>1.2208347782040072</v>
      </c>
      <c r="AO103">
        <v>0.32630507938824321</v>
      </c>
      <c r="AP103">
        <v>1.0876835979608108</v>
      </c>
      <c r="AQ103">
        <v>0.29132777003705512</v>
      </c>
      <c r="AR103">
        <v>0.97109256679018374</v>
      </c>
    </row>
    <row r="104" spans="1:44" x14ac:dyDescent="0.3">
      <c r="A104" t="s">
        <v>28</v>
      </c>
      <c r="B104">
        <v>16</v>
      </c>
      <c r="C104">
        <v>2</v>
      </c>
      <c r="D104">
        <v>168</v>
      </c>
      <c r="E104">
        <v>3.2689999999999997</v>
      </c>
      <c r="F104">
        <v>25</v>
      </c>
      <c r="G104">
        <v>33</v>
      </c>
      <c r="H104">
        <v>1.9393939393939394E-2</v>
      </c>
      <c r="I104">
        <v>185.27396447016577</v>
      </c>
      <c r="J104">
        <v>0.6</v>
      </c>
      <c r="K104">
        <v>192.83556964816188</v>
      </c>
      <c r="L104">
        <v>69.572622681268641</v>
      </c>
      <c r="M104">
        <v>0.15</v>
      </c>
      <c r="N104">
        <v>9.7111785825937463E-2</v>
      </c>
      <c r="O104">
        <v>0.64741190550624983</v>
      </c>
      <c r="P104">
        <v>8.685477449725118E-2</v>
      </c>
      <c r="Q104">
        <v>0.57903182998167457</v>
      </c>
      <c r="R104">
        <v>0.12519888149071451</v>
      </c>
      <c r="S104">
        <v>0.83465920993809672</v>
      </c>
      <c r="T104">
        <v>0.23121868746511717</v>
      </c>
      <c r="U104">
        <v>9.5278931346240298E-2</v>
      </c>
      <c r="V104">
        <v>0.63519287564160198</v>
      </c>
      <c r="W104">
        <v>0.11729335997700432</v>
      </c>
      <c r="X104">
        <v>0.78195573318002887</v>
      </c>
      <c r="AA104">
        <v>0.18607947256184706</v>
      </c>
      <c r="AB104">
        <v>1.2405298170789805</v>
      </c>
      <c r="AC104">
        <v>0.12382993836091344</v>
      </c>
      <c r="AD104">
        <v>0.82553292240608966</v>
      </c>
      <c r="AE104">
        <v>0.11519782322807706</v>
      </c>
      <c r="AF104">
        <v>0.76798548818718049</v>
      </c>
      <c r="AG104">
        <v>0.15132284019862635</v>
      </c>
      <c r="AH104">
        <v>1.0088189346575092</v>
      </c>
      <c r="AI104">
        <v>8.685477449725118E-2</v>
      </c>
      <c r="AJ104">
        <v>0.57903182998167457</v>
      </c>
      <c r="AK104">
        <v>0.16200292740797945</v>
      </c>
      <c r="AL104">
        <v>1.0800195160531965</v>
      </c>
      <c r="AM104">
        <v>0.10309760864614537</v>
      </c>
      <c r="AN104">
        <v>0.68731739097430244</v>
      </c>
      <c r="AO104">
        <v>9.437378870793918E-2</v>
      </c>
      <c r="AP104">
        <v>0.62915859138626118</v>
      </c>
      <c r="AQ104">
        <v>7.6722270453226243E-2</v>
      </c>
      <c r="AR104">
        <v>0.51148180302150836</v>
      </c>
    </row>
    <row r="105" spans="1:44" x14ac:dyDescent="0.3">
      <c r="B105">
        <v>16</v>
      </c>
      <c r="C105">
        <v>2</v>
      </c>
      <c r="D105">
        <v>168</v>
      </c>
      <c r="E105">
        <v>3.2689999999999997</v>
      </c>
      <c r="F105">
        <v>25</v>
      </c>
      <c r="G105">
        <v>33</v>
      </c>
      <c r="H105">
        <v>1.9393939393939394E-2</v>
      </c>
      <c r="I105">
        <v>211.76759699968994</v>
      </c>
      <c r="J105">
        <v>0.55422920831565259</v>
      </c>
      <c r="K105">
        <v>192.83556964816188</v>
      </c>
      <c r="L105">
        <v>104.8924918984913</v>
      </c>
      <c r="M105">
        <v>0.18</v>
      </c>
      <c r="N105">
        <v>0.13409248123173162</v>
      </c>
      <c r="O105">
        <v>0.74495822906517573</v>
      </c>
      <c r="P105">
        <v>9.9274752045339976E-2</v>
      </c>
      <c r="Q105">
        <v>0.55152640025188882</v>
      </c>
      <c r="R105">
        <v>0.14310195367254047</v>
      </c>
      <c r="S105">
        <v>0.79501085373633595</v>
      </c>
      <c r="T105">
        <v>0.2642822803837333</v>
      </c>
      <c r="U105">
        <v>0.12447642459592426</v>
      </c>
      <c r="V105">
        <v>0.69153569219957922</v>
      </c>
      <c r="W105">
        <v>0.14579520985226643</v>
      </c>
      <c r="X105">
        <v>0.80997338806814689</v>
      </c>
      <c r="Y105">
        <v>0.10853508175017515</v>
      </c>
      <c r="Z105">
        <v>0.60297267638986196</v>
      </c>
      <c r="AA105">
        <v>0.21268829038166062</v>
      </c>
      <c r="AB105">
        <v>1.181601613231448</v>
      </c>
      <c r="AC105">
        <v>0.14641282095142341</v>
      </c>
      <c r="AD105">
        <v>0.81340456084124124</v>
      </c>
      <c r="AE105">
        <v>0.13474689552984886</v>
      </c>
      <c r="AF105">
        <v>0.74859386405471595</v>
      </c>
      <c r="AG105">
        <v>0.17296156171576588</v>
      </c>
      <c r="AH105">
        <v>0.96089756508758828</v>
      </c>
      <c r="AI105">
        <v>0.1106344620337962</v>
      </c>
      <c r="AJ105">
        <v>0.61463590018775671</v>
      </c>
      <c r="AK105">
        <v>0.1874345964053338</v>
      </c>
      <c r="AL105">
        <v>1.0413033133629657</v>
      </c>
      <c r="AM105">
        <v>0.13094693451446163</v>
      </c>
      <c r="AN105">
        <v>0.72748296952478686</v>
      </c>
      <c r="AO105">
        <v>0.11189098015843607</v>
      </c>
      <c r="AP105">
        <v>0.62161655643575597</v>
      </c>
      <c r="AQ105">
        <v>9.0993054957387257E-2</v>
      </c>
      <c r="AR105">
        <v>0.50551697198548473</v>
      </c>
    </row>
    <row r="106" spans="1:44" x14ac:dyDescent="0.3">
      <c r="B106">
        <v>16</v>
      </c>
      <c r="C106">
        <v>2</v>
      </c>
      <c r="D106">
        <v>168</v>
      </c>
      <c r="E106">
        <v>3.2689999999999997</v>
      </c>
      <c r="F106">
        <v>25</v>
      </c>
      <c r="G106">
        <v>33</v>
      </c>
      <c r="H106">
        <v>1.9393939393939394E-2</v>
      </c>
      <c r="I106">
        <v>238.26122952921412</v>
      </c>
      <c r="J106">
        <v>0.49846011184100425</v>
      </c>
      <c r="K106">
        <v>192.83556964816188</v>
      </c>
      <c r="L106">
        <v>142.14038991546758</v>
      </c>
      <c r="M106">
        <v>0.18</v>
      </c>
      <c r="N106">
        <v>0.1710731766375258</v>
      </c>
      <c r="O106">
        <v>0.95040653687514343</v>
      </c>
      <c r="P106">
        <v>0.11617858999591686</v>
      </c>
      <c r="Q106">
        <v>0.64543661108842698</v>
      </c>
      <c r="R106">
        <v>0.16100502585436646</v>
      </c>
      <c r="S106">
        <v>0.89447236585759149</v>
      </c>
      <c r="T106">
        <v>0.29734587330234952</v>
      </c>
      <c r="U106">
        <v>0.15757047544565744</v>
      </c>
      <c r="V106">
        <v>0.87539153025365246</v>
      </c>
      <c r="W106">
        <v>0.17429705972752854</v>
      </c>
      <c r="X106">
        <v>0.96831699848626973</v>
      </c>
      <c r="Y106">
        <v>0.21393535237281311</v>
      </c>
      <c r="Z106">
        <v>1.1885297354045172</v>
      </c>
      <c r="AA106">
        <v>0.23929710820147421</v>
      </c>
      <c r="AB106">
        <v>1.3294283788970789</v>
      </c>
      <c r="AC106">
        <v>0.16899570354193333</v>
      </c>
      <c r="AD106">
        <v>0.93886501967740743</v>
      </c>
      <c r="AE106">
        <v>0.1542959678316207</v>
      </c>
      <c r="AF106">
        <v>0.85719982128678163</v>
      </c>
      <c r="AG106">
        <v>0.19460028323290537</v>
      </c>
      <c r="AH106">
        <v>1.0811126846272521</v>
      </c>
      <c r="AI106">
        <v>0.14377344806676662</v>
      </c>
      <c r="AJ106">
        <v>0.7987413781487035</v>
      </c>
      <c r="AK106">
        <v>0.21377264107091123</v>
      </c>
      <c r="AL106">
        <v>1.1876257837272848</v>
      </c>
      <c r="AM106">
        <v>0.16376816585157861</v>
      </c>
      <c r="AN106">
        <v>0.90982314361988115</v>
      </c>
      <c r="AO106">
        <v>0.13446108739692486</v>
      </c>
      <c r="AP106">
        <v>0.74700604109402702</v>
      </c>
      <c r="AQ106">
        <v>0.11057333806157328</v>
      </c>
      <c r="AR106">
        <v>0.614296322564296</v>
      </c>
    </row>
    <row r="107" spans="1:44" x14ac:dyDescent="0.3">
      <c r="B107">
        <v>16</v>
      </c>
      <c r="C107">
        <v>2</v>
      </c>
      <c r="D107">
        <v>168</v>
      </c>
      <c r="E107">
        <v>3.2689999999999997</v>
      </c>
      <c r="F107">
        <v>25</v>
      </c>
      <c r="G107">
        <v>33</v>
      </c>
      <c r="H107">
        <v>1.9393939393939394E-2</v>
      </c>
      <c r="I107">
        <v>264.70949624961241</v>
      </c>
      <c r="J107">
        <v>0.44278651039456585</v>
      </c>
      <c r="K107">
        <v>192.83556964816188</v>
      </c>
      <c r="L107">
        <v>179.32450728515454</v>
      </c>
      <c r="M107">
        <v>0.25</v>
      </c>
      <c r="N107">
        <v>0.20799054893474836</v>
      </c>
      <c r="O107">
        <v>0.83196219573899344</v>
      </c>
      <c r="P107">
        <v>0.14717536615403232</v>
      </c>
      <c r="Q107">
        <v>0.58870146461612927</v>
      </c>
      <c r="R107">
        <v>0.1788774420906756</v>
      </c>
      <c r="S107">
        <v>0.71550976836270241</v>
      </c>
      <c r="T107">
        <v>0.33035285047966667</v>
      </c>
      <c r="U107">
        <v>0.19449441343113166</v>
      </c>
      <c r="V107">
        <v>0.77797765372452665</v>
      </c>
      <c r="W107">
        <v>0.20275010506533303</v>
      </c>
      <c r="X107">
        <v>0.81100042026133212</v>
      </c>
      <c r="Y107">
        <v>0.3105283279517595</v>
      </c>
      <c r="Z107">
        <v>1.242113311807038</v>
      </c>
      <c r="AA107">
        <v>0.26586036297707577</v>
      </c>
      <c r="AB107">
        <v>1.0634414519083031</v>
      </c>
      <c r="AC107">
        <v>0.19153991681293903</v>
      </c>
      <c r="AD107">
        <v>0.7661596672517561</v>
      </c>
      <c r="AE107">
        <v>0.17381156569451961</v>
      </c>
      <c r="AF107">
        <v>0.69524626277807844</v>
      </c>
      <c r="AG107">
        <v>0.21620195214470733</v>
      </c>
      <c r="AH107">
        <v>0.86480780857882933</v>
      </c>
      <c r="AI107">
        <v>0.18990028944419676</v>
      </c>
      <c r="AJ107">
        <v>0.75960115777678705</v>
      </c>
      <c r="AK107">
        <v>0.24074542196424184</v>
      </c>
      <c r="AL107">
        <v>0.96298168785696736</v>
      </c>
      <c r="AM107">
        <v>0.20635674960082567</v>
      </c>
      <c r="AN107">
        <v>0.82542699840330269</v>
      </c>
      <c r="AO107">
        <v>0.17168202493194709</v>
      </c>
      <c r="AP107">
        <v>0.68672809972778837</v>
      </c>
      <c r="AQ107">
        <v>0.14506549518116371</v>
      </c>
      <c r="AR107">
        <v>0.58026198072465485</v>
      </c>
    </row>
    <row r="108" spans="1:44" x14ac:dyDescent="0.3">
      <c r="B108">
        <v>16</v>
      </c>
      <c r="C108">
        <v>2</v>
      </c>
      <c r="D108">
        <v>168</v>
      </c>
      <c r="E108">
        <v>3.2689999999999997</v>
      </c>
      <c r="F108">
        <v>25</v>
      </c>
      <c r="G108">
        <v>33</v>
      </c>
      <c r="H108">
        <v>1.9393939393939394E-2</v>
      </c>
      <c r="I108">
        <v>291.15776297001071</v>
      </c>
      <c r="J108">
        <v>0.38711290894812744</v>
      </c>
      <c r="K108">
        <v>192.83556964816188</v>
      </c>
      <c r="L108">
        <v>216.50862465484153</v>
      </c>
      <c r="M108">
        <v>0.28000000000000003</v>
      </c>
      <c r="N108">
        <v>0.24490792123197097</v>
      </c>
      <c r="O108">
        <v>0.87467114725703909</v>
      </c>
      <c r="P108">
        <v>0.17817214231214781</v>
      </c>
      <c r="Q108">
        <v>0.63632907968624208</v>
      </c>
      <c r="R108">
        <v>0.19760779435522915</v>
      </c>
      <c r="S108">
        <v>0.7057421226972469</v>
      </c>
      <c r="T108">
        <v>0.36335982765698382</v>
      </c>
      <c r="U108">
        <v>0.23530157606629135</v>
      </c>
      <c r="V108">
        <v>0.84036277166532614</v>
      </c>
      <c r="W108">
        <v>0.23120315040313752</v>
      </c>
      <c r="X108">
        <v>0.82572553715406249</v>
      </c>
      <c r="Y108">
        <v>0.40085214401713148</v>
      </c>
      <c r="Z108">
        <v>1.4316148000611837</v>
      </c>
      <c r="AA108">
        <v>0.29242361775267733</v>
      </c>
      <c r="AB108">
        <v>1.0443700634024189</v>
      </c>
      <c r="AC108">
        <v>0.2140841300839447</v>
      </c>
      <c r="AD108">
        <v>0.76458617887123104</v>
      </c>
      <c r="AE108">
        <v>0.19332716355741852</v>
      </c>
      <c r="AF108">
        <v>0.6904541555622089</v>
      </c>
      <c r="AG108">
        <v>0.23780362105650929</v>
      </c>
      <c r="AH108">
        <v>0.84929864663039023</v>
      </c>
      <c r="AI108">
        <v>0.23602713082162688</v>
      </c>
      <c r="AJ108">
        <v>0.84295403864866736</v>
      </c>
      <c r="AK108">
        <v>0.26824487680377612</v>
      </c>
      <c r="AL108">
        <v>0.95801741715634325</v>
      </c>
      <c r="AM108">
        <v>0.24778164092129079</v>
      </c>
      <c r="AN108">
        <v>0.88493443186175269</v>
      </c>
      <c r="AO108">
        <v>0.20947007070116988</v>
      </c>
      <c r="AP108">
        <v>0.74810739536132098</v>
      </c>
      <c r="AQ108">
        <v>0.18038046539104616</v>
      </c>
      <c r="AR108">
        <v>0.64421594782516478</v>
      </c>
    </row>
    <row r="109" spans="1:44" x14ac:dyDescent="0.3">
      <c r="B109">
        <v>16</v>
      </c>
      <c r="C109">
        <v>2</v>
      </c>
      <c r="D109">
        <v>168</v>
      </c>
      <c r="E109">
        <v>3.2689999999999997</v>
      </c>
      <c r="F109">
        <v>25</v>
      </c>
      <c r="G109">
        <v>33</v>
      </c>
      <c r="H109">
        <v>1.9393939393939394E-2</v>
      </c>
      <c r="I109">
        <v>317.65139549953489</v>
      </c>
      <c r="J109">
        <v>0.33134381247347899</v>
      </c>
      <c r="K109">
        <v>192.83556964816188</v>
      </c>
      <c r="L109">
        <v>253.75652267181783</v>
      </c>
      <c r="M109">
        <v>0.33</v>
      </c>
      <c r="N109">
        <v>0.28188861663776515</v>
      </c>
      <c r="O109">
        <v>0.85420792920534894</v>
      </c>
      <c r="P109">
        <v>0.20922208618236979</v>
      </c>
      <c r="Q109">
        <v>0.63400632176475691</v>
      </c>
      <c r="R109">
        <v>0.22744624799160579</v>
      </c>
      <c r="S109">
        <v>0.68923105452001754</v>
      </c>
      <c r="T109">
        <v>0.39642342057560004</v>
      </c>
      <c r="U109">
        <v>0.28007195534082957</v>
      </c>
      <c r="V109">
        <v>0.84870289497221074</v>
      </c>
      <c r="W109">
        <v>0.25970500027839966</v>
      </c>
      <c r="X109">
        <v>0.78698484932848378</v>
      </c>
      <c r="Y109">
        <v>0.48661646663274533</v>
      </c>
      <c r="Z109">
        <v>1.4745953534325615</v>
      </c>
      <c r="AA109">
        <v>0.31903243557249095</v>
      </c>
      <c r="AB109">
        <v>0.96676495628027559</v>
      </c>
      <c r="AC109">
        <v>0.23666701267445472</v>
      </c>
      <c r="AD109">
        <v>0.71717276568016575</v>
      </c>
      <c r="AE109">
        <v>0.21287623585919035</v>
      </c>
      <c r="AF109">
        <v>0.64507950260360714</v>
      </c>
      <c r="AG109">
        <v>0.25944234257364879</v>
      </c>
      <c r="AH109">
        <v>0.78618891688984482</v>
      </c>
      <c r="AI109">
        <v>0.28223309199558777</v>
      </c>
      <c r="AJ109">
        <v>0.85525179392602346</v>
      </c>
      <c r="AK109">
        <v>0.29621109654667349</v>
      </c>
      <c r="AL109">
        <v>0.89760938347476815</v>
      </c>
      <c r="AM109">
        <v>0.28822808346578666</v>
      </c>
      <c r="AN109">
        <v>0.87341843474480796</v>
      </c>
      <c r="AO109">
        <v>0.24789150119600176</v>
      </c>
      <c r="AP109">
        <v>0.75118636726061139</v>
      </c>
      <c r="AQ109">
        <v>0.21658094147941417</v>
      </c>
      <c r="AR109">
        <v>0.65630588327095196</v>
      </c>
    </row>
    <row r="110" spans="1:44" x14ac:dyDescent="0.3">
      <c r="B110">
        <v>16</v>
      </c>
      <c r="C110">
        <v>2</v>
      </c>
      <c r="D110">
        <v>168</v>
      </c>
      <c r="E110">
        <v>3.2689999999999997</v>
      </c>
      <c r="F110">
        <v>25</v>
      </c>
      <c r="G110">
        <v>33</v>
      </c>
      <c r="H110">
        <v>1.9393939393939394E-2</v>
      </c>
      <c r="I110">
        <v>344.14502802905906</v>
      </c>
      <c r="J110">
        <v>0.27557471599883065</v>
      </c>
      <c r="K110">
        <v>192.83556964816188</v>
      </c>
      <c r="L110">
        <v>291.00442068879414</v>
      </c>
      <c r="M110">
        <v>0.38</v>
      </c>
      <c r="N110">
        <v>0.31886931204355928</v>
      </c>
      <c r="O110">
        <v>0.83912976853568233</v>
      </c>
      <c r="P110">
        <v>0.24027203005259176</v>
      </c>
      <c r="Q110">
        <v>0.63229481592787307</v>
      </c>
      <c r="R110">
        <v>0.25728470162798234</v>
      </c>
      <c r="S110">
        <v>0.67706500428416405</v>
      </c>
      <c r="T110">
        <v>0.42948701349421625</v>
      </c>
      <c r="U110">
        <v>0.32873889221541713</v>
      </c>
      <c r="V110">
        <v>0.86510234793530827</v>
      </c>
      <c r="W110">
        <v>0.28820685015366176</v>
      </c>
      <c r="X110">
        <v>0.75843907935174149</v>
      </c>
      <c r="Y110">
        <v>0.5687514418715035</v>
      </c>
      <c r="Z110">
        <v>1.4967143207144828</v>
      </c>
      <c r="AA110">
        <v>0.34564125339230445</v>
      </c>
      <c r="AB110">
        <v>0.9095822457692222</v>
      </c>
      <c r="AC110">
        <v>0.25924989526496467</v>
      </c>
      <c r="AD110">
        <v>0.68223656648674913</v>
      </c>
      <c r="AE110">
        <v>0.23242530816096219</v>
      </c>
      <c r="AF110">
        <v>0.61164554779200575</v>
      </c>
      <c r="AG110">
        <v>0.28108106409078831</v>
      </c>
      <c r="AH110">
        <v>0.73968701076523236</v>
      </c>
      <c r="AI110">
        <v>0.32843905316954863</v>
      </c>
      <c r="AJ110">
        <v>0.86431329781460164</v>
      </c>
      <c r="AK110">
        <v>0.32451779874455605</v>
      </c>
      <c r="AL110">
        <v>0.85399420722251596</v>
      </c>
      <c r="AM110">
        <v>0.32772968510924738</v>
      </c>
      <c r="AN110">
        <v>0.86244653976117736</v>
      </c>
      <c r="AO110">
        <v>0.28688198707633744</v>
      </c>
      <c r="AP110">
        <v>0.75495259756930899</v>
      </c>
      <c r="AQ110">
        <v>0.25360705576531917</v>
      </c>
      <c r="AR110">
        <v>0.66738698885610304</v>
      </c>
    </row>
    <row r="111" spans="1:44" x14ac:dyDescent="0.3">
      <c r="B111">
        <v>16</v>
      </c>
      <c r="C111">
        <v>2</v>
      </c>
      <c r="D111">
        <v>168</v>
      </c>
      <c r="E111">
        <v>3.2689999999999997</v>
      </c>
      <c r="F111">
        <v>25</v>
      </c>
      <c r="G111">
        <v>33</v>
      </c>
      <c r="H111">
        <v>1.9393939393939394E-2</v>
      </c>
      <c r="I111">
        <v>370.54792894033153</v>
      </c>
      <c r="J111">
        <v>0.21999660958060208</v>
      </c>
      <c r="K111">
        <v>192.83556964816188</v>
      </c>
      <c r="L111">
        <v>328.12475741119187</v>
      </c>
      <c r="M111">
        <v>0.43</v>
      </c>
      <c r="N111">
        <v>0.35572336123221043</v>
      </c>
      <c r="O111">
        <v>0.82726363077258247</v>
      </c>
      <c r="P111">
        <v>0.27121563849860081</v>
      </c>
      <c r="Q111">
        <v>0.63073404302000191</v>
      </c>
      <c r="R111">
        <v>0.28702096877930294</v>
      </c>
      <c r="S111">
        <v>0.66749062506814638</v>
      </c>
      <c r="T111">
        <v>0.46243737493023435</v>
      </c>
      <c r="U111">
        <v>0.38111572538496119</v>
      </c>
      <c r="V111">
        <v>0.88631564043014233</v>
      </c>
      <c r="W111">
        <v>0.31661109095400869</v>
      </c>
      <c r="X111">
        <v>0.73630486268374118</v>
      </c>
      <c r="Y111">
        <v>0.64776800862686934</v>
      </c>
      <c r="Z111">
        <v>1.5064372293648125</v>
      </c>
      <c r="AA111">
        <v>0.37215894512369413</v>
      </c>
      <c r="AB111">
        <v>0.86548591889231197</v>
      </c>
      <c r="AC111">
        <v>0.28175543921646612</v>
      </c>
      <c r="AD111">
        <v>0.6552452074801538</v>
      </c>
      <c r="AE111">
        <v>0.25190743158498824</v>
      </c>
      <c r="AF111">
        <v>0.58583123624415867</v>
      </c>
      <c r="AG111">
        <v>0.3026456803972527</v>
      </c>
      <c r="AH111">
        <v>0.70382716371454113</v>
      </c>
      <c r="AI111">
        <v>0.37448677475044817</v>
      </c>
      <c r="AJ111">
        <v>0.87089947616383301</v>
      </c>
      <c r="AK111">
        <v>0.35300690649432698</v>
      </c>
      <c r="AL111">
        <v>0.82094629417285347</v>
      </c>
      <c r="AM111">
        <v>0.36625043346120217</v>
      </c>
      <c r="AN111">
        <v>0.85174519409581906</v>
      </c>
      <c r="AO111">
        <v>0.32630507938824321</v>
      </c>
      <c r="AP111">
        <v>0.75884902183312375</v>
      </c>
      <c r="AQ111">
        <v>0.29132777003705512</v>
      </c>
      <c r="AR111">
        <v>0.67750644194663978</v>
      </c>
    </row>
    <row r="112" spans="1:44" x14ac:dyDescent="0.3">
      <c r="A112" t="s">
        <v>29</v>
      </c>
      <c r="B112">
        <v>16</v>
      </c>
      <c r="C112">
        <v>3</v>
      </c>
      <c r="D112">
        <v>76</v>
      </c>
      <c r="E112">
        <v>3.2689999999999997</v>
      </c>
      <c r="F112">
        <v>25</v>
      </c>
      <c r="G112">
        <v>33</v>
      </c>
      <c r="H112">
        <v>2.9281922513849066E-2</v>
      </c>
      <c r="I112">
        <v>233.30469206437246</v>
      </c>
      <c r="J112">
        <v>0.50889362320449594</v>
      </c>
      <c r="K112">
        <v>135.9166018467607</v>
      </c>
      <c r="L112">
        <v>164.13760009693152</v>
      </c>
      <c r="M112">
        <v>0.15</v>
      </c>
      <c r="N112">
        <v>0.1531062354497946</v>
      </c>
      <c r="O112">
        <v>1.0207082363319639</v>
      </c>
      <c r="P112">
        <v>0.12226734357024087</v>
      </c>
      <c r="Q112">
        <v>0.81511562380160585</v>
      </c>
      <c r="R112">
        <v>0.13497830291539226</v>
      </c>
      <c r="S112">
        <v>0.89985535276928175</v>
      </c>
      <c r="T112">
        <v>0.19624775636841521</v>
      </c>
      <c r="U112">
        <v>0.15248177687827655</v>
      </c>
      <c r="V112">
        <v>1.0165451791885103</v>
      </c>
      <c r="W112">
        <v>0.13012496114856792</v>
      </c>
      <c r="X112">
        <v>0.86749974099045279</v>
      </c>
      <c r="Y112">
        <v>0.25195164759958771</v>
      </c>
      <c r="Z112">
        <v>1.6796776506639182</v>
      </c>
      <c r="AA112">
        <v>0.18003138663794294</v>
      </c>
      <c r="AB112">
        <v>1.2002092442529531</v>
      </c>
      <c r="AC112">
        <v>0.12518000924236972</v>
      </c>
      <c r="AD112">
        <v>0.83453339494913148</v>
      </c>
      <c r="AE112">
        <v>0.15297784176427023</v>
      </c>
      <c r="AF112">
        <v>1.0198522784284683</v>
      </c>
      <c r="AG112">
        <v>0.16782701616822179</v>
      </c>
      <c r="AH112">
        <v>1.1188467744548121</v>
      </c>
      <c r="AI112">
        <v>0.13797248193354791</v>
      </c>
      <c r="AJ112">
        <v>0.91981654622365283</v>
      </c>
      <c r="AK112">
        <v>0.18249529429926609</v>
      </c>
      <c r="AL112">
        <v>1.2166352953284407</v>
      </c>
      <c r="AM112">
        <v>0.15098726824286793</v>
      </c>
      <c r="AN112">
        <v>1.0065817882857861</v>
      </c>
      <c r="AO112">
        <v>0.14697360618078634</v>
      </c>
      <c r="AP112">
        <v>0.97982404120524225</v>
      </c>
      <c r="AQ112">
        <v>0.1251019397628847</v>
      </c>
      <c r="AR112">
        <v>0.83401293175256463</v>
      </c>
    </row>
    <row r="113" spans="1:44" x14ac:dyDescent="0.3">
      <c r="B113">
        <v>16</v>
      </c>
      <c r="C113">
        <v>3</v>
      </c>
      <c r="D113">
        <v>76</v>
      </c>
      <c r="E113">
        <v>3.2689999999999997</v>
      </c>
      <c r="F113">
        <v>25</v>
      </c>
      <c r="G113">
        <v>33</v>
      </c>
      <c r="H113">
        <v>2.9281922513849066E-2</v>
      </c>
      <c r="I113">
        <v>251.20389200920044</v>
      </c>
      <c r="J113">
        <v>0.47121580732063306</v>
      </c>
      <c r="K113">
        <v>135.9166018467607</v>
      </c>
      <c r="L113">
        <v>187.15784074170205</v>
      </c>
      <c r="M113">
        <v>0.18</v>
      </c>
      <c r="N113">
        <v>0.17116484293996007</v>
      </c>
      <c r="O113">
        <v>0.95091579411088933</v>
      </c>
      <c r="P113">
        <v>0.13958286394040598</v>
      </c>
      <c r="Q113">
        <v>0.77546035522447765</v>
      </c>
      <c r="R113">
        <v>0.15089875308436673</v>
      </c>
      <c r="S113">
        <v>0.83832640602425967</v>
      </c>
      <c r="T113">
        <v>0.21130393804603426</v>
      </c>
      <c r="U113">
        <v>0.17677617215084976</v>
      </c>
      <c r="V113">
        <v>0.98208984528249865</v>
      </c>
      <c r="W113">
        <v>0.14296226734899856</v>
      </c>
      <c r="X113">
        <v>0.79423481860554757</v>
      </c>
      <c r="Y113">
        <v>0.28721911732524774</v>
      </c>
      <c r="Z113">
        <v>1.595661762918043</v>
      </c>
      <c r="AA113">
        <v>0.19384344398348513</v>
      </c>
      <c r="AB113">
        <v>1.076908022130473</v>
      </c>
      <c r="AC113">
        <v>0.13677115061920933</v>
      </c>
      <c r="AD113">
        <v>0.75983972566227409</v>
      </c>
      <c r="AE113">
        <v>0.1661724760507631</v>
      </c>
      <c r="AF113">
        <v>0.92318042250423948</v>
      </c>
      <c r="AG113">
        <v>0.18070275086501922</v>
      </c>
      <c r="AH113">
        <v>1.0039041714723291</v>
      </c>
      <c r="AI113">
        <v>0.16178299565649967</v>
      </c>
      <c r="AJ113">
        <v>0.89879442031388712</v>
      </c>
      <c r="AK113">
        <v>0.19805607316380258</v>
      </c>
      <c r="AL113">
        <v>1.1003115175766811</v>
      </c>
      <c r="AM113">
        <v>0.17346475690952251</v>
      </c>
      <c r="AN113">
        <v>0.96369309394179181</v>
      </c>
      <c r="AO113">
        <v>0.16883493162996183</v>
      </c>
      <c r="AP113">
        <v>0.93797184238867681</v>
      </c>
      <c r="AQ113">
        <v>0.14544034825866653</v>
      </c>
      <c r="AR113">
        <v>0.80800193477036963</v>
      </c>
    </row>
    <row r="114" spans="1:44" x14ac:dyDescent="0.3">
      <c r="B114">
        <v>16</v>
      </c>
      <c r="C114">
        <v>3</v>
      </c>
      <c r="D114">
        <v>76</v>
      </c>
      <c r="E114">
        <v>3.2689999999999997</v>
      </c>
      <c r="F114">
        <v>25</v>
      </c>
      <c r="G114">
        <v>33</v>
      </c>
      <c r="H114">
        <v>2.9281922513849066E-2</v>
      </c>
      <c r="I114">
        <v>269.16460123218928</v>
      </c>
      <c r="J114">
        <v>0.43340851440624162</v>
      </c>
      <c r="K114">
        <v>135.9166018467607</v>
      </c>
      <c r="L114">
        <v>210.2571887426401</v>
      </c>
      <c r="M114">
        <v>0.18</v>
      </c>
      <c r="N114">
        <v>0.18928550750053849</v>
      </c>
      <c r="O114">
        <v>1.0515861527807695</v>
      </c>
      <c r="P114">
        <v>0.15695788781699774</v>
      </c>
      <c r="Q114">
        <v>0.87198826564998744</v>
      </c>
      <c r="R114">
        <v>0.16687391270409369</v>
      </c>
      <c r="S114">
        <v>0.92707729280052054</v>
      </c>
      <c r="T114">
        <v>0.22641185917959003</v>
      </c>
      <c r="U114">
        <v>0.20295833219561998</v>
      </c>
      <c r="V114">
        <v>1.1275462899756665</v>
      </c>
      <c r="W114">
        <v>0.15584368800372614</v>
      </c>
      <c r="X114">
        <v>0.86579826668736748</v>
      </c>
      <c r="Y114">
        <v>0.32158182698958593</v>
      </c>
      <c r="Z114">
        <v>1.7865657054976998</v>
      </c>
      <c r="AA114">
        <v>0.20770296544361677</v>
      </c>
      <c r="AB114">
        <v>1.1539053635756489</v>
      </c>
      <c r="AC114">
        <v>0.14840212409700027</v>
      </c>
      <c r="AD114">
        <v>0.82445624498333481</v>
      </c>
      <c r="AE114">
        <v>0.17941245272312015</v>
      </c>
      <c r="AF114">
        <v>0.99673584846177865</v>
      </c>
      <c r="AG114">
        <v>0.19362273207280215</v>
      </c>
      <c r="AH114">
        <v>1.0756818448489009</v>
      </c>
      <c r="AI114">
        <v>0.18567533245066428</v>
      </c>
      <c r="AJ114">
        <v>1.0315296247259127</v>
      </c>
      <c r="AK114">
        <v>0.21383798086854924</v>
      </c>
      <c r="AL114">
        <v>1.1879887826030513</v>
      </c>
      <c r="AM114">
        <v>0.195661015918076</v>
      </c>
      <c r="AN114">
        <v>1.0870056439893112</v>
      </c>
      <c r="AO114">
        <v>0.19103246226269721</v>
      </c>
      <c r="AP114">
        <v>1.0612914570149845</v>
      </c>
      <c r="AQ114">
        <v>0.1662505038881662</v>
      </c>
      <c r="AR114">
        <v>0.92361391048981223</v>
      </c>
    </row>
    <row r="115" spans="1:44" x14ac:dyDescent="0.3">
      <c r="B115">
        <v>16</v>
      </c>
      <c r="C115">
        <v>3</v>
      </c>
      <c r="D115">
        <v>76</v>
      </c>
      <c r="E115">
        <v>3.2689999999999997</v>
      </c>
      <c r="F115">
        <v>25</v>
      </c>
      <c r="G115">
        <v>33</v>
      </c>
      <c r="H115">
        <v>2.9281922513849066E-2</v>
      </c>
      <c r="I115">
        <v>287.12531045517812</v>
      </c>
      <c r="J115">
        <v>0.39560122149185006</v>
      </c>
      <c r="K115">
        <v>135.9166018467607</v>
      </c>
      <c r="L115">
        <v>233.35653674357815</v>
      </c>
      <c r="M115">
        <v>0.2</v>
      </c>
      <c r="N115">
        <v>0.20740617206111689</v>
      </c>
      <c r="O115">
        <v>1.0370308603055844</v>
      </c>
      <c r="P115">
        <v>0.1743329116935895</v>
      </c>
      <c r="Q115">
        <v>0.87166455846794744</v>
      </c>
      <c r="R115">
        <v>0.18284907232382061</v>
      </c>
      <c r="S115">
        <v>0.91424536161910297</v>
      </c>
      <c r="T115">
        <v>0.24151978031314592</v>
      </c>
      <c r="U115">
        <v>0.23094786593615235</v>
      </c>
      <c r="V115">
        <v>1.1547393296807618</v>
      </c>
      <c r="W115">
        <v>0.16872510865845375</v>
      </c>
      <c r="X115">
        <v>0.84362554329226869</v>
      </c>
      <c r="Y115">
        <v>0.35510946407025634</v>
      </c>
      <c r="Z115">
        <v>1.7755473203512817</v>
      </c>
      <c r="AA115">
        <v>0.22156248690374838</v>
      </c>
      <c r="AB115">
        <v>1.1078124345187419</v>
      </c>
      <c r="AC115">
        <v>0.16003309757479117</v>
      </c>
      <c r="AD115">
        <v>0.80016548787395581</v>
      </c>
      <c r="AE115">
        <v>0.19265242939547719</v>
      </c>
      <c r="AF115">
        <v>0.96326214697738588</v>
      </c>
      <c r="AG115">
        <v>0.2065427132805851</v>
      </c>
      <c r="AH115">
        <v>1.0327135664029254</v>
      </c>
      <c r="AI115">
        <v>0.20956766924482884</v>
      </c>
      <c r="AJ115">
        <v>1.0478383462241441</v>
      </c>
      <c r="AK115">
        <v>0.22976214666883635</v>
      </c>
      <c r="AL115">
        <v>1.1488107333441817</v>
      </c>
      <c r="AM115">
        <v>0.21752305317848561</v>
      </c>
      <c r="AN115">
        <v>1.0876152658924281</v>
      </c>
      <c r="AO115">
        <v>0.21349152107148955</v>
      </c>
      <c r="AP115">
        <v>1.0674576053574476</v>
      </c>
      <c r="AQ115">
        <v>0.18746320450261181</v>
      </c>
      <c r="AR115">
        <v>0.93731602251305901</v>
      </c>
    </row>
    <row r="116" spans="1:44" x14ac:dyDescent="0.3">
      <c r="B116">
        <v>16</v>
      </c>
      <c r="C116">
        <v>3</v>
      </c>
      <c r="D116">
        <v>76</v>
      </c>
      <c r="E116">
        <v>3.2689999999999997</v>
      </c>
      <c r="F116">
        <v>25</v>
      </c>
      <c r="G116">
        <v>33</v>
      </c>
      <c r="H116">
        <v>2.9281922513849066E-2</v>
      </c>
      <c r="I116">
        <v>305.08601967816708</v>
      </c>
      <c r="J116">
        <v>0.35779392857745829</v>
      </c>
      <c r="K116">
        <v>135.9166018467607</v>
      </c>
      <c r="L116">
        <v>256.45588474451637</v>
      </c>
      <c r="M116">
        <v>0.2</v>
      </c>
      <c r="N116">
        <v>0.2255268366216954</v>
      </c>
      <c r="O116">
        <v>1.1276341831084769</v>
      </c>
      <c r="P116">
        <v>0.19170793557018131</v>
      </c>
      <c r="Q116">
        <v>0.95853967785090655</v>
      </c>
      <c r="R116">
        <v>0.19882423194354767</v>
      </c>
      <c r="S116">
        <v>0.99412115971773829</v>
      </c>
      <c r="T116">
        <v>0.25662770144670172</v>
      </c>
      <c r="U116">
        <v>0.26074477337244656</v>
      </c>
      <c r="V116">
        <v>1.2831385072335084</v>
      </c>
      <c r="W116">
        <v>0.18160652931318141</v>
      </c>
      <c r="X116">
        <v>0.90803264656590699</v>
      </c>
      <c r="Y116">
        <v>0.387949513160665</v>
      </c>
      <c r="Z116">
        <v>1.939747565803325</v>
      </c>
      <c r="AA116">
        <v>0.23542200836388011</v>
      </c>
      <c r="AB116">
        <v>1.1771100418194005</v>
      </c>
      <c r="AC116">
        <v>0.17166407105258216</v>
      </c>
      <c r="AD116">
        <v>0.85832035526291073</v>
      </c>
      <c r="AE116">
        <v>0.20589240606783432</v>
      </c>
      <c r="AF116">
        <v>1.0294620303391715</v>
      </c>
      <c r="AG116">
        <v>0.21946269448836811</v>
      </c>
      <c r="AH116">
        <v>1.0973134724418405</v>
      </c>
      <c r="AI116">
        <v>0.23346000603899358</v>
      </c>
      <c r="AJ116">
        <v>1.1673000301949679</v>
      </c>
      <c r="AK116">
        <v>0.24580809599432676</v>
      </c>
      <c r="AL116">
        <v>1.2290404799716337</v>
      </c>
      <c r="AM116">
        <v>0.23907403789405193</v>
      </c>
      <c r="AN116">
        <v>1.1953701894702595</v>
      </c>
      <c r="AO116">
        <v>0.23621210805633899</v>
      </c>
      <c r="AP116">
        <v>1.1810605402816949</v>
      </c>
      <c r="AQ116">
        <v>0.20907845010200338</v>
      </c>
      <c r="AR116">
        <v>1.0453922505100168</v>
      </c>
    </row>
    <row r="117" spans="1:44" x14ac:dyDescent="0.3">
      <c r="A117" t="s">
        <v>30</v>
      </c>
      <c r="B117">
        <v>16</v>
      </c>
      <c r="C117">
        <v>3</v>
      </c>
      <c r="D117">
        <v>76</v>
      </c>
      <c r="E117">
        <v>3.2689999999999997</v>
      </c>
      <c r="F117">
        <v>25</v>
      </c>
      <c r="G117">
        <v>33</v>
      </c>
      <c r="H117">
        <v>2.9281922513849066E-2</v>
      </c>
      <c r="I117">
        <v>251.20389200920044</v>
      </c>
      <c r="J117">
        <v>0.47121580732063306</v>
      </c>
      <c r="K117">
        <v>135.9166018467607</v>
      </c>
      <c r="L117">
        <v>187.15784074170205</v>
      </c>
      <c r="M117">
        <v>0.15</v>
      </c>
      <c r="N117">
        <v>0.17116484293996007</v>
      </c>
      <c r="O117">
        <v>1.1410989529330671</v>
      </c>
      <c r="P117">
        <v>0.13958286394040598</v>
      </c>
      <c r="Q117">
        <v>0.93055242626937318</v>
      </c>
      <c r="R117">
        <v>0.15089875308436673</v>
      </c>
      <c r="S117">
        <v>1.0059916872291117</v>
      </c>
      <c r="T117">
        <v>0.21130393804603426</v>
      </c>
      <c r="U117">
        <v>0.17677617215084976</v>
      </c>
      <c r="V117">
        <v>1.1785078143389984</v>
      </c>
      <c r="W117">
        <v>0.14296226734899856</v>
      </c>
      <c r="X117">
        <v>0.95308178232665708</v>
      </c>
      <c r="Y117">
        <v>0.28721911732524774</v>
      </c>
      <c r="Z117">
        <v>1.9147941155016517</v>
      </c>
      <c r="AA117">
        <v>0.19384344398348513</v>
      </c>
      <c r="AB117">
        <v>1.2922896265565675</v>
      </c>
      <c r="AC117">
        <v>0.13677115061920933</v>
      </c>
      <c r="AD117">
        <v>0.91180767079472891</v>
      </c>
      <c r="AE117">
        <v>0.1661724760507631</v>
      </c>
      <c r="AF117">
        <v>1.1078165070050874</v>
      </c>
      <c r="AG117">
        <v>0.18070275086501922</v>
      </c>
      <c r="AH117">
        <v>1.2046850057667948</v>
      </c>
      <c r="AI117">
        <v>0.16178299565649967</v>
      </c>
      <c r="AJ117">
        <v>1.0785533043766646</v>
      </c>
      <c r="AK117">
        <v>0.19805607316380258</v>
      </c>
      <c r="AL117">
        <v>1.3203738210920173</v>
      </c>
      <c r="AM117">
        <v>0.17346475690952251</v>
      </c>
      <c r="AN117">
        <v>1.1564317127301502</v>
      </c>
      <c r="AO117">
        <v>0.16883493162996183</v>
      </c>
      <c r="AP117">
        <v>1.1255662108664122</v>
      </c>
      <c r="AQ117">
        <v>0.14544034825866653</v>
      </c>
      <c r="AR117">
        <v>0.96960232172444361</v>
      </c>
    </row>
    <row r="118" spans="1:44" x14ac:dyDescent="0.3">
      <c r="B118">
        <v>16</v>
      </c>
      <c r="C118">
        <v>3</v>
      </c>
      <c r="D118">
        <v>76</v>
      </c>
      <c r="E118">
        <v>3.2689999999999997</v>
      </c>
      <c r="F118">
        <v>25</v>
      </c>
      <c r="G118">
        <v>33</v>
      </c>
      <c r="H118">
        <v>2.9281922513849066E-2</v>
      </c>
      <c r="I118">
        <v>269.16460123218928</v>
      </c>
      <c r="J118">
        <v>0.43340851440624162</v>
      </c>
      <c r="K118">
        <v>135.9166018467607</v>
      </c>
      <c r="L118">
        <v>210.2571887426401</v>
      </c>
      <c r="M118">
        <v>0.18</v>
      </c>
      <c r="N118">
        <v>0.18928550750053849</v>
      </c>
      <c r="O118">
        <v>1.0515861527807695</v>
      </c>
      <c r="P118">
        <v>0.15695788781699774</v>
      </c>
      <c r="Q118">
        <v>0.87198826564998744</v>
      </c>
      <c r="R118">
        <v>0.16687391270409369</v>
      </c>
      <c r="S118">
        <v>0.92707729280052054</v>
      </c>
      <c r="T118">
        <v>0.22641185917959003</v>
      </c>
      <c r="U118">
        <v>0.20295833219561998</v>
      </c>
      <c r="V118">
        <v>1.1275462899756665</v>
      </c>
      <c r="W118">
        <v>0.15584368800372614</v>
      </c>
      <c r="X118">
        <v>0.86579826668736748</v>
      </c>
      <c r="Y118">
        <v>0.32158182698958593</v>
      </c>
      <c r="Z118">
        <v>1.7865657054976998</v>
      </c>
      <c r="AA118">
        <v>0.20770296544361677</v>
      </c>
      <c r="AB118">
        <v>1.1539053635756489</v>
      </c>
      <c r="AC118">
        <v>0.14840212409700027</v>
      </c>
      <c r="AD118">
        <v>0.82445624498333481</v>
      </c>
      <c r="AE118">
        <v>0.17941245272312015</v>
      </c>
      <c r="AF118">
        <v>0.99673584846177865</v>
      </c>
      <c r="AG118">
        <v>0.19362273207280215</v>
      </c>
      <c r="AH118">
        <v>1.0756818448489009</v>
      </c>
      <c r="AI118">
        <v>0.18567533245066428</v>
      </c>
      <c r="AJ118">
        <v>1.0315296247259127</v>
      </c>
      <c r="AK118">
        <v>0.21383798086854924</v>
      </c>
      <c r="AL118">
        <v>1.1879887826030513</v>
      </c>
      <c r="AM118">
        <v>0.195661015918076</v>
      </c>
      <c r="AN118">
        <v>1.0870056439893112</v>
      </c>
      <c r="AO118">
        <v>0.19103246226269721</v>
      </c>
      <c r="AP118">
        <v>1.0612914570149845</v>
      </c>
      <c r="AQ118">
        <v>0.1662505038881662</v>
      </c>
      <c r="AR118">
        <v>0.92361391048981223</v>
      </c>
    </row>
    <row r="119" spans="1:44" x14ac:dyDescent="0.3">
      <c r="B119">
        <v>16</v>
      </c>
      <c r="C119">
        <v>3</v>
      </c>
      <c r="D119">
        <v>76</v>
      </c>
      <c r="E119">
        <v>3.2689999999999997</v>
      </c>
      <c r="F119">
        <v>25</v>
      </c>
      <c r="G119">
        <v>33</v>
      </c>
      <c r="H119">
        <v>2.9281922513849066E-2</v>
      </c>
      <c r="I119">
        <v>287.12531045517812</v>
      </c>
      <c r="J119">
        <v>0.39560122149185006</v>
      </c>
      <c r="K119">
        <v>135.9166018467607</v>
      </c>
      <c r="L119">
        <v>233.35653674357815</v>
      </c>
      <c r="M119">
        <v>0.2</v>
      </c>
      <c r="N119">
        <v>0.20740617206111689</v>
      </c>
      <c r="O119">
        <v>1.0370308603055844</v>
      </c>
      <c r="P119">
        <v>0.1743329116935895</v>
      </c>
      <c r="Q119">
        <v>0.87166455846794744</v>
      </c>
      <c r="R119">
        <v>0.18284907232382061</v>
      </c>
      <c r="S119">
        <v>0.91424536161910297</v>
      </c>
      <c r="T119">
        <v>0.24151978031314592</v>
      </c>
      <c r="U119">
        <v>0.23094786593615235</v>
      </c>
      <c r="V119">
        <v>1.1547393296807618</v>
      </c>
      <c r="W119">
        <v>0.16872510865845375</v>
      </c>
      <c r="X119">
        <v>0.84362554329226869</v>
      </c>
      <c r="Y119">
        <v>0.35510946407025634</v>
      </c>
      <c r="Z119">
        <v>1.7755473203512817</v>
      </c>
      <c r="AA119">
        <v>0.22156248690374838</v>
      </c>
      <c r="AB119">
        <v>1.1078124345187419</v>
      </c>
      <c r="AC119">
        <v>0.16003309757479117</v>
      </c>
      <c r="AD119">
        <v>0.80016548787395581</v>
      </c>
      <c r="AE119">
        <v>0.19265242939547719</v>
      </c>
      <c r="AF119">
        <v>0.96326214697738588</v>
      </c>
      <c r="AG119">
        <v>0.2065427132805851</v>
      </c>
      <c r="AH119">
        <v>1.0327135664029254</v>
      </c>
      <c r="AI119">
        <v>0.20956766924482884</v>
      </c>
      <c r="AJ119">
        <v>1.0478383462241441</v>
      </c>
      <c r="AK119">
        <v>0.22976214666883635</v>
      </c>
      <c r="AL119">
        <v>1.1488107333441817</v>
      </c>
      <c r="AM119">
        <v>0.21752305317848561</v>
      </c>
      <c r="AN119">
        <v>1.0876152658924281</v>
      </c>
      <c r="AO119">
        <v>0.21349152107148955</v>
      </c>
      <c r="AP119">
        <v>1.0674576053574476</v>
      </c>
      <c r="AQ119">
        <v>0.18746320450261181</v>
      </c>
      <c r="AR119">
        <v>0.93731602251305901</v>
      </c>
    </row>
    <row r="120" spans="1:44" x14ac:dyDescent="0.3">
      <c r="B120">
        <v>16</v>
      </c>
      <c r="C120">
        <v>3</v>
      </c>
      <c r="D120">
        <v>76</v>
      </c>
      <c r="E120">
        <v>3.2689999999999997</v>
      </c>
      <c r="F120">
        <v>25</v>
      </c>
      <c r="G120">
        <v>33</v>
      </c>
      <c r="H120">
        <v>2.9281922513849066E-2</v>
      </c>
      <c r="I120">
        <v>305.08601967816708</v>
      </c>
      <c r="J120">
        <v>0.35779392857745829</v>
      </c>
      <c r="K120">
        <v>135.9166018467607</v>
      </c>
      <c r="L120">
        <v>256.45588474451637</v>
      </c>
      <c r="M120">
        <v>0.2</v>
      </c>
      <c r="N120">
        <v>0.2255268366216954</v>
      </c>
      <c r="O120">
        <v>1.1276341831084769</v>
      </c>
      <c r="P120">
        <v>0.19170793557018131</v>
      </c>
      <c r="Q120">
        <v>0.95853967785090655</v>
      </c>
      <c r="R120">
        <v>0.19882423194354767</v>
      </c>
      <c r="S120">
        <v>0.99412115971773829</v>
      </c>
      <c r="T120">
        <v>0.25662770144670172</v>
      </c>
      <c r="U120">
        <v>0.26074477337244656</v>
      </c>
      <c r="V120">
        <v>1.2831385072335084</v>
      </c>
      <c r="W120">
        <v>0.18160652931318141</v>
      </c>
      <c r="X120">
        <v>0.90803264656590699</v>
      </c>
      <c r="Y120">
        <v>0.387949513160665</v>
      </c>
      <c r="Z120">
        <v>1.939747565803325</v>
      </c>
      <c r="AA120">
        <v>0.23542200836388011</v>
      </c>
      <c r="AB120">
        <v>1.1771100418194005</v>
      </c>
      <c r="AC120">
        <v>0.17166407105258216</v>
      </c>
      <c r="AD120">
        <v>0.85832035526291073</v>
      </c>
      <c r="AE120">
        <v>0.20589240606783432</v>
      </c>
      <c r="AF120">
        <v>1.0294620303391715</v>
      </c>
      <c r="AG120">
        <v>0.21946269448836811</v>
      </c>
      <c r="AH120">
        <v>1.0973134724418405</v>
      </c>
      <c r="AI120">
        <v>0.23346000603899358</v>
      </c>
      <c r="AJ120">
        <v>1.1673000301949679</v>
      </c>
      <c r="AK120">
        <v>0.24580809599432676</v>
      </c>
      <c r="AL120">
        <v>1.2290404799716337</v>
      </c>
      <c r="AM120">
        <v>0.23907403789405193</v>
      </c>
      <c r="AN120">
        <v>1.1953701894702595</v>
      </c>
      <c r="AO120">
        <v>0.23621210805633899</v>
      </c>
      <c r="AP120">
        <v>1.1810605402816949</v>
      </c>
      <c r="AQ120">
        <v>0.20907845010200338</v>
      </c>
      <c r="AR120">
        <v>1.0453922505100168</v>
      </c>
    </row>
    <row r="121" spans="1:44" x14ac:dyDescent="0.3">
      <c r="A121" t="s">
        <v>31</v>
      </c>
      <c r="B121">
        <v>12</v>
      </c>
      <c r="C121">
        <v>2</v>
      </c>
      <c r="D121">
        <v>296</v>
      </c>
      <c r="E121">
        <v>3.2689999999999997</v>
      </c>
      <c r="F121">
        <v>25</v>
      </c>
      <c r="G121">
        <v>31</v>
      </c>
      <c r="H121">
        <v>1.2477206469672451E-2</v>
      </c>
      <c r="I121">
        <v>176.28617352026819</v>
      </c>
      <c r="J121">
        <v>0.6</v>
      </c>
      <c r="K121">
        <v>286.27550543787316</v>
      </c>
      <c r="L121">
        <v>4.5208702575442885</v>
      </c>
      <c r="M121">
        <v>0.2</v>
      </c>
      <c r="N121">
        <v>7.1690562907373032E-3</v>
      </c>
      <c r="O121">
        <v>3.5845281453686512E-2</v>
      </c>
      <c r="P121">
        <v>7.2148609668635899E-2</v>
      </c>
      <c r="Q121">
        <v>0.3607430483431795</v>
      </c>
      <c r="R121">
        <v>0.13142035655526946</v>
      </c>
      <c r="S121">
        <v>0.65710178277634723</v>
      </c>
      <c r="T121">
        <v>0.24254206377240639</v>
      </c>
      <c r="U121">
        <v>6.4368016399245206E-2</v>
      </c>
      <c r="V121">
        <v>0.32184008199622599</v>
      </c>
      <c r="W121">
        <v>0.17856608619280925</v>
      </c>
      <c r="X121">
        <v>0.89283043096404624</v>
      </c>
      <c r="AA121">
        <v>0.3030500275579413</v>
      </c>
      <c r="AB121">
        <v>1.5152501377897065</v>
      </c>
      <c r="AC121">
        <v>0.12362610885562696</v>
      </c>
      <c r="AD121">
        <v>0.61813054427813474</v>
      </c>
      <c r="AE121">
        <v>8.2839711691510234E-2</v>
      </c>
      <c r="AF121">
        <v>0.41419855845755116</v>
      </c>
      <c r="AG121">
        <v>0.18416833175589342</v>
      </c>
      <c r="AH121">
        <v>0.92084165877946711</v>
      </c>
      <c r="AI121">
        <v>7.2148609668635899E-2</v>
      </c>
      <c r="AJ121">
        <v>0.3607430483431795</v>
      </c>
      <c r="AK121">
        <v>0.12378021696301955</v>
      </c>
      <c r="AL121">
        <v>0.61890108481509776</v>
      </c>
      <c r="AM121">
        <v>8.217359950379087E-2</v>
      </c>
      <c r="AN121">
        <v>0.41086799751895431</v>
      </c>
      <c r="AO121">
        <v>7.1607273223569939E-2</v>
      </c>
      <c r="AP121">
        <v>0.35803636611784967</v>
      </c>
      <c r="AQ121">
        <v>5.7832552682630212E-2</v>
      </c>
      <c r="AR121">
        <v>0.28916276341315106</v>
      </c>
    </row>
    <row r="122" spans="1:44" x14ac:dyDescent="0.3">
      <c r="B122">
        <v>12</v>
      </c>
      <c r="C122">
        <v>2</v>
      </c>
      <c r="D122">
        <v>296</v>
      </c>
      <c r="E122">
        <v>3.2689999999999997</v>
      </c>
      <c r="F122">
        <v>25</v>
      </c>
      <c r="G122">
        <v>31</v>
      </c>
      <c r="H122">
        <v>1.2477206469672451E-2</v>
      </c>
      <c r="I122">
        <v>242.34630278375195</v>
      </c>
      <c r="J122">
        <v>0.4898610326402022</v>
      </c>
      <c r="K122">
        <v>286.27550543787316</v>
      </c>
      <c r="L122">
        <v>102.11108807035959</v>
      </c>
      <c r="M122">
        <v>0.25</v>
      </c>
      <c r="N122">
        <v>0.11192516701366445</v>
      </c>
      <c r="O122">
        <v>0.4477006680546578</v>
      </c>
      <c r="P122">
        <v>9.9185026568017642E-2</v>
      </c>
      <c r="Q122">
        <v>0.39674010627207057</v>
      </c>
      <c r="R122">
        <v>0.18066781350852884</v>
      </c>
      <c r="S122">
        <v>0.72267125403411536</v>
      </c>
      <c r="T122">
        <v>0.33343041743444302</v>
      </c>
      <c r="U122">
        <v>0.12164840551874925</v>
      </c>
      <c r="V122">
        <v>0.48659362207499701</v>
      </c>
      <c r="W122">
        <v>0.3242250679390129</v>
      </c>
      <c r="X122">
        <v>1.2969002717560516</v>
      </c>
      <c r="AA122">
        <v>0.41661267171776939</v>
      </c>
      <c r="AB122">
        <v>1.6664506868710776</v>
      </c>
      <c r="AC122">
        <v>0.18354969846414795</v>
      </c>
      <c r="AD122">
        <v>0.73419879385659181</v>
      </c>
      <c r="AE122">
        <v>0.12596340903755263</v>
      </c>
      <c r="AF122">
        <v>0.5038536361502105</v>
      </c>
      <c r="AG122">
        <v>0.25318216057234166</v>
      </c>
      <c r="AH122">
        <v>1.0127286422893667</v>
      </c>
      <c r="AI122">
        <v>0.12649536757740656</v>
      </c>
      <c r="AJ122">
        <v>0.50598147030962626</v>
      </c>
      <c r="AK122">
        <v>0.17554471252304862</v>
      </c>
      <c r="AL122">
        <v>0.7021788500921945</v>
      </c>
      <c r="AM122">
        <v>0.14431424849111432</v>
      </c>
      <c r="AN122">
        <v>0.57725699396445729</v>
      </c>
      <c r="AO122">
        <v>0.10595022110486843</v>
      </c>
      <c r="AP122">
        <v>0.42380088441947372</v>
      </c>
      <c r="AQ122">
        <v>8.6441164459186454E-2</v>
      </c>
      <c r="AR122">
        <v>0.34576465783674581</v>
      </c>
    </row>
    <row r="123" spans="1:44" x14ac:dyDescent="0.3">
      <c r="B123">
        <v>12</v>
      </c>
      <c r="C123">
        <v>2</v>
      </c>
      <c r="D123">
        <v>296</v>
      </c>
      <c r="E123">
        <v>3.2689999999999997</v>
      </c>
      <c r="F123">
        <v>25</v>
      </c>
      <c r="G123">
        <v>31</v>
      </c>
      <c r="H123">
        <v>1.2477206469672451E-2</v>
      </c>
      <c r="I123">
        <v>308.4064320472358</v>
      </c>
      <c r="J123">
        <v>0.35080446054056857</v>
      </c>
      <c r="K123">
        <v>286.27550543787316</v>
      </c>
      <c r="L123">
        <v>207.9797077961241</v>
      </c>
      <c r="M123">
        <v>0.33</v>
      </c>
      <c r="N123">
        <v>0.21668127773659174</v>
      </c>
      <c r="O123">
        <v>0.65660993253512645</v>
      </c>
      <c r="P123">
        <v>0.12948602837323961</v>
      </c>
      <c r="Q123">
        <v>0.39238190416133212</v>
      </c>
      <c r="R123">
        <v>0.22991527046178831</v>
      </c>
      <c r="S123">
        <v>0.69671294079329782</v>
      </c>
      <c r="T123">
        <v>0.42431877109647964</v>
      </c>
      <c r="U123">
        <v>0.19700646478417433</v>
      </c>
      <c r="V123">
        <v>0.59698928722477063</v>
      </c>
      <c r="W123">
        <v>0.4698840496852168</v>
      </c>
      <c r="X123">
        <v>1.4238910596521721</v>
      </c>
      <c r="AA123">
        <v>0.53017531587759759</v>
      </c>
      <c r="AB123">
        <v>1.6065918662957501</v>
      </c>
      <c r="AC123">
        <v>0.24347328807266899</v>
      </c>
      <c r="AD123">
        <v>0.73779784264445147</v>
      </c>
      <c r="AE123">
        <v>0.16908710638359509</v>
      </c>
      <c r="AF123">
        <v>0.51238517085937907</v>
      </c>
      <c r="AG123">
        <v>0.32219598938879002</v>
      </c>
      <c r="AH123">
        <v>0.97635148299633334</v>
      </c>
      <c r="AI123">
        <v>0.20676471345255315</v>
      </c>
      <c r="AJ123">
        <v>0.6265597377350095</v>
      </c>
      <c r="AK123">
        <v>0.23268932807816503</v>
      </c>
      <c r="AL123">
        <v>0.70511917599443941</v>
      </c>
      <c r="AM123">
        <v>0.21602741456763921</v>
      </c>
      <c r="AN123">
        <v>0.65462852899284607</v>
      </c>
      <c r="AO123">
        <v>0.14548600589815444</v>
      </c>
      <c r="AP123">
        <v>0.44086668453986194</v>
      </c>
      <c r="AQ123">
        <v>0.12209615166192893</v>
      </c>
      <c r="AR123">
        <v>0.36998833836948158</v>
      </c>
    </row>
    <row r="124" spans="1:44" x14ac:dyDescent="0.3">
      <c r="A124" t="s">
        <v>32</v>
      </c>
      <c r="B124">
        <v>12</v>
      </c>
      <c r="C124">
        <v>2</v>
      </c>
      <c r="D124">
        <v>296</v>
      </c>
      <c r="E124">
        <v>3.2689999999999997</v>
      </c>
      <c r="F124">
        <v>25</v>
      </c>
      <c r="G124">
        <v>31</v>
      </c>
      <c r="H124">
        <v>1.2477206469672451E-2</v>
      </c>
      <c r="I124">
        <v>242.34630278375195</v>
      </c>
      <c r="J124">
        <v>0.4898610326402022</v>
      </c>
      <c r="K124">
        <v>286.27550543787316</v>
      </c>
      <c r="L124">
        <v>102.11108807035959</v>
      </c>
      <c r="M124">
        <v>0.23</v>
      </c>
      <c r="N124">
        <v>0.11192516701366445</v>
      </c>
      <c r="O124">
        <v>0.48663116092897585</v>
      </c>
      <c r="P124">
        <v>9.9185026568017642E-2</v>
      </c>
      <c r="Q124">
        <v>0.43123924594790275</v>
      </c>
      <c r="R124">
        <v>0.18066781350852884</v>
      </c>
      <c r="S124">
        <v>0.78551223264577752</v>
      </c>
      <c r="T124">
        <v>0.33343041743444302</v>
      </c>
      <c r="U124">
        <v>0.12164840551874925</v>
      </c>
      <c r="V124">
        <v>0.52890611095108364</v>
      </c>
      <c r="W124">
        <v>0.3242250679390129</v>
      </c>
      <c r="X124">
        <v>1.4096742084304907</v>
      </c>
      <c r="AA124">
        <v>0.41661267171776939</v>
      </c>
      <c r="AB124">
        <v>1.8113594422511712</v>
      </c>
      <c r="AC124">
        <v>0.18354969846414795</v>
      </c>
      <c r="AD124">
        <v>0.79804216723542587</v>
      </c>
      <c r="AE124">
        <v>0.12596340903755263</v>
      </c>
      <c r="AF124">
        <v>0.5476669958154462</v>
      </c>
      <c r="AG124">
        <v>0.25318216057234166</v>
      </c>
      <c r="AH124">
        <v>1.1007920024884419</v>
      </c>
      <c r="AI124">
        <v>0.12649536757740656</v>
      </c>
      <c r="AJ124">
        <v>0.54997985903220248</v>
      </c>
      <c r="AK124">
        <v>0.17554471252304862</v>
      </c>
      <c r="AL124">
        <v>0.76323788053499397</v>
      </c>
      <c r="AM124">
        <v>0.14431424849111432</v>
      </c>
      <c r="AN124">
        <v>0.62745325430919263</v>
      </c>
      <c r="AO124">
        <v>0.10595022110486843</v>
      </c>
      <c r="AP124">
        <v>0.46065313523855839</v>
      </c>
      <c r="AQ124">
        <v>8.6441164459186454E-2</v>
      </c>
      <c r="AR124">
        <v>0.37583114982254978</v>
      </c>
    </row>
    <row r="125" spans="1:44" x14ac:dyDescent="0.3">
      <c r="B125">
        <v>12</v>
      </c>
      <c r="C125">
        <v>2</v>
      </c>
      <c r="D125">
        <v>296</v>
      </c>
      <c r="E125">
        <v>3.2689999999999997</v>
      </c>
      <c r="F125">
        <v>25</v>
      </c>
      <c r="G125">
        <v>31</v>
      </c>
      <c r="H125">
        <v>1.2477206469672451E-2</v>
      </c>
      <c r="I125">
        <v>308.4064320472358</v>
      </c>
      <c r="J125">
        <v>0.35080446054056857</v>
      </c>
      <c r="K125">
        <v>286.27550543787316</v>
      </c>
      <c r="L125">
        <v>207.9797077961241</v>
      </c>
      <c r="M125">
        <v>0.28000000000000003</v>
      </c>
      <c r="N125">
        <v>0.21668127773659174</v>
      </c>
      <c r="O125">
        <v>0.77386170620211325</v>
      </c>
      <c r="P125">
        <v>0.12948602837323961</v>
      </c>
      <c r="Q125">
        <v>0.46245010133299858</v>
      </c>
      <c r="R125">
        <v>0.22991527046178831</v>
      </c>
      <c r="S125">
        <v>0.82112596593495812</v>
      </c>
      <c r="T125">
        <v>0.42431877109647964</v>
      </c>
      <c r="U125">
        <v>0.19700646478417433</v>
      </c>
      <c r="V125">
        <v>0.7035945170863368</v>
      </c>
      <c r="W125">
        <v>0.4698840496852168</v>
      </c>
      <c r="X125">
        <v>1.6781573203043456</v>
      </c>
      <c r="AA125">
        <v>0.53017531587759759</v>
      </c>
      <c r="AB125">
        <v>1.8934832709914198</v>
      </c>
      <c r="AC125">
        <v>0.24347328807266899</v>
      </c>
      <c r="AD125">
        <v>0.86954745740238915</v>
      </c>
      <c r="AE125">
        <v>0.16908710638359509</v>
      </c>
      <c r="AF125">
        <v>0.60388252279855381</v>
      </c>
      <c r="AG125">
        <v>0.32219598938879002</v>
      </c>
      <c r="AH125">
        <v>1.1506999621028213</v>
      </c>
      <c r="AI125">
        <v>0.20676471345255315</v>
      </c>
      <c r="AJ125">
        <v>0.73844540518768975</v>
      </c>
      <c r="AK125">
        <v>0.23268932807816503</v>
      </c>
      <c r="AL125">
        <v>0.83103331456487506</v>
      </c>
      <c r="AM125">
        <v>0.21602741456763921</v>
      </c>
      <c r="AN125">
        <v>0.77152648059871143</v>
      </c>
      <c r="AO125">
        <v>0.14548600589815444</v>
      </c>
      <c r="AP125">
        <v>0.5195928782076944</v>
      </c>
      <c r="AQ125">
        <v>0.12209615166192893</v>
      </c>
      <c r="AR125">
        <v>0.43605768450688898</v>
      </c>
    </row>
    <row r="126" spans="1:44" x14ac:dyDescent="0.3">
      <c r="A126" t="s">
        <v>33</v>
      </c>
      <c r="B126">
        <v>12</v>
      </c>
      <c r="C126">
        <v>3</v>
      </c>
      <c r="D126">
        <v>142</v>
      </c>
      <c r="E126">
        <v>3.2689999999999997</v>
      </c>
      <c r="F126">
        <v>25</v>
      </c>
      <c r="G126">
        <v>31</v>
      </c>
      <c r="H126">
        <v>1.9527117912145887E-2</v>
      </c>
      <c r="I126">
        <v>208.77973928930371</v>
      </c>
      <c r="J126">
        <v>0.56051864879601565</v>
      </c>
      <c r="K126">
        <v>191.68597451579905</v>
      </c>
      <c r="L126">
        <v>101.33617586056053</v>
      </c>
      <c r="M126">
        <v>0.18</v>
      </c>
      <c r="N126">
        <v>0.10347446244459625</v>
      </c>
      <c r="O126">
        <v>0.57485812469220143</v>
      </c>
      <c r="P126">
        <v>8.6147565717616184E-2</v>
      </c>
      <c r="Q126">
        <v>0.47859758732008995</v>
      </c>
      <c r="R126">
        <v>0.11867255549449668</v>
      </c>
      <c r="S126">
        <v>0.65929197496942604</v>
      </c>
      <c r="T126">
        <v>0.26293747900386055</v>
      </c>
      <c r="U126">
        <v>9.1097171658443665E-2</v>
      </c>
      <c r="V126">
        <v>0.50609539810246484</v>
      </c>
      <c r="W126">
        <v>0.21197639111186425</v>
      </c>
      <c r="X126">
        <v>1.1776466172881348</v>
      </c>
      <c r="AA126">
        <v>0.27575608799549106</v>
      </c>
      <c r="AB126">
        <v>1.5319782666416171</v>
      </c>
      <c r="AC126">
        <v>0.11780538590963713</v>
      </c>
      <c r="AD126">
        <v>0.65447436616465071</v>
      </c>
      <c r="AE126">
        <v>0.11051741448501715</v>
      </c>
      <c r="AF126">
        <v>0.61398563602787304</v>
      </c>
      <c r="AG126">
        <v>0.19310393695580022</v>
      </c>
      <c r="AH126">
        <v>1.0727996497544456</v>
      </c>
      <c r="AI126">
        <v>9.4650621461279991E-2</v>
      </c>
      <c r="AJ126">
        <v>0.52583678589599991</v>
      </c>
      <c r="AK126">
        <v>0.14939845211862723</v>
      </c>
      <c r="AL126">
        <v>0.8299914006590402</v>
      </c>
      <c r="AM126">
        <v>0.11240850798511365</v>
      </c>
      <c r="AN126">
        <v>0.62449171102840917</v>
      </c>
      <c r="AO126">
        <v>8.8959187799522846E-2</v>
      </c>
      <c r="AP126">
        <v>0.49421770999734915</v>
      </c>
      <c r="AQ126">
        <v>7.2132238693379619E-2</v>
      </c>
      <c r="AR126">
        <v>0.40073465940766456</v>
      </c>
    </row>
    <row r="127" spans="1:44" x14ac:dyDescent="0.3">
      <c r="B127">
        <v>12</v>
      </c>
      <c r="C127">
        <v>3</v>
      </c>
      <c r="D127">
        <v>142</v>
      </c>
      <c r="E127">
        <v>3.2689999999999997</v>
      </c>
      <c r="F127">
        <v>25</v>
      </c>
      <c r="G127">
        <v>31</v>
      </c>
      <c r="H127">
        <v>1.9527117912145887E-2</v>
      </c>
      <c r="I127">
        <v>253.50000168297348</v>
      </c>
      <c r="J127">
        <v>0.46638249645734087</v>
      </c>
      <c r="K127">
        <v>191.68597451579905</v>
      </c>
      <c r="L127">
        <v>164.10101835243688</v>
      </c>
      <c r="M127">
        <v>0.23</v>
      </c>
      <c r="N127">
        <v>0.15282389384059317</v>
      </c>
      <c r="O127">
        <v>0.66445171235040501</v>
      </c>
      <c r="P127">
        <v>0.10460022667304195</v>
      </c>
      <c r="Q127">
        <v>0.45478359423061715</v>
      </c>
      <c r="R127">
        <v>0.14409201352575365</v>
      </c>
      <c r="S127">
        <v>0.62648701532936368</v>
      </c>
      <c r="T127">
        <v>0.319258236440428</v>
      </c>
      <c r="U127">
        <v>0.13430250855204315</v>
      </c>
      <c r="V127">
        <v>0.58392395022627452</v>
      </c>
      <c r="W127">
        <v>0.27771355063919906</v>
      </c>
      <c r="X127">
        <v>1.2074502201704307</v>
      </c>
      <c r="Y127">
        <v>0.12220371396848656</v>
      </c>
      <c r="Z127">
        <v>0.53132049551515892</v>
      </c>
      <c r="AA127">
        <v>0.33482256951227324</v>
      </c>
      <c r="AB127">
        <v>1.4557503022272749</v>
      </c>
      <c r="AC127">
        <v>0.14901936805850263</v>
      </c>
      <c r="AD127">
        <v>0.64791029590653315</v>
      </c>
      <c r="AE127">
        <v>0.13967437273173941</v>
      </c>
      <c r="AF127">
        <v>0.60727988144234524</v>
      </c>
      <c r="AG127">
        <v>0.23446646935147353</v>
      </c>
      <c r="AH127">
        <v>1.0194194319629284</v>
      </c>
      <c r="AI127">
        <v>0.13954127956816229</v>
      </c>
      <c r="AJ127">
        <v>0.606701215513749</v>
      </c>
      <c r="AK127">
        <v>0.1864453448175552</v>
      </c>
      <c r="AL127">
        <v>0.81063193398937039</v>
      </c>
      <c r="AM127">
        <v>0.15696289799009289</v>
      </c>
      <c r="AN127">
        <v>0.68244738256562121</v>
      </c>
      <c r="AO127">
        <v>0.1127893371040054</v>
      </c>
      <c r="AP127">
        <v>0.49038842219132783</v>
      </c>
      <c r="AQ127">
        <v>9.2494982974628201E-2</v>
      </c>
      <c r="AR127">
        <v>0.40215209988968781</v>
      </c>
    </row>
    <row r="128" spans="1:44" x14ac:dyDescent="0.3">
      <c r="B128">
        <v>12</v>
      </c>
      <c r="C128">
        <v>3</v>
      </c>
      <c r="D128">
        <v>142</v>
      </c>
      <c r="E128">
        <v>3.2689999999999997</v>
      </c>
      <c r="F128">
        <v>25</v>
      </c>
      <c r="G128">
        <v>31</v>
      </c>
      <c r="H128">
        <v>1.9527117912145887E-2</v>
      </c>
      <c r="I128">
        <v>298.2202640766431</v>
      </c>
      <c r="J128">
        <v>0.37224634411866619</v>
      </c>
      <c r="K128">
        <v>191.68597451579905</v>
      </c>
      <c r="L128">
        <v>226.86586084431309</v>
      </c>
      <c r="M128">
        <v>0.25</v>
      </c>
      <c r="N128">
        <v>0.20217332523658993</v>
      </c>
      <c r="O128">
        <v>0.80869330094635972</v>
      </c>
      <c r="P128">
        <v>0.12305288762846765</v>
      </c>
      <c r="Q128">
        <v>0.49221155051387061</v>
      </c>
      <c r="R128">
        <v>0.17356283583266158</v>
      </c>
      <c r="S128">
        <v>0.69425134333064631</v>
      </c>
      <c r="T128">
        <v>0.3755789938769955</v>
      </c>
      <c r="U128">
        <v>0.18586708696734508</v>
      </c>
      <c r="V128">
        <v>0.74346834786938032</v>
      </c>
      <c r="W128">
        <v>0.34345071016653367</v>
      </c>
      <c r="X128">
        <v>1.3738028406661347</v>
      </c>
      <c r="Y128">
        <v>0.27733658290455071</v>
      </c>
      <c r="Z128">
        <v>1.1093463316182028</v>
      </c>
      <c r="AA128">
        <v>0.39388905102905519</v>
      </c>
      <c r="AB128">
        <v>1.5755562041162208</v>
      </c>
      <c r="AC128">
        <v>0.18023335020736803</v>
      </c>
      <c r="AD128">
        <v>0.7209334008294721</v>
      </c>
      <c r="AE128">
        <v>0.16883133097846162</v>
      </c>
      <c r="AF128">
        <v>0.67532532391384648</v>
      </c>
      <c r="AG128">
        <v>0.2758290017471467</v>
      </c>
      <c r="AH128">
        <v>1.1033160069885868</v>
      </c>
      <c r="AI128">
        <v>0.19311725018881382</v>
      </c>
      <c r="AJ128">
        <v>0.77246900075525526</v>
      </c>
      <c r="AK128">
        <v>0.22549606355808741</v>
      </c>
      <c r="AL128">
        <v>0.90198425423234962</v>
      </c>
      <c r="AM128">
        <v>0.20479627444146214</v>
      </c>
      <c r="AN128">
        <v>0.81918509776584858</v>
      </c>
      <c r="AO128">
        <v>0.13750316358799552</v>
      </c>
      <c r="AP128">
        <v>0.5500126543519821</v>
      </c>
      <c r="AQ128">
        <v>0.11459084199910222</v>
      </c>
      <c r="AR128">
        <v>0.45836336799640887</v>
      </c>
    </row>
    <row r="129" spans="1:44" x14ac:dyDescent="0.3">
      <c r="A129" t="s">
        <v>34</v>
      </c>
      <c r="B129">
        <v>12</v>
      </c>
      <c r="C129">
        <v>3</v>
      </c>
      <c r="D129">
        <v>142</v>
      </c>
      <c r="E129">
        <v>3.2689999999999997</v>
      </c>
      <c r="F129">
        <v>25</v>
      </c>
      <c r="G129">
        <v>31</v>
      </c>
      <c r="H129">
        <v>1.9527117912145887E-2</v>
      </c>
      <c r="I129">
        <v>208.77973928930371</v>
      </c>
      <c r="J129">
        <v>0.56051864879601565</v>
      </c>
      <c r="K129">
        <v>191.68597451579905</v>
      </c>
      <c r="L129">
        <v>101.33617586056053</v>
      </c>
      <c r="M129">
        <v>0.18</v>
      </c>
      <c r="N129">
        <v>0.10347446244459625</v>
      </c>
      <c r="O129">
        <v>0.57485812469220143</v>
      </c>
      <c r="P129">
        <v>8.6147565717616184E-2</v>
      </c>
      <c r="Q129">
        <v>0.47859758732008995</v>
      </c>
      <c r="R129">
        <v>0.11867255549449668</v>
      </c>
      <c r="S129">
        <v>0.65929197496942604</v>
      </c>
      <c r="T129">
        <v>0.26293747900386055</v>
      </c>
      <c r="U129">
        <v>9.1097171658443665E-2</v>
      </c>
      <c r="V129">
        <v>0.50609539810246484</v>
      </c>
      <c r="W129">
        <v>0.21197639111186425</v>
      </c>
      <c r="X129">
        <v>1.1776466172881348</v>
      </c>
      <c r="AA129">
        <v>0.27575608799549106</v>
      </c>
      <c r="AB129">
        <v>1.5319782666416171</v>
      </c>
      <c r="AC129">
        <v>0.11780538590963713</v>
      </c>
      <c r="AD129">
        <v>0.65447436616465071</v>
      </c>
      <c r="AE129">
        <v>0.11051741448501715</v>
      </c>
      <c r="AF129">
        <v>0.61398563602787304</v>
      </c>
      <c r="AG129">
        <v>0.19310393695580022</v>
      </c>
      <c r="AH129">
        <v>1.0727996497544456</v>
      </c>
      <c r="AI129">
        <v>9.4650621461279991E-2</v>
      </c>
      <c r="AJ129">
        <v>0.52583678589599991</v>
      </c>
      <c r="AK129">
        <v>0.14939845211862723</v>
      </c>
      <c r="AL129">
        <v>0.8299914006590402</v>
      </c>
      <c r="AM129">
        <v>0.11240850798511365</v>
      </c>
      <c r="AN129">
        <v>0.62449171102840917</v>
      </c>
      <c r="AO129">
        <v>8.8959187799522846E-2</v>
      </c>
      <c r="AP129">
        <v>0.49421770999734915</v>
      </c>
      <c r="AQ129">
        <v>7.2132238693379619E-2</v>
      </c>
      <c r="AR129">
        <v>0.40073465940766456</v>
      </c>
    </row>
    <row r="130" spans="1:44" x14ac:dyDescent="0.3">
      <c r="B130">
        <v>12</v>
      </c>
      <c r="C130">
        <v>3</v>
      </c>
      <c r="D130">
        <v>142</v>
      </c>
      <c r="E130">
        <v>3.2689999999999997</v>
      </c>
      <c r="F130">
        <v>25</v>
      </c>
      <c r="G130">
        <v>31</v>
      </c>
      <c r="H130">
        <v>1.9527117912145887E-2</v>
      </c>
      <c r="I130">
        <v>253.50000168297348</v>
      </c>
      <c r="J130">
        <v>0.46638249645734087</v>
      </c>
      <c r="K130">
        <v>191.68597451579905</v>
      </c>
      <c r="L130">
        <v>164.10101835243688</v>
      </c>
      <c r="M130">
        <v>0.23</v>
      </c>
      <c r="N130">
        <v>0.15282389384059317</v>
      </c>
      <c r="O130">
        <v>0.66445171235040501</v>
      </c>
      <c r="P130">
        <v>0.10460022667304195</v>
      </c>
      <c r="Q130">
        <v>0.45478359423061715</v>
      </c>
      <c r="R130">
        <v>0.14409201352575365</v>
      </c>
      <c r="S130">
        <v>0.62648701532936368</v>
      </c>
      <c r="T130">
        <v>0.319258236440428</v>
      </c>
      <c r="U130">
        <v>0.13430250855204315</v>
      </c>
      <c r="V130">
        <v>0.58392395022627452</v>
      </c>
      <c r="W130">
        <v>0.27771355063919906</v>
      </c>
      <c r="X130">
        <v>1.2074502201704307</v>
      </c>
      <c r="Y130">
        <v>0.12220371396848656</v>
      </c>
      <c r="Z130">
        <v>0.53132049551515892</v>
      </c>
      <c r="AA130">
        <v>0.33482256951227324</v>
      </c>
      <c r="AB130">
        <v>1.4557503022272749</v>
      </c>
      <c r="AC130">
        <v>0.14901936805850263</v>
      </c>
      <c r="AD130">
        <v>0.64791029590653315</v>
      </c>
      <c r="AE130">
        <v>0.13967437273173941</v>
      </c>
      <c r="AF130">
        <v>0.60727988144234524</v>
      </c>
      <c r="AG130">
        <v>0.23446646935147353</v>
      </c>
      <c r="AH130">
        <v>1.0194194319629284</v>
      </c>
      <c r="AI130">
        <v>0.13954127956816229</v>
      </c>
      <c r="AJ130">
        <v>0.606701215513749</v>
      </c>
      <c r="AK130">
        <v>0.1864453448175552</v>
      </c>
      <c r="AL130">
        <v>0.81063193398937039</v>
      </c>
      <c r="AM130">
        <v>0.15696289799009289</v>
      </c>
      <c r="AN130">
        <v>0.68244738256562121</v>
      </c>
      <c r="AO130">
        <v>0.1127893371040054</v>
      </c>
      <c r="AP130">
        <v>0.49038842219132783</v>
      </c>
      <c r="AQ130">
        <v>9.2494982974628201E-2</v>
      </c>
      <c r="AR130">
        <v>0.40215209988968781</v>
      </c>
    </row>
    <row r="131" spans="1:44" x14ac:dyDescent="0.3">
      <c r="B131">
        <v>12</v>
      </c>
      <c r="C131">
        <v>3</v>
      </c>
      <c r="D131">
        <v>142</v>
      </c>
      <c r="E131">
        <v>3.2689999999999997</v>
      </c>
      <c r="F131">
        <v>25</v>
      </c>
      <c r="G131">
        <v>31</v>
      </c>
      <c r="H131">
        <v>1.9527117912145887E-2</v>
      </c>
      <c r="I131">
        <v>298.2202640766431</v>
      </c>
      <c r="J131">
        <v>0.37224634411866619</v>
      </c>
      <c r="K131">
        <v>191.68597451579905</v>
      </c>
      <c r="L131">
        <v>226.86586084431309</v>
      </c>
      <c r="M131">
        <v>0.25</v>
      </c>
      <c r="N131">
        <v>0.20217332523658993</v>
      </c>
      <c r="O131">
        <v>0.80869330094635972</v>
      </c>
      <c r="P131">
        <v>0.12305288762846765</v>
      </c>
      <c r="Q131">
        <v>0.49221155051387061</v>
      </c>
      <c r="R131">
        <v>0.17356283583266158</v>
      </c>
      <c r="S131">
        <v>0.69425134333064631</v>
      </c>
      <c r="T131">
        <v>0.3755789938769955</v>
      </c>
      <c r="U131">
        <v>0.18586708696734508</v>
      </c>
      <c r="V131">
        <v>0.74346834786938032</v>
      </c>
      <c r="W131">
        <v>0.34345071016653367</v>
      </c>
      <c r="X131">
        <v>1.3738028406661347</v>
      </c>
      <c r="Y131">
        <v>0.27733658290455071</v>
      </c>
      <c r="Z131">
        <v>1.1093463316182028</v>
      </c>
      <c r="AA131">
        <v>0.39388905102905519</v>
      </c>
      <c r="AB131">
        <v>1.5755562041162208</v>
      </c>
      <c r="AC131">
        <v>0.18023335020736803</v>
      </c>
      <c r="AD131">
        <v>0.7209334008294721</v>
      </c>
      <c r="AE131">
        <v>0.16883133097846162</v>
      </c>
      <c r="AF131">
        <v>0.67532532391384648</v>
      </c>
      <c r="AG131">
        <v>0.2758290017471467</v>
      </c>
      <c r="AH131">
        <v>1.1033160069885868</v>
      </c>
      <c r="AI131">
        <v>0.19311725018881382</v>
      </c>
      <c r="AJ131">
        <v>0.77246900075525526</v>
      </c>
      <c r="AK131">
        <v>0.22549606355808741</v>
      </c>
      <c r="AL131">
        <v>0.90198425423234962</v>
      </c>
      <c r="AM131">
        <v>0.20479627444146214</v>
      </c>
      <c r="AN131">
        <v>0.81918509776584858</v>
      </c>
      <c r="AO131">
        <v>0.13750316358799552</v>
      </c>
      <c r="AP131">
        <v>0.5500126543519821</v>
      </c>
      <c r="AQ131">
        <v>0.11459084199910222</v>
      </c>
      <c r="AR131">
        <v>0.45836336799640887</v>
      </c>
    </row>
    <row r="132" spans="1:44" x14ac:dyDescent="0.3">
      <c r="A132" t="s">
        <v>35</v>
      </c>
      <c r="B132">
        <v>12</v>
      </c>
      <c r="C132">
        <v>4</v>
      </c>
      <c r="D132">
        <v>90.67</v>
      </c>
      <c r="E132">
        <v>3.2689999999999997</v>
      </c>
      <c r="F132">
        <v>25</v>
      </c>
      <c r="G132">
        <v>31</v>
      </c>
      <c r="H132">
        <v>2.6968773854657992E-2</v>
      </c>
      <c r="I132">
        <v>226.45530266575949</v>
      </c>
      <c r="J132">
        <v>0.52331158788857624</v>
      </c>
      <c r="K132">
        <v>145.49201841259773</v>
      </c>
      <c r="L132">
        <v>150.31764348514901</v>
      </c>
      <c r="M132">
        <v>0.15</v>
      </c>
      <c r="N132">
        <v>0.12079077595334915</v>
      </c>
      <c r="O132">
        <v>0.80527183968899441</v>
      </c>
      <c r="P132">
        <v>9.2384993595776857E-2</v>
      </c>
      <c r="Q132">
        <v>0.6158999573051791</v>
      </c>
      <c r="R132">
        <v>0.11177549980360031</v>
      </c>
      <c r="S132">
        <v>0.7451699986906688</v>
      </c>
      <c r="T132">
        <v>0.23113702289701121</v>
      </c>
      <c r="U132">
        <v>0.10788433067807927</v>
      </c>
      <c r="V132">
        <v>0.71922887118719514</v>
      </c>
      <c r="W132">
        <v>0.19540710997826596</v>
      </c>
      <c r="X132">
        <v>1.3027140665217731</v>
      </c>
      <c r="Y132">
        <v>0.15678506139305359</v>
      </c>
      <c r="Z132">
        <v>1.0452337426203573</v>
      </c>
      <c r="AA132">
        <v>0.24808989435623718</v>
      </c>
      <c r="AB132">
        <v>1.6539326290415812</v>
      </c>
      <c r="AC132">
        <v>0.10827669467392349</v>
      </c>
      <c r="AD132">
        <v>0.72184463115948994</v>
      </c>
      <c r="AE132">
        <v>0.12522893792964457</v>
      </c>
      <c r="AF132">
        <v>0.83485958619763045</v>
      </c>
      <c r="AG132">
        <v>0.19253300190771649</v>
      </c>
      <c r="AH132">
        <v>1.2835533460514434</v>
      </c>
      <c r="AI132">
        <v>0.1100971397502373</v>
      </c>
      <c r="AJ132">
        <v>0.73398093166824874</v>
      </c>
      <c r="AK132">
        <v>0.1635200734436161</v>
      </c>
      <c r="AL132">
        <v>1.0901338229574407</v>
      </c>
      <c r="AM132">
        <v>0.12808435147077288</v>
      </c>
      <c r="AN132">
        <v>0.85389567647181919</v>
      </c>
      <c r="AO132">
        <v>9.7815896634644697E-2</v>
      </c>
      <c r="AP132">
        <v>0.652105977564298</v>
      </c>
      <c r="AQ132">
        <v>7.9122886955511021E-2</v>
      </c>
      <c r="AR132">
        <v>0.52748591303674019</v>
      </c>
    </row>
    <row r="133" spans="1:44" x14ac:dyDescent="0.3">
      <c r="B133">
        <v>12</v>
      </c>
      <c r="C133">
        <v>4</v>
      </c>
      <c r="D133">
        <v>90.67</v>
      </c>
      <c r="E133">
        <v>3.2689999999999997</v>
      </c>
      <c r="F133">
        <v>25</v>
      </c>
      <c r="G133">
        <v>31</v>
      </c>
      <c r="H133">
        <v>2.6968773854657992E-2</v>
      </c>
      <c r="I133">
        <v>260.41389561049635</v>
      </c>
      <c r="J133">
        <v>0.45182874973990517</v>
      </c>
      <c r="K133">
        <v>145.49201841259773</v>
      </c>
      <c r="L133">
        <v>194.67641883399705</v>
      </c>
      <c r="M133">
        <v>0.15</v>
      </c>
      <c r="N133">
        <v>0.1502667898333386</v>
      </c>
      <c r="O133">
        <v>1.0017785988889241</v>
      </c>
      <c r="P133">
        <v>0.10623878440919669</v>
      </c>
      <c r="Q133">
        <v>0.70825856272797794</v>
      </c>
      <c r="R133">
        <v>0.1390515575791223</v>
      </c>
      <c r="S133">
        <v>0.92701038386081536</v>
      </c>
      <c r="T133">
        <v>0.26579767328859388</v>
      </c>
      <c r="U133">
        <v>0.14266639624471333</v>
      </c>
      <c r="V133">
        <v>0.95110930829808893</v>
      </c>
      <c r="W133">
        <v>0.2328455325563944</v>
      </c>
      <c r="X133">
        <v>1.5523035503759628</v>
      </c>
      <c r="Y133">
        <v>0.23648611685522961</v>
      </c>
      <c r="Z133">
        <v>1.5765741123681973</v>
      </c>
      <c r="AA133">
        <v>0.28529274912259667</v>
      </c>
      <c r="AB133">
        <v>1.9019516608173113</v>
      </c>
      <c r="AC133">
        <v>0.12799683213992302</v>
      </c>
      <c r="AD133">
        <v>0.85331221426615356</v>
      </c>
      <c r="AE133">
        <v>0.14734997549223941</v>
      </c>
      <c r="AF133">
        <v>0.98233316994826281</v>
      </c>
      <c r="AG133">
        <v>0.22140470313638005</v>
      </c>
      <c r="AH133">
        <v>1.4760313542425338</v>
      </c>
      <c r="AI133">
        <v>0.14559261818925504</v>
      </c>
      <c r="AJ133">
        <v>0.97061745459503357</v>
      </c>
      <c r="AK133">
        <v>0.19201740631662945</v>
      </c>
      <c r="AL133">
        <v>1.2801160421108631</v>
      </c>
      <c r="AM133">
        <v>0.16231782080294052</v>
      </c>
      <c r="AN133">
        <v>1.0821188053529369</v>
      </c>
      <c r="AO133">
        <v>0.11601300074561337</v>
      </c>
      <c r="AP133">
        <v>0.7734200049707558</v>
      </c>
      <c r="AQ133">
        <v>9.5059434015686811E-2</v>
      </c>
      <c r="AR133">
        <v>0.63372956010457882</v>
      </c>
    </row>
    <row r="134" spans="1:44" x14ac:dyDescent="0.3">
      <c r="B134">
        <v>12</v>
      </c>
      <c r="C134">
        <v>4</v>
      </c>
      <c r="D134">
        <v>90.67</v>
      </c>
      <c r="E134">
        <v>3.2689999999999997</v>
      </c>
      <c r="F134">
        <v>25</v>
      </c>
      <c r="G134">
        <v>31</v>
      </c>
      <c r="H134">
        <v>2.6968773854657992E-2</v>
      </c>
      <c r="I134">
        <v>294.3724885552333</v>
      </c>
      <c r="J134">
        <v>0.38034591159123388</v>
      </c>
      <c r="K134">
        <v>145.49201841259773</v>
      </c>
      <c r="L134">
        <v>239.03519418284523</v>
      </c>
      <c r="M134">
        <v>0.18</v>
      </c>
      <c r="N134">
        <v>0.17974280371332815</v>
      </c>
      <c r="O134">
        <v>0.99857113174071199</v>
      </c>
      <c r="P134">
        <v>0.12009257522261656</v>
      </c>
      <c r="Q134">
        <v>0.66718097345898086</v>
      </c>
      <c r="R134">
        <v>0.16632761535464433</v>
      </c>
      <c r="S134">
        <v>0.92404230752580185</v>
      </c>
      <c r="T134">
        <v>0.30045832368017661</v>
      </c>
      <c r="U134">
        <v>0.18230048371183444</v>
      </c>
      <c r="V134">
        <v>1.0127804650657468</v>
      </c>
      <c r="W134">
        <v>0.27028395513452297</v>
      </c>
      <c r="X134">
        <v>1.5015775285251276</v>
      </c>
      <c r="Y134">
        <v>0.31015724890308133</v>
      </c>
      <c r="Z134">
        <v>1.7230958272393408</v>
      </c>
      <c r="AA134">
        <v>0.32249560388895626</v>
      </c>
      <c r="AB134">
        <v>1.7916422438275348</v>
      </c>
      <c r="AC134">
        <v>0.14771696960592259</v>
      </c>
      <c r="AD134">
        <v>0.82064983114401446</v>
      </c>
      <c r="AE134">
        <v>0.16947101305483431</v>
      </c>
      <c r="AF134">
        <v>0.94150562808241289</v>
      </c>
      <c r="AG134">
        <v>0.25027640436504373</v>
      </c>
      <c r="AH134">
        <v>1.3904244686946874</v>
      </c>
      <c r="AI134">
        <v>0.1860396380605791</v>
      </c>
      <c r="AJ134">
        <v>1.0335535447809951</v>
      </c>
      <c r="AK134">
        <v>0.2215433718409808</v>
      </c>
      <c r="AL134">
        <v>1.2307965102276712</v>
      </c>
      <c r="AM134">
        <v>0.19831281193193098</v>
      </c>
      <c r="AN134">
        <v>1.1017378440662833</v>
      </c>
      <c r="AO134">
        <v>0.13471965194921118</v>
      </c>
      <c r="AP134">
        <v>0.74844251082895097</v>
      </c>
      <c r="AQ134">
        <v>0.11205784874367208</v>
      </c>
      <c r="AR134">
        <v>0.62254360413151155</v>
      </c>
    </row>
    <row r="135" spans="1:44" x14ac:dyDescent="0.3">
      <c r="A135" t="s">
        <v>36</v>
      </c>
      <c r="B135">
        <v>12</v>
      </c>
      <c r="C135">
        <v>4</v>
      </c>
      <c r="D135">
        <v>90.67</v>
      </c>
      <c r="E135">
        <v>3.2689999999999997</v>
      </c>
      <c r="F135">
        <v>25</v>
      </c>
      <c r="G135">
        <v>31</v>
      </c>
      <c r="H135">
        <v>2.6968773854657992E-2</v>
      </c>
      <c r="I135">
        <v>226.45530266575949</v>
      </c>
      <c r="J135">
        <v>0.52331158788857624</v>
      </c>
      <c r="K135">
        <v>145.49201841259773</v>
      </c>
      <c r="L135">
        <v>150.31764348514901</v>
      </c>
      <c r="M135">
        <v>0.18</v>
      </c>
      <c r="N135">
        <v>0.12079077595334915</v>
      </c>
      <c r="O135">
        <v>0.67105986640749526</v>
      </c>
      <c r="P135">
        <v>9.2384993595776857E-2</v>
      </c>
      <c r="Q135">
        <v>0.51324996442098259</v>
      </c>
      <c r="R135">
        <v>0.11177549980360031</v>
      </c>
      <c r="S135">
        <v>0.62097499890889063</v>
      </c>
      <c r="T135">
        <v>0.23113702289701121</v>
      </c>
      <c r="U135">
        <v>0.10788433067807927</v>
      </c>
      <c r="V135">
        <v>0.59935739265599597</v>
      </c>
      <c r="W135">
        <v>0.19540710997826596</v>
      </c>
      <c r="X135">
        <v>1.0855950554348111</v>
      </c>
      <c r="Y135">
        <v>0.15678506139305359</v>
      </c>
      <c r="Z135">
        <v>0.87102811885029774</v>
      </c>
      <c r="AA135">
        <v>0.24808989435623718</v>
      </c>
      <c r="AB135">
        <v>1.3782771908679845</v>
      </c>
      <c r="AC135">
        <v>0.10827669467392349</v>
      </c>
      <c r="AD135">
        <v>0.60153719263290828</v>
      </c>
      <c r="AE135">
        <v>0.12522893792964457</v>
      </c>
      <c r="AF135">
        <v>0.69571632183135879</v>
      </c>
      <c r="AG135">
        <v>0.19253300190771649</v>
      </c>
      <c r="AH135">
        <v>1.0696277883762029</v>
      </c>
      <c r="AI135">
        <v>0.1100971397502373</v>
      </c>
      <c r="AJ135">
        <v>0.61165077639020726</v>
      </c>
      <c r="AK135">
        <v>0.1635200734436161</v>
      </c>
      <c r="AL135">
        <v>0.90844485246453399</v>
      </c>
      <c r="AM135">
        <v>0.12808435147077288</v>
      </c>
      <c r="AN135">
        <v>0.71157973039318267</v>
      </c>
      <c r="AO135">
        <v>9.7815896634644697E-2</v>
      </c>
      <c r="AP135">
        <v>0.54342164797024839</v>
      </c>
      <c r="AQ135">
        <v>7.9122886955511021E-2</v>
      </c>
      <c r="AR135">
        <v>0.43957159419728348</v>
      </c>
    </row>
    <row r="136" spans="1:44" x14ac:dyDescent="0.3">
      <c r="B136">
        <v>12</v>
      </c>
      <c r="C136">
        <v>4</v>
      </c>
      <c r="D136">
        <v>90.67</v>
      </c>
      <c r="E136">
        <v>3.2689999999999997</v>
      </c>
      <c r="F136">
        <v>25</v>
      </c>
      <c r="G136">
        <v>31</v>
      </c>
      <c r="H136">
        <v>2.6968773854657992E-2</v>
      </c>
      <c r="I136">
        <v>260.41389561049635</v>
      </c>
      <c r="J136">
        <v>0.45182874973990517</v>
      </c>
      <c r="K136">
        <v>145.49201841259773</v>
      </c>
      <c r="L136">
        <v>194.67641883399705</v>
      </c>
      <c r="M136">
        <v>0.2</v>
      </c>
      <c r="N136">
        <v>0.1502667898333386</v>
      </c>
      <c r="O136">
        <v>0.75133394916669294</v>
      </c>
      <c r="P136">
        <v>0.10623878440919669</v>
      </c>
      <c r="Q136">
        <v>0.53119392204598348</v>
      </c>
      <c r="R136">
        <v>0.1390515575791223</v>
      </c>
      <c r="S136">
        <v>0.69525778789561143</v>
      </c>
      <c r="T136">
        <v>0.26579767328859388</v>
      </c>
      <c r="U136">
        <v>0.14266639624471333</v>
      </c>
      <c r="V136">
        <v>0.71333198122356667</v>
      </c>
      <c r="W136">
        <v>0.2328455325563944</v>
      </c>
      <c r="X136">
        <v>1.1642276627819719</v>
      </c>
      <c r="Y136">
        <v>0.23648611685522961</v>
      </c>
      <c r="Z136">
        <v>1.182430584276148</v>
      </c>
      <c r="AA136">
        <v>0.28529274912259667</v>
      </c>
      <c r="AB136">
        <v>1.4264637456129832</v>
      </c>
      <c r="AC136">
        <v>0.12799683213992302</v>
      </c>
      <c r="AD136">
        <v>0.63998416069961506</v>
      </c>
      <c r="AE136">
        <v>0.14734997549223941</v>
      </c>
      <c r="AF136">
        <v>0.73674987746119702</v>
      </c>
      <c r="AG136">
        <v>0.22140470313638005</v>
      </c>
      <c r="AH136">
        <v>1.1070235156819002</v>
      </c>
      <c r="AI136">
        <v>0.14559261818925504</v>
      </c>
      <c r="AJ136">
        <v>0.72796309094627509</v>
      </c>
      <c r="AK136">
        <v>0.19201740631662945</v>
      </c>
      <c r="AL136">
        <v>0.96008703158314723</v>
      </c>
      <c r="AM136">
        <v>0.16231782080294052</v>
      </c>
      <c r="AN136">
        <v>0.81158910401470252</v>
      </c>
      <c r="AO136">
        <v>0.11601300074561337</v>
      </c>
      <c r="AP136">
        <v>0.5800650037280668</v>
      </c>
      <c r="AQ136">
        <v>9.5059434015686811E-2</v>
      </c>
      <c r="AR136">
        <v>0.47529717007843403</v>
      </c>
    </row>
    <row r="137" spans="1:44" x14ac:dyDescent="0.3">
      <c r="B137">
        <v>12</v>
      </c>
      <c r="C137">
        <v>4</v>
      </c>
      <c r="D137">
        <v>90.67</v>
      </c>
      <c r="E137">
        <v>3.2689999999999997</v>
      </c>
      <c r="F137">
        <v>25</v>
      </c>
      <c r="G137">
        <v>31</v>
      </c>
      <c r="H137">
        <v>2.6968773854657992E-2</v>
      </c>
      <c r="I137">
        <v>294.3724885552333</v>
      </c>
      <c r="J137">
        <v>0.38034591159123388</v>
      </c>
      <c r="K137">
        <v>145.49201841259773</v>
      </c>
      <c r="L137">
        <v>239.03519418284523</v>
      </c>
      <c r="M137">
        <v>0.23</v>
      </c>
      <c r="N137">
        <v>0.17974280371332815</v>
      </c>
      <c r="O137">
        <v>0.78149045092751368</v>
      </c>
      <c r="P137">
        <v>0.12009257522261656</v>
      </c>
      <c r="Q137">
        <v>0.52214163140268066</v>
      </c>
      <c r="R137">
        <v>0.16632761535464433</v>
      </c>
      <c r="S137">
        <v>0.72316354502019264</v>
      </c>
      <c r="T137">
        <v>0.30045832368017661</v>
      </c>
      <c r="U137">
        <v>0.18230048371183444</v>
      </c>
      <c r="V137">
        <v>0.79261079874710627</v>
      </c>
      <c r="W137">
        <v>0.27028395513452297</v>
      </c>
      <c r="X137">
        <v>1.1751476310196651</v>
      </c>
      <c r="Y137">
        <v>0.31015724890308133</v>
      </c>
      <c r="Z137">
        <v>1.3485097778394839</v>
      </c>
      <c r="AA137">
        <v>0.32249560388895626</v>
      </c>
      <c r="AB137">
        <v>1.402154799517201</v>
      </c>
      <c r="AC137">
        <v>0.14771696960592259</v>
      </c>
      <c r="AD137">
        <v>0.64224769393879388</v>
      </c>
      <c r="AE137">
        <v>0.16947101305483431</v>
      </c>
      <c r="AF137">
        <v>0.73683049154275782</v>
      </c>
      <c r="AG137">
        <v>0.25027640436504373</v>
      </c>
      <c r="AH137">
        <v>1.0881582798480161</v>
      </c>
      <c r="AI137">
        <v>0.1860396380605791</v>
      </c>
      <c r="AJ137">
        <v>0.80886799156773526</v>
      </c>
      <c r="AK137">
        <v>0.2215433718409808</v>
      </c>
      <c r="AL137">
        <v>0.96323205148252522</v>
      </c>
      <c r="AM137">
        <v>0.19831281193193098</v>
      </c>
      <c r="AN137">
        <v>0.86222961709535206</v>
      </c>
      <c r="AO137">
        <v>0.13471965194921118</v>
      </c>
      <c r="AP137">
        <v>0.58573761717048334</v>
      </c>
      <c r="AQ137">
        <v>0.11205784874367208</v>
      </c>
      <c r="AR137">
        <v>0.48720803801596557</v>
      </c>
    </row>
    <row r="138" spans="1:44" x14ac:dyDescent="0.3">
      <c r="A138" t="s">
        <v>37</v>
      </c>
      <c r="B138">
        <v>10</v>
      </c>
      <c r="C138">
        <v>1</v>
      </c>
      <c r="D138">
        <v>45</v>
      </c>
      <c r="E138">
        <v>2.8</v>
      </c>
      <c r="F138">
        <v>40</v>
      </c>
      <c r="G138">
        <v>45</v>
      </c>
      <c r="H138">
        <v>1.140137516348016E-2</v>
      </c>
      <c r="I138">
        <v>274.14363221273135</v>
      </c>
      <c r="J138">
        <v>0.484756834100179</v>
      </c>
      <c r="K138">
        <v>266.42161994155299</v>
      </c>
      <c r="L138">
        <v>144.99393119402299</v>
      </c>
      <c r="M138">
        <v>0.16</v>
      </c>
      <c r="N138">
        <v>0.16512721124267726</v>
      </c>
      <c r="O138">
        <v>1.032045070266733</v>
      </c>
      <c r="P138">
        <v>0.16285127956433496</v>
      </c>
      <c r="Q138">
        <v>1.0178204972770934</v>
      </c>
      <c r="R138">
        <v>0.20935626192980678</v>
      </c>
      <c r="S138">
        <v>1.3084766370612924</v>
      </c>
      <c r="T138">
        <v>0.23187521693293625</v>
      </c>
      <c r="U138">
        <v>0.1349186115491853</v>
      </c>
      <c r="V138">
        <v>0.8432413221824081</v>
      </c>
      <c r="W138">
        <v>0.31615531622056936</v>
      </c>
      <c r="X138">
        <v>1.9759707263785584</v>
      </c>
      <c r="Y138">
        <v>0.16821697701992566</v>
      </c>
      <c r="Z138">
        <v>1.0513561063745354</v>
      </c>
      <c r="AA138">
        <v>0.32972729832920816</v>
      </c>
      <c r="AB138">
        <v>2.0607956145575508</v>
      </c>
      <c r="AC138">
        <v>0.19391653196718392</v>
      </c>
      <c r="AD138">
        <v>1.2119783247948994</v>
      </c>
      <c r="AE138">
        <v>0.13081543976903548</v>
      </c>
      <c r="AF138">
        <v>0.81759649855647176</v>
      </c>
      <c r="AG138">
        <v>0.2852583712686465</v>
      </c>
      <c r="AH138">
        <v>1.7828648204290407</v>
      </c>
      <c r="AI138">
        <v>0.20977002213391188</v>
      </c>
      <c r="AJ138">
        <v>1.3110626383369492</v>
      </c>
      <c r="AK138">
        <v>0.26614281150680635</v>
      </c>
      <c r="AL138">
        <v>1.6633925719175398</v>
      </c>
      <c r="AM138">
        <v>0.24237273712832039</v>
      </c>
      <c r="AN138">
        <v>1.5148296070520024</v>
      </c>
      <c r="AO138">
        <v>0.16689907169898499</v>
      </c>
      <c r="AP138">
        <v>1.0431191981186563</v>
      </c>
      <c r="AQ138">
        <v>0.14775687790169159</v>
      </c>
      <c r="AR138">
        <v>0.92348048688557238</v>
      </c>
    </row>
    <row r="139" spans="1:44" x14ac:dyDescent="0.3">
      <c r="B139">
        <v>10</v>
      </c>
      <c r="C139">
        <v>1</v>
      </c>
      <c r="D139">
        <v>45</v>
      </c>
      <c r="E139">
        <v>2.8</v>
      </c>
      <c r="F139">
        <v>40</v>
      </c>
      <c r="G139">
        <v>45</v>
      </c>
      <c r="H139">
        <v>1.140137516348016E-2</v>
      </c>
      <c r="I139">
        <v>294.20292237463855</v>
      </c>
      <c r="J139">
        <v>0.44705611464409456</v>
      </c>
      <c r="K139">
        <v>266.42161994155299</v>
      </c>
      <c r="L139">
        <v>175.09750810638224</v>
      </c>
      <c r="M139">
        <v>0.18</v>
      </c>
      <c r="N139">
        <v>0.19410888513240512</v>
      </c>
      <c r="O139">
        <v>1.0783826951800286</v>
      </c>
      <c r="P139">
        <v>0.17476722684953019</v>
      </c>
      <c r="Q139">
        <v>0.9709290380529455</v>
      </c>
      <c r="R139">
        <v>0.22467501280271945</v>
      </c>
      <c r="S139">
        <v>1.2481945155706637</v>
      </c>
      <c r="T139">
        <v>0.24884169622071209</v>
      </c>
      <c r="U139">
        <v>0.15538514691208971</v>
      </c>
      <c r="V139">
        <v>0.86325081617827626</v>
      </c>
      <c r="W139">
        <v>0.35364191324925454</v>
      </c>
      <c r="X139">
        <v>1.964677295829192</v>
      </c>
      <c r="Y139">
        <v>0.21882839254894493</v>
      </c>
      <c r="Z139">
        <v>1.2157132919385829</v>
      </c>
      <c r="AA139">
        <v>0.3538536860118332</v>
      </c>
      <c r="AB139">
        <v>1.9658538111768511</v>
      </c>
      <c r="AC139">
        <v>0.21087722952129095</v>
      </c>
      <c r="AD139">
        <v>1.1715401640071721</v>
      </c>
      <c r="AE139">
        <v>0.14151720856094585</v>
      </c>
      <c r="AF139">
        <v>0.78620671422747701</v>
      </c>
      <c r="AG139">
        <v>0.30613093502001087</v>
      </c>
      <c r="AH139">
        <v>1.7007274167778383</v>
      </c>
      <c r="AI139">
        <v>0.24159117361764032</v>
      </c>
      <c r="AJ139">
        <v>1.3421731867646685</v>
      </c>
      <c r="AK139">
        <v>0.29093276064166956</v>
      </c>
      <c r="AL139">
        <v>1.6162931146759421</v>
      </c>
      <c r="AM139">
        <v>0.27233102363950445</v>
      </c>
      <c r="AN139">
        <v>1.5129501313305804</v>
      </c>
      <c r="AO139">
        <v>0.18035790264186541</v>
      </c>
      <c r="AP139">
        <v>1.0019883480103635</v>
      </c>
      <c r="AQ139">
        <v>0.16063164772423374</v>
      </c>
      <c r="AR139">
        <v>0.89239804291240976</v>
      </c>
    </row>
    <row r="140" spans="1:44" x14ac:dyDescent="0.3">
      <c r="B140">
        <v>10</v>
      </c>
      <c r="C140">
        <v>1</v>
      </c>
      <c r="D140">
        <v>45</v>
      </c>
      <c r="E140">
        <v>2.8</v>
      </c>
      <c r="F140">
        <v>40</v>
      </c>
      <c r="G140">
        <v>45</v>
      </c>
      <c r="H140">
        <v>1.140137516348016E-2</v>
      </c>
      <c r="I140">
        <v>316.93678455813335</v>
      </c>
      <c r="J140">
        <v>0.40432863259386553</v>
      </c>
      <c r="K140">
        <v>266.42161994155299</v>
      </c>
      <c r="L140">
        <v>209.21489527372268</v>
      </c>
      <c r="M140">
        <v>0.2</v>
      </c>
      <c r="N140">
        <v>0.22695478220742998</v>
      </c>
      <c r="O140">
        <v>1.1347739110371498</v>
      </c>
      <c r="P140">
        <v>0.18827196710608479</v>
      </c>
      <c r="Q140">
        <v>0.94135983553042391</v>
      </c>
      <c r="R140">
        <v>0.24203626379202053</v>
      </c>
      <c r="S140">
        <v>1.2101813189601025</v>
      </c>
      <c r="T140">
        <v>0.26807037274685808</v>
      </c>
      <c r="U140">
        <v>0.18032703134101588</v>
      </c>
      <c r="V140">
        <v>0.90163515670507932</v>
      </c>
      <c r="W140">
        <v>0.39612672321509768</v>
      </c>
      <c r="X140">
        <v>1.9806336160754883</v>
      </c>
      <c r="Y140">
        <v>0.27336080427619847</v>
      </c>
      <c r="Z140">
        <v>1.3668040213809922</v>
      </c>
      <c r="AA140">
        <v>0.38119692538547489</v>
      </c>
      <c r="AB140">
        <v>1.9059846269273744</v>
      </c>
      <c r="AC140">
        <v>0.23009935341594556</v>
      </c>
      <c r="AD140">
        <v>1.1504967670797277</v>
      </c>
      <c r="AE140">
        <v>0.15364587985844427</v>
      </c>
      <c r="AF140">
        <v>0.76822939929222134</v>
      </c>
      <c r="AG140">
        <v>0.32978650727155717</v>
      </c>
      <c r="AH140">
        <v>1.6489325363577858</v>
      </c>
      <c r="AI140">
        <v>0.28037055022581076</v>
      </c>
      <c r="AJ140">
        <v>1.4018527511290537</v>
      </c>
      <c r="AK140">
        <v>0.31957524636716811</v>
      </c>
      <c r="AL140">
        <v>1.5978762318358404</v>
      </c>
      <c r="AM140">
        <v>0.30720169296391509</v>
      </c>
      <c r="AN140">
        <v>1.5360084648195753</v>
      </c>
      <c r="AO140">
        <v>0.19570457918750878</v>
      </c>
      <c r="AP140">
        <v>0.97852289593754382</v>
      </c>
      <c r="AQ140">
        <v>0.17556318391030196</v>
      </c>
      <c r="AR140">
        <v>0.87781591955150973</v>
      </c>
    </row>
    <row r="141" spans="1:44" x14ac:dyDescent="0.3">
      <c r="B141">
        <v>10</v>
      </c>
      <c r="C141">
        <v>1</v>
      </c>
      <c r="D141">
        <v>45</v>
      </c>
      <c r="E141">
        <v>2.8</v>
      </c>
      <c r="F141">
        <v>40</v>
      </c>
      <c r="G141">
        <v>45</v>
      </c>
      <c r="H141">
        <v>1.140137516348016E-2</v>
      </c>
      <c r="I141">
        <v>336.9960747200405</v>
      </c>
      <c r="J141">
        <v>0.36662791313778109</v>
      </c>
      <c r="K141">
        <v>266.42161994155299</v>
      </c>
      <c r="L141">
        <v>239.31847218608186</v>
      </c>
      <c r="M141">
        <v>0.22</v>
      </c>
      <c r="N141">
        <v>0.25593645609715776</v>
      </c>
      <c r="O141">
        <v>1.1633475277143535</v>
      </c>
      <c r="P141">
        <v>0.20018791439128003</v>
      </c>
      <c r="Q141">
        <v>0.90994506541490927</v>
      </c>
      <c r="R141">
        <v>0.25735501466493321</v>
      </c>
      <c r="S141">
        <v>1.1697955212042419</v>
      </c>
      <c r="T141">
        <v>0.28503685203463386</v>
      </c>
      <c r="U141">
        <v>0.20387558614680465</v>
      </c>
      <c r="V141">
        <v>0.92670720975820298</v>
      </c>
      <c r="W141">
        <v>0.43361332024378274</v>
      </c>
      <c r="X141">
        <v>1.9709696374717398</v>
      </c>
      <c r="Y141">
        <v>0.31944831577752686</v>
      </c>
      <c r="Z141">
        <v>1.4520377989887585</v>
      </c>
      <c r="AA141">
        <v>0.40532331306809988</v>
      </c>
      <c r="AB141">
        <v>1.8423786957640904</v>
      </c>
      <c r="AC141">
        <v>0.24706005097005254</v>
      </c>
      <c r="AD141">
        <v>1.1230002316820571</v>
      </c>
      <c r="AE141">
        <v>0.16434764865035462</v>
      </c>
      <c r="AF141">
        <v>0.74703476659252099</v>
      </c>
      <c r="AG141">
        <v>0.35065907102292154</v>
      </c>
      <c r="AH141">
        <v>1.5939048682860071</v>
      </c>
      <c r="AI141">
        <v>0.31698359275650057</v>
      </c>
      <c r="AJ141">
        <v>1.4408345125295481</v>
      </c>
      <c r="AK141">
        <v>0.34525739406130079</v>
      </c>
      <c r="AL141">
        <v>1.5693517911877308</v>
      </c>
      <c r="AM141">
        <v>0.3386621133099405</v>
      </c>
      <c r="AN141">
        <v>1.5393732423179114</v>
      </c>
      <c r="AO141">
        <v>0.2093281186192931</v>
      </c>
      <c r="AP141">
        <v>0.95149144826951404</v>
      </c>
      <c r="AQ141">
        <v>0.18903818382788024</v>
      </c>
      <c r="AR141">
        <v>0.85926447194491018</v>
      </c>
    </row>
    <row r="142" spans="1:44" x14ac:dyDescent="0.3">
      <c r="B142">
        <v>10</v>
      </c>
      <c r="C142">
        <v>1</v>
      </c>
      <c r="D142">
        <v>45</v>
      </c>
      <c r="E142">
        <v>2.8</v>
      </c>
      <c r="F142">
        <v>40</v>
      </c>
      <c r="G142">
        <v>45</v>
      </c>
      <c r="H142">
        <v>1.140137516348016E-2</v>
      </c>
      <c r="I142">
        <v>359.72993690353525</v>
      </c>
      <c r="J142">
        <v>0.32390043108755207</v>
      </c>
      <c r="K142">
        <v>266.42161994155299</v>
      </c>
      <c r="L142">
        <v>273.4358593534223</v>
      </c>
      <c r="M142">
        <v>0.24</v>
      </c>
      <c r="N142">
        <v>0.28878235317218248</v>
      </c>
      <c r="O142">
        <v>1.2032598048840937</v>
      </c>
      <c r="P142">
        <v>0.21372760574098071</v>
      </c>
      <c r="Q142">
        <v>0.89053169058741966</v>
      </c>
      <c r="R142">
        <v>0.27471626565423424</v>
      </c>
      <c r="S142">
        <v>1.1446511068926426</v>
      </c>
      <c r="T142">
        <v>0.30426552856077982</v>
      </c>
      <c r="U142">
        <v>0.23231042594433315</v>
      </c>
      <c r="V142">
        <v>0.96796010810138822</v>
      </c>
      <c r="W142">
        <v>0.47609813020962577</v>
      </c>
      <c r="X142">
        <v>1.983742209206774</v>
      </c>
      <c r="Y142">
        <v>0.36979987077395959</v>
      </c>
      <c r="Z142">
        <v>1.5408327948914984</v>
      </c>
      <c r="AA142">
        <v>0.4326665524417414</v>
      </c>
      <c r="AB142">
        <v>1.8027773018405893</v>
      </c>
      <c r="AC142">
        <v>0.26628217486470712</v>
      </c>
      <c r="AD142">
        <v>1.1095090619362797</v>
      </c>
      <c r="AE142">
        <v>0.17647631994785301</v>
      </c>
      <c r="AF142">
        <v>0.73531799978272094</v>
      </c>
      <c r="AG142">
        <v>0.37431464327446778</v>
      </c>
      <c r="AH142">
        <v>1.5596443469769492</v>
      </c>
      <c r="AI142">
        <v>0.36121264700812228</v>
      </c>
      <c r="AJ142">
        <v>1.5050526958671762</v>
      </c>
      <c r="AK142">
        <v>0.37475886543331377</v>
      </c>
      <c r="AL142">
        <v>1.5614952726388074</v>
      </c>
      <c r="AM142">
        <v>0.37499532955053638</v>
      </c>
      <c r="AN142">
        <v>1.5624805397939017</v>
      </c>
      <c r="AO142">
        <v>0.22489641587884027</v>
      </c>
      <c r="AP142">
        <v>0.93706839949516785</v>
      </c>
      <c r="AQ142">
        <v>0.20468493188146883</v>
      </c>
      <c r="AR142">
        <v>0.85285388283945351</v>
      </c>
    </row>
    <row r="143" spans="1:44" x14ac:dyDescent="0.3">
      <c r="B143">
        <v>10</v>
      </c>
      <c r="C143">
        <v>1</v>
      </c>
      <c r="D143">
        <v>45</v>
      </c>
      <c r="E143">
        <v>2.8</v>
      </c>
      <c r="F143">
        <v>40</v>
      </c>
      <c r="G143">
        <v>45</v>
      </c>
      <c r="H143">
        <v>1.140137516348016E-2</v>
      </c>
      <c r="I143">
        <v>379.78922706544245</v>
      </c>
      <c r="J143">
        <v>0.28619971163146762</v>
      </c>
      <c r="K143">
        <v>266.42161994155299</v>
      </c>
      <c r="L143">
        <v>303.53943626578155</v>
      </c>
      <c r="M143">
        <v>0.26</v>
      </c>
      <c r="N143">
        <v>0.31776402706191037</v>
      </c>
      <c r="O143">
        <v>1.2221693348535014</v>
      </c>
      <c r="P143">
        <v>0.24351747395396883</v>
      </c>
      <c r="Q143">
        <v>0.93660566905372622</v>
      </c>
      <c r="R143">
        <v>0.29003501652714692</v>
      </c>
      <c r="S143">
        <v>1.1155192943351804</v>
      </c>
      <c r="T143">
        <v>0.32123200784855555</v>
      </c>
      <c r="U143">
        <v>0.25894100019300625</v>
      </c>
      <c r="V143">
        <v>0.99592692381925474</v>
      </c>
      <c r="W143">
        <v>0.51358472723831095</v>
      </c>
      <c r="X143">
        <v>1.9753258739935036</v>
      </c>
      <c r="Y143">
        <v>0.41284270806854767</v>
      </c>
      <c r="Z143">
        <v>1.587856569494414</v>
      </c>
      <c r="AA143">
        <v>0.45679294012436644</v>
      </c>
      <c r="AB143">
        <v>1.7568959235552555</v>
      </c>
      <c r="AC143">
        <v>0.28324287241881418</v>
      </c>
      <c r="AD143">
        <v>1.0893956631492854</v>
      </c>
      <c r="AE143">
        <v>0.18717808873976338</v>
      </c>
      <c r="AF143">
        <v>0.71991572592216679</v>
      </c>
      <c r="AG143">
        <v>0.39518720702583221</v>
      </c>
      <c r="AH143">
        <v>1.5199507962532008</v>
      </c>
      <c r="AI143">
        <v>0.41114123614227466</v>
      </c>
      <c r="AJ143">
        <v>1.5813124467010564</v>
      </c>
      <c r="AK143">
        <v>0.40109118608216726</v>
      </c>
      <c r="AL143">
        <v>1.5426584080083356</v>
      </c>
      <c r="AM143">
        <v>0.41579389674815653</v>
      </c>
      <c r="AN143">
        <v>1.5992072951852174</v>
      </c>
      <c r="AO143">
        <v>0.2565585847273214</v>
      </c>
      <c r="AP143">
        <v>0.9867637874127746</v>
      </c>
      <c r="AQ143">
        <v>0.23663408282187612</v>
      </c>
      <c r="AR143">
        <v>0.91013108777644658</v>
      </c>
    </row>
    <row r="144" spans="1:44" x14ac:dyDescent="0.3">
      <c r="B144">
        <v>10</v>
      </c>
      <c r="C144">
        <v>1</v>
      </c>
      <c r="D144">
        <v>45</v>
      </c>
      <c r="E144">
        <v>2.8</v>
      </c>
      <c r="F144">
        <v>40</v>
      </c>
      <c r="G144">
        <v>45</v>
      </c>
      <c r="H144">
        <v>1.140137516348016E-2</v>
      </c>
      <c r="I144">
        <v>403.86037525973109</v>
      </c>
      <c r="J144">
        <v>0.24095884828416614</v>
      </c>
      <c r="K144">
        <v>266.42161994155299</v>
      </c>
      <c r="L144">
        <v>339.66372856061264</v>
      </c>
      <c r="M144">
        <v>0.28000000000000003</v>
      </c>
      <c r="N144">
        <v>0.35254203572958381</v>
      </c>
      <c r="O144">
        <v>1.2590786990342278</v>
      </c>
      <c r="P144">
        <v>0.2792653158095546</v>
      </c>
      <c r="Q144">
        <v>0.9973761278912664</v>
      </c>
      <c r="R144">
        <v>0.31057003114677012</v>
      </c>
      <c r="S144">
        <v>1.109178682667036</v>
      </c>
      <c r="T144">
        <v>0.34159178299388665</v>
      </c>
      <c r="U144">
        <v>0.29280468882169908</v>
      </c>
      <c r="V144">
        <v>1.0457310315060679</v>
      </c>
      <c r="W144">
        <v>0.55856864367273318</v>
      </c>
      <c r="X144">
        <v>1.994888013116904</v>
      </c>
      <c r="Y144">
        <v>0.46306393428501186</v>
      </c>
      <c r="Z144">
        <v>1.6537997653036136</v>
      </c>
      <c r="AA144">
        <v>0.48574460534351649</v>
      </c>
      <c r="AB144">
        <v>1.7348021619411302</v>
      </c>
      <c r="AC144">
        <v>0.30359570948374259</v>
      </c>
      <c r="AD144">
        <v>1.0842703910133662</v>
      </c>
      <c r="AE144">
        <v>0.20002021129005584</v>
      </c>
      <c r="AF144">
        <v>0.71435789746448508</v>
      </c>
      <c r="AG144">
        <v>0.4202342835274695</v>
      </c>
      <c r="AH144">
        <v>1.5008367268838194</v>
      </c>
      <c r="AI144">
        <v>0.47105554310325753</v>
      </c>
      <c r="AJ144">
        <v>1.6823412253687768</v>
      </c>
      <c r="AK144">
        <v>0.43301290870637432</v>
      </c>
      <c r="AL144">
        <v>1.5464746739513366</v>
      </c>
      <c r="AM144">
        <v>0.4637522486812875</v>
      </c>
      <c r="AN144">
        <v>1.656258031004598</v>
      </c>
      <c r="AO144">
        <v>0.29465510072300805</v>
      </c>
      <c r="AP144">
        <v>1.0523396454393144</v>
      </c>
      <c r="AQ144">
        <v>0.27534445632166848</v>
      </c>
      <c r="AR144">
        <v>0.9833730582916731</v>
      </c>
    </row>
    <row r="145" spans="1:44" x14ac:dyDescent="0.3">
      <c r="A145" t="s">
        <v>38</v>
      </c>
      <c r="B145">
        <v>10</v>
      </c>
      <c r="C145">
        <v>1</v>
      </c>
      <c r="D145">
        <v>45</v>
      </c>
      <c r="E145">
        <v>2.8</v>
      </c>
      <c r="F145">
        <v>40</v>
      </c>
      <c r="G145">
        <v>45</v>
      </c>
      <c r="H145">
        <v>1.140137516348016E-2</v>
      </c>
      <c r="I145">
        <v>251.40977002923657</v>
      </c>
      <c r="J145">
        <v>0.52748431615040803</v>
      </c>
      <c r="K145">
        <v>266.42161994155299</v>
      </c>
      <c r="L145">
        <v>110.87654402668258</v>
      </c>
      <c r="M145">
        <v>0.15</v>
      </c>
      <c r="N145">
        <v>0.13228131416765246</v>
      </c>
      <c r="O145">
        <v>0.8818754277843498</v>
      </c>
      <c r="P145">
        <v>0.14934653930778033</v>
      </c>
      <c r="Q145">
        <v>0.9956435953852022</v>
      </c>
      <c r="R145">
        <v>0.19199501094050575</v>
      </c>
      <c r="S145">
        <v>1.2799667396033718</v>
      </c>
      <c r="T145">
        <v>0.21264654040679032</v>
      </c>
      <c r="U145">
        <v>0.11346968248886155</v>
      </c>
      <c r="V145">
        <v>0.75646454992574375</v>
      </c>
      <c r="W145">
        <v>0.27367050625472622</v>
      </c>
      <c r="X145">
        <v>1.8244700416981749</v>
      </c>
      <c r="Y145">
        <v>0.10729330556362165</v>
      </c>
      <c r="Z145">
        <v>0.71528870375747777</v>
      </c>
      <c r="AA145">
        <v>0.30238405895556658</v>
      </c>
      <c r="AB145">
        <v>2.015893726370444</v>
      </c>
      <c r="AC145">
        <v>0.17469440807252934</v>
      </c>
      <c r="AD145">
        <v>1.1646293871501956</v>
      </c>
      <c r="AE145">
        <v>0.11868676847153704</v>
      </c>
      <c r="AF145">
        <v>0.79124512314358031</v>
      </c>
      <c r="AG145">
        <v>0.26160279901710021</v>
      </c>
      <c r="AH145">
        <v>1.7440186601140015</v>
      </c>
      <c r="AI145">
        <v>0.17642145537896448</v>
      </c>
      <c r="AJ145">
        <v>1.1761430358597633</v>
      </c>
      <c r="AK145">
        <v>0.23870606841661499</v>
      </c>
      <c r="AL145">
        <v>1.5913737894441</v>
      </c>
      <c r="AM145">
        <v>0.20949417814925145</v>
      </c>
      <c r="AN145">
        <v>1.396627854328343</v>
      </c>
      <c r="AO145">
        <v>0.15173906477409935</v>
      </c>
      <c r="AP145">
        <v>1.0115937651606624</v>
      </c>
      <c r="AQ145">
        <v>0.1335056024899976</v>
      </c>
      <c r="AR145">
        <v>0.8900373499333174</v>
      </c>
    </row>
    <row r="146" spans="1:44" x14ac:dyDescent="0.3">
      <c r="B146">
        <v>10</v>
      </c>
      <c r="C146">
        <v>1</v>
      </c>
      <c r="D146">
        <v>45</v>
      </c>
      <c r="E146">
        <v>2.8</v>
      </c>
      <c r="F146">
        <v>40</v>
      </c>
      <c r="G146">
        <v>45</v>
      </c>
      <c r="H146">
        <v>1.140137516348016E-2</v>
      </c>
      <c r="I146">
        <v>274.14363221273135</v>
      </c>
      <c r="J146">
        <v>0.484756834100179</v>
      </c>
      <c r="K146">
        <v>266.42161994155299</v>
      </c>
      <c r="L146">
        <v>144.99393119402299</v>
      </c>
      <c r="M146">
        <v>0.17</v>
      </c>
      <c r="N146">
        <v>0.16512721124267726</v>
      </c>
      <c r="O146">
        <v>0.97133653672163089</v>
      </c>
      <c r="P146">
        <v>0.16285127956433496</v>
      </c>
      <c r="Q146">
        <v>0.95794870331961735</v>
      </c>
      <c r="R146">
        <v>0.20935626192980678</v>
      </c>
      <c r="S146">
        <v>1.2315074231165104</v>
      </c>
      <c r="T146">
        <v>0.23187521693293625</v>
      </c>
      <c r="U146">
        <v>0.1349186115491853</v>
      </c>
      <c r="V146">
        <v>0.7936388914657958</v>
      </c>
      <c r="W146">
        <v>0.31615531622056936</v>
      </c>
      <c r="X146">
        <v>1.8597371542386432</v>
      </c>
      <c r="Y146">
        <v>0.16821697701992566</v>
      </c>
      <c r="Z146">
        <v>0.98951162952897442</v>
      </c>
      <c r="AA146">
        <v>0.32972729832920816</v>
      </c>
      <c r="AB146">
        <v>1.939572343112989</v>
      </c>
      <c r="AC146">
        <v>0.19391653196718392</v>
      </c>
      <c r="AD146">
        <v>1.1406854821599053</v>
      </c>
      <c r="AE146">
        <v>0.13081543976903548</v>
      </c>
      <c r="AF146">
        <v>0.76950258687667927</v>
      </c>
      <c r="AG146">
        <v>0.2852583712686465</v>
      </c>
      <c r="AH146">
        <v>1.6779904192273323</v>
      </c>
      <c r="AI146">
        <v>0.20977002213391188</v>
      </c>
      <c r="AJ146">
        <v>1.2339413066700697</v>
      </c>
      <c r="AK146">
        <v>0.26614281150680635</v>
      </c>
      <c r="AL146">
        <v>1.5655459500400373</v>
      </c>
      <c r="AM146">
        <v>0.24237273712832039</v>
      </c>
      <c r="AN146">
        <v>1.425721983107767</v>
      </c>
      <c r="AO146">
        <v>0.16689907169898499</v>
      </c>
      <c r="AP146">
        <v>0.98175924528814695</v>
      </c>
      <c r="AQ146">
        <v>0.14775687790169159</v>
      </c>
      <c r="AR146">
        <v>0.86915810530406812</v>
      </c>
    </row>
    <row r="147" spans="1:44" x14ac:dyDescent="0.3">
      <c r="B147">
        <v>10</v>
      </c>
      <c r="C147">
        <v>1</v>
      </c>
      <c r="D147">
        <v>45</v>
      </c>
      <c r="E147">
        <v>2.8</v>
      </c>
      <c r="F147">
        <v>40</v>
      </c>
      <c r="G147">
        <v>45</v>
      </c>
      <c r="H147">
        <v>1.140137516348016E-2</v>
      </c>
      <c r="I147">
        <v>295.54020838543232</v>
      </c>
      <c r="J147">
        <v>0.44454273334702232</v>
      </c>
      <c r="K147">
        <v>266.42161994155299</v>
      </c>
      <c r="L147">
        <v>177.1044132338728</v>
      </c>
      <c r="M147">
        <v>0.19</v>
      </c>
      <c r="N147">
        <v>0.19604099672505357</v>
      </c>
      <c r="O147">
        <v>1.031794719605545</v>
      </c>
      <c r="P147">
        <v>0.17556162333520986</v>
      </c>
      <c r="Q147">
        <v>0.92400854386952558</v>
      </c>
      <c r="R147">
        <v>0.22569626286091363</v>
      </c>
      <c r="S147">
        <v>1.1878750676890191</v>
      </c>
      <c r="T147">
        <v>0.24997279483989715</v>
      </c>
      <c r="U147">
        <v>0.15680094959366475</v>
      </c>
      <c r="V147">
        <v>0.82526815575613022</v>
      </c>
      <c r="W147">
        <v>0.35614101971783346</v>
      </c>
      <c r="X147">
        <v>1.8744264195675444</v>
      </c>
      <c r="Y147">
        <v>0.22211331408926083</v>
      </c>
      <c r="Z147">
        <v>1.169017442575057</v>
      </c>
      <c r="AA147">
        <v>0.3554621118573415</v>
      </c>
      <c r="AB147">
        <v>1.8708532203017973</v>
      </c>
      <c r="AC147">
        <v>0.2120079426915647</v>
      </c>
      <c r="AD147">
        <v>1.1158312773240247</v>
      </c>
      <c r="AE147">
        <v>0.14223065981373986</v>
      </c>
      <c r="AF147">
        <v>0.74858242007231501</v>
      </c>
      <c r="AG147">
        <v>0.30752243927010181</v>
      </c>
      <c r="AH147">
        <v>1.6185391540531675</v>
      </c>
      <c r="AI147">
        <v>0.24379244856733817</v>
      </c>
      <c r="AJ147">
        <v>1.2831181503544113</v>
      </c>
      <c r="AK147">
        <v>0.29260245103950411</v>
      </c>
      <c r="AL147">
        <v>1.5400129002079164</v>
      </c>
      <c r="AM147">
        <v>0.27435665355217526</v>
      </c>
      <c r="AN147">
        <v>1.4439823871167119</v>
      </c>
      <c r="AO147">
        <v>0.18125790317953916</v>
      </c>
      <c r="AP147">
        <v>0.95398896410283762</v>
      </c>
      <c r="AQ147">
        <v>0.16149996954732046</v>
      </c>
      <c r="AR147">
        <v>0.84999983972273929</v>
      </c>
    </row>
    <row r="148" spans="1:44" x14ac:dyDescent="0.3">
      <c r="B148">
        <v>10</v>
      </c>
      <c r="C148">
        <v>1</v>
      </c>
      <c r="D148">
        <v>45</v>
      </c>
      <c r="E148">
        <v>2.8</v>
      </c>
      <c r="F148">
        <v>40</v>
      </c>
      <c r="G148">
        <v>45</v>
      </c>
      <c r="H148">
        <v>1.140137516348016E-2</v>
      </c>
      <c r="I148">
        <v>314.93085554194266</v>
      </c>
      <c r="J148">
        <v>0.40809870453947383</v>
      </c>
      <c r="K148">
        <v>266.42161994155299</v>
      </c>
      <c r="L148">
        <v>206.20453758248684</v>
      </c>
      <c r="M148">
        <v>0.2</v>
      </c>
      <c r="N148">
        <v>0.22405661481845726</v>
      </c>
      <c r="O148">
        <v>1.1202830740922862</v>
      </c>
      <c r="P148">
        <v>0.18708037237756528</v>
      </c>
      <c r="Q148">
        <v>0.93540186188782637</v>
      </c>
      <c r="R148">
        <v>0.24050438870472929</v>
      </c>
      <c r="S148">
        <v>1.2025219435236463</v>
      </c>
      <c r="T148">
        <v>0.26637372481808047</v>
      </c>
      <c r="U148">
        <v>0.17805163417419886</v>
      </c>
      <c r="V148">
        <v>0.89025817087099424</v>
      </c>
      <c r="W148">
        <v>0.3923780635122292</v>
      </c>
      <c r="X148">
        <v>1.961890317561146</v>
      </c>
      <c r="Y148">
        <v>0.26865430312309796</v>
      </c>
      <c r="Z148">
        <v>1.3432715156154897</v>
      </c>
      <c r="AA148">
        <v>0.37878428661721242</v>
      </c>
      <c r="AB148">
        <v>1.8939214330860621</v>
      </c>
      <c r="AC148">
        <v>0.22840328366053489</v>
      </c>
      <c r="AD148">
        <v>1.1420164183026744</v>
      </c>
      <c r="AE148">
        <v>0.15257570297925327</v>
      </c>
      <c r="AF148">
        <v>0.76287851489626635</v>
      </c>
      <c r="AG148">
        <v>0.32769925089642077</v>
      </c>
      <c r="AH148">
        <v>1.6384962544821038</v>
      </c>
      <c r="AI148">
        <v>0.27683278691379631</v>
      </c>
      <c r="AJ148">
        <v>1.3841639345689816</v>
      </c>
      <c r="AK148">
        <v>0.31702702836497626</v>
      </c>
      <c r="AL148">
        <v>1.5851351418248811</v>
      </c>
      <c r="AM148">
        <v>0.30408944906393337</v>
      </c>
      <c r="AN148">
        <v>1.5204472453196667</v>
      </c>
      <c r="AO148">
        <v>0.19434647163505989</v>
      </c>
      <c r="AP148">
        <v>0.97173235817529935</v>
      </c>
      <c r="AQ148">
        <v>0.17423115860068181</v>
      </c>
      <c r="AR148">
        <v>0.87115579300340895</v>
      </c>
    </row>
    <row r="149" spans="1:44" x14ac:dyDescent="0.3">
      <c r="B149">
        <v>10</v>
      </c>
      <c r="C149">
        <v>1</v>
      </c>
      <c r="D149">
        <v>45</v>
      </c>
      <c r="E149">
        <v>2.8</v>
      </c>
      <c r="F149">
        <v>40</v>
      </c>
      <c r="G149">
        <v>45</v>
      </c>
      <c r="H149">
        <v>1.140137516348016E-2</v>
      </c>
      <c r="I149">
        <v>336.9960747200405</v>
      </c>
      <c r="J149">
        <v>0.36662791313778109</v>
      </c>
      <c r="K149">
        <v>266.42161994155299</v>
      </c>
      <c r="L149">
        <v>239.31847218608186</v>
      </c>
      <c r="M149">
        <v>0.22</v>
      </c>
      <c r="N149">
        <v>0.25593645609715776</v>
      </c>
      <c r="O149">
        <v>1.1633475277143535</v>
      </c>
      <c r="P149">
        <v>0.20018791439128003</v>
      </c>
      <c r="Q149">
        <v>0.90994506541490927</v>
      </c>
      <c r="R149">
        <v>0.25735501466493321</v>
      </c>
      <c r="S149">
        <v>1.1697955212042419</v>
      </c>
      <c r="T149">
        <v>0.28503685203463386</v>
      </c>
      <c r="U149">
        <v>0.20387558614680465</v>
      </c>
      <c r="V149">
        <v>0.92670720975820298</v>
      </c>
      <c r="W149">
        <v>0.43361332024378274</v>
      </c>
      <c r="X149">
        <v>1.9709696374717398</v>
      </c>
      <c r="Y149">
        <v>0.31944831577752686</v>
      </c>
      <c r="Z149">
        <v>1.4520377989887585</v>
      </c>
      <c r="AA149">
        <v>0.40532331306809988</v>
      </c>
      <c r="AB149">
        <v>1.8423786957640904</v>
      </c>
      <c r="AC149">
        <v>0.24706005097005254</v>
      </c>
      <c r="AD149">
        <v>1.1230002316820571</v>
      </c>
      <c r="AE149">
        <v>0.16434764865035462</v>
      </c>
      <c r="AF149">
        <v>0.74703476659252099</v>
      </c>
      <c r="AG149">
        <v>0.35065907102292154</v>
      </c>
      <c r="AH149">
        <v>1.5939048682860071</v>
      </c>
      <c r="AI149">
        <v>0.31698359275650057</v>
      </c>
      <c r="AJ149">
        <v>1.4408345125295481</v>
      </c>
      <c r="AK149">
        <v>0.34525739406130079</v>
      </c>
      <c r="AL149">
        <v>1.5693517911877308</v>
      </c>
      <c r="AM149">
        <v>0.3386621133099405</v>
      </c>
      <c r="AN149">
        <v>1.5393732423179114</v>
      </c>
      <c r="AO149">
        <v>0.2093281186192931</v>
      </c>
      <c r="AP149">
        <v>0.95149144826951404</v>
      </c>
      <c r="AQ149">
        <v>0.18903818382788024</v>
      </c>
      <c r="AR149">
        <v>0.85926447194491018</v>
      </c>
    </row>
    <row r="150" spans="1:44" x14ac:dyDescent="0.3">
      <c r="B150">
        <v>10</v>
      </c>
      <c r="C150">
        <v>1</v>
      </c>
      <c r="D150">
        <v>45</v>
      </c>
      <c r="E150">
        <v>2.8</v>
      </c>
      <c r="F150">
        <v>40</v>
      </c>
      <c r="G150">
        <v>45</v>
      </c>
      <c r="H150">
        <v>1.140137516348016E-2</v>
      </c>
      <c r="I150">
        <v>359.06129389813839</v>
      </c>
      <c r="J150">
        <v>0.32515712173608813</v>
      </c>
      <c r="K150">
        <v>266.42161994155299</v>
      </c>
      <c r="L150">
        <v>272.43240678967703</v>
      </c>
      <c r="M150">
        <v>0.24</v>
      </c>
      <c r="N150">
        <v>0.28781629737585829</v>
      </c>
      <c r="O150">
        <v>1.1992345723994096</v>
      </c>
      <c r="P150">
        <v>0.21329545640499481</v>
      </c>
      <c r="Q150">
        <v>0.88873106835414506</v>
      </c>
      <c r="R150">
        <v>0.27420564062513714</v>
      </c>
      <c r="S150">
        <v>1.142523502604738</v>
      </c>
      <c r="T150">
        <v>0.30369997925118725</v>
      </c>
      <c r="U150">
        <v>0.23144762102217148</v>
      </c>
      <c r="V150">
        <v>0.96436508759238115</v>
      </c>
      <c r="W150">
        <v>0.47484857697533639</v>
      </c>
      <c r="X150">
        <v>1.978535737397235</v>
      </c>
      <c r="Y150">
        <v>0.36834412167041547</v>
      </c>
      <c r="Z150">
        <v>1.5347671736267312</v>
      </c>
      <c r="AA150">
        <v>0.43186233951898739</v>
      </c>
      <c r="AB150">
        <v>1.7994264146624475</v>
      </c>
      <c r="AC150">
        <v>0.26571681827957028</v>
      </c>
      <c r="AD150">
        <v>1.1071534094982096</v>
      </c>
      <c r="AE150">
        <v>0.17611959432145605</v>
      </c>
      <c r="AF150">
        <v>0.73383164300606685</v>
      </c>
      <c r="AG150">
        <v>0.37361889114942237</v>
      </c>
      <c r="AH150">
        <v>1.5567453797892599</v>
      </c>
      <c r="AI150">
        <v>0.35985229930240353</v>
      </c>
      <c r="AJ150">
        <v>1.4993845804266814</v>
      </c>
      <c r="AK150">
        <v>0.37388575167897703</v>
      </c>
      <c r="AL150">
        <v>1.5578572986624044</v>
      </c>
      <c r="AM150">
        <v>0.37390093350475995</v>
      </c>
      <c r="AN150">
        <v>1.5579205562698333</v>
      </c>
      <c r="AO150">
        <v>0.2244031861995765</v>
      </c>
      <c r="AP150">
        <v>0.93501327583156879</v>
      </c>
      <c r="AQ150">
        <v>0.20418565206210701</v>
      </c>
      <c r="AR150">
        <v>0.85077355025877921</v>
      </c>
    </row>
    <row r="151" spans="1:44" x14ac:dyDescent="0.3">
      <c r="B151">
        <v>10</v>
      </c>
      <c r="C151">
        <v>1</v>
      </c>
      <c r="D151">
        <v>45</v>
      </c>
      <c r="E151">
        <v>2.8</v>
      </c>
      <c r="F151">
        <v>40</v>
      </c>
      <c r="G151">
        <v>45</v>
      </c>
      <c r="H151">
        <v>1.140137516348016E-2</v>
      </c>
      <c r="I151">
        <v>377.78329804925175</v>
      </c>
      <c r="J151">
        <v>0.28996978357707592</v>
      </c>
      <c r="K151">
        <v>266.42161994155299</v>
      </c>
      <c r="L151">
        <v>300.52907857454568</v>
      </c>
      <c r="M151">
        <v>0.26</v>
      </c>
      <c r="N151">
        <v>0.31486585967293762</v>
      </c>
      <c r="O151">
        <v>1.2110225372036061</v>
      </c>
      <c r="P151">
        <v>0.24053848713267006</v>
      </c>
      <c r="Q151">
        <v>0.92514802743334634</v>
      </c>
      <c r="R151">
        <v>0.28850314143985567</v>
      </c>
      <c r="S151">
        <v>1.1096274670763679</v>
      </c>
      <c r="T151">
        <v>0.31953535991977811</v>
      </c>
      <c r="U151">
        <v>0.25621293142051577</v>
      </c>
      <c r="V151">
        <v>0.98543435161736825</v>
      </c>
      <c r="W151">
        <v>0.50983606753544253</v>
      </c>
      <c r="X151">
        <v>1.9609079520593942</v>
      </c>
      <c r="Y151">
        <v>0.40859054588995608</v>
      </c>
      <c r="Z151">
        <v>1.5715020995767541</v>
      </c>
      <c r="AA151">
        <v>0.45438030135610397</v>
      </c>
      <c r="AB151">
        <v>1.747616543677323</v>
      </c>
      <c r="AC151">
        <v>0.28154680266340348</v>
      </c>
      <c r="AD151">
        <v>1.0828723179361672</v>
      </c>
      <c r="AE151">
        <v>0.18610791186057238</v>
      </c>
      <c r="AF151">
        <v>0.71579966100220138</v>
      </c>
      <c r="AG151">
        <v>0.39309995065069581</v>
      </c>
      <c r="AH151">
        <v>1.5119228871180608</v>
      </c>
      <c r="AI151">
        <v>0.40614837722885949</v>
      </c>
      <c r="AJ151">
        <v>1.562109143187921</v>
      </c>
      <c r="AK151">
        <v>0.39844633749403119</v>
      </c>
      <c r="AL151">
        <v>1.5324859134385815</v>
      </c>
      <c r="AM151">
        <v>0.41174918970052626</v>
      </c>
      <c r="AN151">
        <v>1.5836507296174087</v>
      </c>
      <c r="AO151">
        <v>0.25338889352278549</v>
      </c>
      <c r="AP151">
        <v>0.97457266739532877</v>
      </c>
      <c r="AQ151">
        <v>0.23342650662426828</v>
      </c>
      <c r="AR151">
        <v>0.89779425624718567</v>
      </c>
    </row>
    <row r="152" spans="1:44" x14ac:dyDescent="0.3">
      <c r="B152">
        <v>10</v>
      </c>
      <c r="C152">
        <v>1</v>
      </c>
      <c r="D152">
        <v>45</v>
      </c>
      <c r="E152">
        <v>2.8</v>
      </c>
      <c r="F152">
        <v>40</v>
      </c>
      <c r="G152">
        <v>45</v>
      </c>
      <c r="H152">
        <v>1.140137516348016E-2</v>
      </c>
      <c r="I152">
        <v>395.83665919496815</v>
      </c>
      <c r="J152">
        <v>0.2560391360666</v>
      </c>
      <c r="K152">
        <v>266.42161994155299</v>
      </c>
      <c r="L152">
        <v>327.62229779566889</v>
      </c>
      <c r="M152">
        <v>0.28999999999999998</v>
      </c>
      <c r="N152">
        <v>0.34094936617369254</v>
      </c>
      <c r="O152">
        <v>1.175687469564457</v>
      </c>
      <c r="P152">
        <v>0.26734936852435925</v>
      </c>
      <c r="Q152">
        <v>0.92189437422192855</v>
      </c>
      <c r="R152">
        <v>0.30229001722547705</v>
      </c>
      <c r="S152">
        <v>1.0423793697430244</v>
      </c>
      <c r="T152">
        <v>0.33480519127877628</v>
      </c>
      <c r="U152">
        <v>0.28128564115391846</v>
      </c>
      <c r="V152">
        <v>0.96995048673764994</v>
      </c>
      <c r="W152">
        <v>0.54357400486125895</v>
      </c>
      <c r="X152">
        <v>1.8743931202112378</v>
      </c>
      <c r="Y152">
        <v>0.44648106773556961</v>
      </c>
      <c r="Z152">
        <v>1.5395898887433437</v>
      </c>
      <c r="AA152">
        <v>0.47609405027046647</v>
      </c>
      <c r="AB152">
        <v>1.6417036216222982</v>
      </c>
      <c r="AC152">
        <v>0.29681143046209973</v>
      </c>
      <c r="AD152">
        <v>1.0234876912486199</v>
      </c>
      <c r="AE152">
        <v>0.19573950377329169</v>
      </c>
      <c r="AF152">
        <v>0.674963806114799</v>
      </c>
      <c r="AG152">
        <v>0.41188525802692366</v>
      </c>
      <c r="AH152">
        <v>1.4202939931962886</v>
      </c>
      <c r="AI152">
        <v>0.45108410744959648</v>
      </c>
      <c r="AJ152">
        <v>1.5554624394813672</v>
      </c>
      <c r="AK152">
        <v>0.42233606372638982</v>
      </c>
      <c r="AL152">
        <v>1.4563312542289306</v>
      </c>
      <c r="AM152">
        <v>0.4478821937881789</v>
      </c>
      <c r="AN152">
        <v>1.5444213578902721</v>
      </c>
      <c r="AO152">
        <v>0.28194390892111126</v>
      </c>
      <c r="AP152">
        <v>0.97222037559003893</v>
      </c>
      <c r="AQ152">
        <v>0.26239598123127655</v>
      </c>
      <c r="AR152">
        <v>0.90481372838371232</v>
      </c>
    </row>
    <row r="153" spans="1:44" x14ac:dyDescent="0.3">
      <c r="A153" t="s">
        <v>39</v>
      </c>
      <c r="B153">
        <v>20</v>
      </c>
      <c r="C153">
        <v>1</v>
      </c>
      <c r="D153">
        <v>40</v>
      </c>
      <c r="E153">
        <v>2.8</v>
      </c>
      <c r="F153">
        <v>40</v>
      </c>
      <c r="G153">
        <v>50</v>
      </c>
      <c r="H153">
        <v>5.4123833185813645E-2</v>
      </c>
      <c r="I153">
        <v>201.33268539095971</v>
      </c>
      <c r="J153">
        <v>0.6</v>
      </c>
      <c r="K153">
        <v>72.012286636750844</v>
      </c>
      <c r="L153">
        <v>158.12531340890922</v>
      </c>
      <c r="M153">
        <v>0.17</v>
      </c>
      <c r="N153">
        <v>0.13248092114240001</v>
      </c>
      <c r="O153">
        <v>0.77929953613176473</v>
      </c>
      <c r="P153">
        <v>0.12448001593101213</v>
      </c>
      <c r="Q153">
        <v>0.73223538782948305</v>
      </c>
      <c r="R153">
        <v>0.14421239382681603</v>
      </c>
      <c r="S153">
        <v>0.84830819898127063</v>
      </c>
      <c r="T153">
        <v>0.17073851136246324</v>
      </c>
      <c r="U153">
        <v>0.15478528012645698</v>
      </c>
      <c r="V153">
        <v>0.91050164780268805</v>
      </c>
      <c r="W153">
        <v>0.17950779201610131</v>
      </c>
      <c r="X153">
        <v>1.0559281883300076</v>
      </c>
      <c r="Y153">
        <v>0.22328306155808111</v>
      </c>
      <c r="Z153">
        <v>1.3134297738710652</v>
      </c>
      <c r="AA153">
        <v>0.2328008437471874</v>
      </c>
      <c r="AB153">
        <v>1.3694167279246316</v>
      </c>
      <c r="AC153">
        <v>0.19009102703898831</v>
      </c>
      <c r="AD153">
        <v>1.1181825119940487</v>
      </c>
      <c r="AE153">
        <v>0.10063566624984965</v>
      </c>
      <c r="AF153">
        <v>0.5919745073520567</v>
      </c>
      <c r="AG153">
        <v>0.24631464196932079</v>
      </c>
      <c r="AH153">
        <v>1.4489096586430634</v>
      </c>
      <c r="AI153">
        <v>0.12448001593101213</v>
      </c>
      <c r="AJ153">
        <v>0.73223538782948305</v>
      </c>
      <c r="AK153">
        <v>0.18518264221635797</v>
      </c>
      <c r="AL153">
        <v>1.0893096600962233</v>
      </c>
      <c r="AM153">
        <v>0.13944355439065248</v>
      </c>
      <c r="AN153">
        <v>0.82025620229795571</v>
      </c>
      <c r="AO153">
        <v>0.14747598455261873</v>
      </c>
      <c r="AP153">
        <v>0.86750579148599249</v>
      </c>
      <c r="AQ153">
        <v>0.12676079812586594</v>
      </c>
      <c r="AR153">
        <v>0.74565175368156433</v>
      </c>
    </row>
    <row r="154" spans="1:44" x14ac:dyDescent="0.3">
      <c r="B154">
        <v>20</v>
      </c>
      <c r="C154">
        <v>1</v>
      </c>
      <c r="D154">
        <v>40</v>
      </c>
      <c r="E154">
        <v>2.8</v>
      </c>
      <c r="F154">
        <v>40</v>
      </c>
      <c r="G154">
        <v>50</v>
      </c>
      <c r="H154">
        <v>5.4123833185813645E-2</v>
      </c>
      <c r="I154">
        <v>235.28147905021083</v>
      </c>
      <c r="J154">
        <v>0.54562613449477637</v>
      </c>
      <c r="K154">
        <v>72.012286636750844</v>
      </c>
      <c r="L154">
        <v>195.98969345647063</v>
      </c>
      <c r="M154">
        <v>0.2</v>
      </c>
      <c r="N154">
        <v>0.1609239791113681</v>
      </c>
      <c r="O154">
        <v>0.80461989555684044</v>
      </c>
      <c r="P154">
        <v>0.16319147975293574</v>
      </c>
      <c r="Q154">
        <v>0.81595739876467865</v>
      </c>
      <c r="R154">
        <v>0.17517414622172003</v>
      </c>
      <c r="S154">
        <v>0.87587073110860014</v>
      </c>
      <c r="T154">
        <v>0.19952850381041692</v>
      </c>
      <c r="U154">
        <v>0.211386169121142</v>
      </c>
      <c r="V154">
        <v>0.99764251905208456</v>
      </c>
      <c r="W154">
        <v>0.21464209910472309</v>
      </c>
      <c r="X154">
        <v>1.0732104955236155</v>
      </c>
      <c r="Y154">
        <v>0.27896342585346029</v>
      </c>
      <c r="Z154">
        <v>1.3948171292673013</v>
      </c>
      <c r="AA154">
        <v>0.27205581018607294</v>
      </c>
      <c r="AB154">
        <v>1.3602790509303646</v>
      </c>
      <c r="AC154">
        <v>0.23100430406477596</v>
      </c>
      <c r="AD154">
        <v>1.1550215203238796</v>
      </c>
      <c r="AE154">
        <v>0.11950502817529221</v>
      </c>
      <c r="AF154">
        <v>0.59752514087646103</v>
      </c>
      <c r="AG154">
        <v>0.28784831018236229</v>
      </c>
      <c r="AH154">
        <v>1.4392415509118113</v>
      </c>
      <c r="AI154">
        <v>0.17271575064382896</v>
      </c>
      <c r="AJ154">
        <v>0.86357875321914479</v>
      </c>
      <c r="AK154">
        <v>0.22022604021267853</v>
      </c>
      <c r="AL154">
        <v>1.1011302010633925</v>
      </c>
      <c r="AM154">
        <v>0.188712851201184</v>
      </c>
      <c r="AN154">
        <v>0.94356425600591998</v>
      </c>
      <c r="AO154">
        <v>0.19547727526333888</v>
      </c>
      <c r="AP154">
        <v>0.97738637631669434</v>
      </c>
      <c r="AQ154">
        <v>0.17118024534008908</v>
      </c>
      <c r="AR154">
        <v>0.85590122670044533</v>
      </c>
    </row>
    <row r="155" spans="1:44" x14ac:dyDescent="0.3">
      <c r="B155">
        <v>20</v>
      </c>
      <c r="C155">
        <v>1</v>
      </c>
      <c r="D155">
        <v>40</v>
      </c>
      <c r="E155">
        <v>2.8</v>
      </c>
      <c r="F155">
        <v>40</v>
      </c>
      <c r="G155">
        <v>50</v>
      </c>
      <c r="H155">
        <v>5.4123833185813645E-2</v>
      </c>
      <c r="I155">
        <v>268.14100660274795</v>
      </c>
      <c r="J155">
        <v>0.48216805605616109</v>
      </c>
      <c r="K155">
        <v>72.012286636750844</v>
      </c>
      <c r="L155">
        <v>233.41898234294672</v>
      </c>
      <c r="M155">
        <v>0.24</v>
      </c>
      <c r="N155">
        <v>0.18845442559470083</v>
      </c>
      <c r="O155">
        <v>0.78522677331125346</v>
      </c>
      <c r="P155">
        <v>0.20066086452174944</v>
      </c>
      <c r="Q155">
        <v>0.83608693550728941</v>
      </c>
      <c r="R155">
        <v>0.20514247340609224</v>
      </c>
      <c r="S155">
        <v>0.85476030585871765</v>
      </c>
      <c r="T155">
        <v>0.22739475318517421</v>
      </c>
      <c r="U155">
        <v>0.27455386120201025</v>
      </c>
      <c r="V155">
        <v>0.94747813827155924</v>
      </c>
      <c r="W155">
        <v>0.2486491022225869</v>
      </c>
      <c r="X155">
        <v>1.0360379259274455</v>
      </c>
      <c r="Y155">
        <v>0.33085221243175927</v>
      </c>
      <c r="Z155">
        <v>1.3785508851323303</v>
      </c>
      <c r="AA155">
        <v>0.31005125898520808</v>
      </c>
      <c r="AB155">
        <v>1.2918802457717005</v>
      </c>
      <c r="AC155">
        <v>0.27060485562449543</v>
      </c>
      <c r="AD155">
        <v>1.127520231768731</v>
      </c>
      <c r="AE155">
        <v>0.13776895602826064</v>
      </c>
      <c r="AF155">
        <v>0.57403731678441938</v>
      </c>
      <c r="AG155">
        <v>0.32804934732974461</v>
      </c>
      <c r="AH155">
        <v>1.3668722805406026</v>
      </c>
      <c r="AI155">
        <v>0.22130062120069757</v>
      </c>
      <c r="AJ155">
        <v>0.92208592166957326</v>
      </c>
      <c r="AK155">
        <v>0.25478960248972488</v>
      </c>
      <c r="AL155">
        <v>1.0616233437071869</v>
      </c>
      <c r="AM155">
        <v>0.23522198636616995</v>
      </c>
      <c r="AN155">
        <v>0.98009160985904153</v>
      </c>
      <c r="AO155">
        <v>0.24290464135781981</v>
      </c>
      <c r="AP155">
        <v>1.0121026723242492</v>
      </c>
      <c r="AQ155">
        <v>0.21563755156995024</v>
      </c>
      <c r="AR155">
        <v>0.89848979820812602</v>
      </c>
    </row>
    <row r="156" spans="1:44" x14ac:dyDescent="0.3">
      <c r="B156">
        <v>20</v>
      </c>
      <c r="C156">
        <v>1</v>
      </c>
      <c r="D156">
        <v>40</v>
      </c>
      <c r="E156">
        <v>2.8</v>
      </c>
      <c r="F156">
        <v>40</v>
      </c>
      <c r="G156">
        <v>50</v>
      </c>
      <c r="H156">
        <v>5.4123833185813645E-2</v>
      </c>
      <c r="I156">
        <v>300.81898980416611</v>
      </c>
      <c r="J156">
        <v>0.41906057473599112</v>
      </c>
      <c r="K156">
        <v>72.012286636750844</v>
      </c>
      <c r="L156">
        <v>270.64147957811639</v>
      </c>
      <c r="M156">
        <v>0.27</v>
      </c>
      <c r="N156">
        <v>0.21583277016376104</v>
      </c>
      <c r="O156">
        <v>0.79938063023615191</v>
      </c>
      <c r="P156">
        <v>0.23792323611504487</v>
      </c>
      <c r="Q156">
        <v>0.88119717079646243</v>
      </c>
      <c r="R156">
        <v>0.23494522972204257</v>
      </c>
      <c r="S156">
        <v>0.87016751748904653</v>
      </c>
      <c r="T156">
        <v>0.25510704538106549</v>
      </c>
      <c r="U156">
        <v>0.34555054480386854</v>
      </c>
      <c r="V156">
        <v>0.94484090881876104</v>
      </c>
      <c r="W156">
        <v>0.28246822134532446</v>
      </c>
      <c r="X156">
        <v>1.0461785975752758</v>
      </c>
      <c r="Y156">
        <v>0.38114518145987081</v>
      </c>
      <c r="Z156">
        <v>1.4116488202217436</v>
      </c>
      <c r="AA156">
        <v>0.34783678817771818</v>
      </c>
      <c r="AB156">
        <v>1.2882844006582155</v>
      </c>
      <c r="AC156">
        <v>0.30998661960653695</v>
      </c>
      <c r="AD156">
        <v>1.1480985911353219</v>
      </c>
      <c r="AE156">
        <v>0.15593197820248342</v>
      </c>
      <c r="AF156">
        <v>0.57752584519438299</v>
      </c>
      <c r="AG156">
        <v>0.36802827929951715</v>
      </c>
      <c r="AH156">
        <v>1.3630677011093226</v>
      </c>
      <c r="AI156">
        <v>0.26961706705835697</v>
      </c>
      <c r="AJ156">
        <v>0.99858172984576654</v>
      </c>
      <c r="AK156">
        <v>0.28961854042916851</v>
      </c>
      <c r="AL156">
        <v>1.0726612608487722</v>
      </c>
      <c r="AM156">
        <v>0.28045553682490193</v>
      </c>
      <c r="AN156">
        <v>1.0387242104625998</v>
      </c>
      <c r="AO156">
        <v>0.29101258558818455</v>
      </c>
      <c r="AP156">
        <v>1.0778243910673502</v>
      </c>
      <c r="AQ156">
        <v>0.26127655931506433</v>
      </c>
      <c r="AR156">
        <v>0.96769096042616409</v>
      </c>
    </row>
    <row r="157" spans="1:44" x14ac:dyDescent="0.3">
      <c r="B157">
        <v>20</v>
      </c>
      <c r="C157">
        <v>1</v>
      </c>
      <c r="D157">
        <v>40</v>
      </c>
      <c r="E157">
        <v>2.8</v>
      </c>
      <c r="F157">
        <v>40</v>
      </c>
      <c r="G157">
        <v>50</v>
      </c>
      <c r="H157">
        <v>5.4123833185813645E-2</v>
      </c>
      <c r="I157">
        <v>333.13388430334641</v>
      </c>
      <c r="J157">
        <v>0.35665428765271168</v>
      </c>
      <c r="K157">
        <v>72.012286636750844</v>
      </c>
      <c r="L157">
        <v>307.45039351067317</v>
      </c>
      <c r="M157">
        <v>0.32</v>
      </c>
      <c r="N157">
        <v>0.24290691090427621</v>
      </c>
      <c r="O157">
        <v>0.75908409657586318</v>
      </c>
      <c r="P157">
        <v>0.27477158135730378</v>
      </c>
      <c r="Q157">
        <v>0.85866119174157429</v>
      </c>
      <c r="R157">
        <v>0.26441684430114909</v>
      </c>
      <c r="S157">
        <v>0.82630263844109086</v>
      </c>
      <c r="T157">
        <v>0.28251142321922457</v>
      </c>
      <c r="U157">
        <v>0.42377828820333779</v>
      </c>
      <c r="V157">
        <v>0.88284819756007671</v>
      </c>
      <c r="W157">
        <v>0.31591157247780943</v>
      </c>
      <c r="X157">
        <v>0.98722366399315442</v>
      </c>
      <c r="Y157">
        <v>0.42997260953800504</v>
      </c>
      <c r="Z157">
        <v>1.3436644048062658</v>
      </c>
      <c r="AA157">
        <v>0.38520247815697833</v>
      </c>
      <c r="AB157">
        <v>1.2037577442405574</v>
      </c>
      <c r="AC157">
        <v>0.34893080843322255</v>
      </c>
      <c r="AD157">
        <v>1.0904087763538204</v>
      </c>
      <c r="AE157">
        <v>0.17389318901921488</v>
      </c>
      <c r="AF157">
        <v>0.5434162156850465</v>
      </c>
      <c r="AG157">
        <v>0.40756300091407011</v>
      </c>
      <c r="AH157">
        <v>1.2736343778564692</v>
      </c>
      <c r="AI157">
        <v>0.31739666351759815</v>
      </c>
      <c r="AJ157">
        <v>0.99186457349249424</v>
      </c>
      <c r="AK157">
        <v>0.32439945549780025</v>
      </c>
      <c r="AL157">
        <v>1.0137482984306259</v>
      </c>
      <c r="AM157">
        <v>0.32430026204481138</v>
      </c>
      <c r="AN157">
        <v>1.0134383188900355</v>
      </c>
      <c r="AO157">
        <v>0.33951038519893972</v>
      </c>
      <c r="AP157">
        <v>1.0609699537466866</v>
      </c>
      <c r="AQ157">
        <v>0.30780820022430028</v>
      </c>
      <c r="AR157">
        <v>0.96190062570093837</v>
      </c>
    </row>
    <row r="158" spans="1:44" x14ac:dyDescent="0.3">
      <c r="B158">
        <v>20</v>
      </c>
      <c r="C158">
        <v>1</v>
      </c>
      <c r="D158">
        <v>40</v>
      </c>
      <c r="E158">
        <v>2.8</v>
      </c>
      <c r="F158">
        <v>40</v>
      </c>
      <c r="G158">
        <v>50</v>
      </c>
      <c r="H158">
        <v>5.4123833185813645E-2</v>
      </c>
      <c r="I158">
        <v>366.35650055812141</v>
      </c>
      <c r="J158">
        <v>0.29249501497720587</v>
      </c>
      <c r="K158">
        <v>72.012286636750844</v>
      </c>
      <c r="L158">
        <v>345.29326569976212</v>
      </c>
      <c r="M158">
        <v>0.34</v>
      </c>
      <c r="N158">
        <v>0.27074156121615395</v>
      </c>
      <c r="O158">
        <v>0.79629870945927628</v>
      </c>
      <c r="P158">
        <v>0.312654992477154</v>
      </c>
      <c r="Q158">
        <v>0.91957350728574705</v>
      </c>
      <c r="R158">
        <v>0.29471631322236513</v>
      </c>
      <c r="S158">
        <v>0.86681268594813266</v>
      </c>
      <c r="T158">
        <v>0.31068558695171394</v>
      </c>
      <c r="U158">
        <v>0.51251772415842989</v>
      </c>
      <c r="V158">
        <v>0.91378113809327621</v>
      </c>
      <c r="W158">
        <v>0.35029434358592576</v>
      </c>
      <c r="X158">
        <v>1.0302774811350757</v>
      </c>
      <c r="Y158">
        <v>0.47948358788270817</v>
      </c>
      <c r="Z158">
        <v>1.4102458467138475</v>
      </c>
      <c r="AA158">
        <v>0.42361776616936347</v>
      </c>
      <c r="AB158">
        <v>1.2459346063804808</v>
      </c>
      <c r="AC158">
        <v>0.388968935148298</v>
      </c>
      <c r="AD158">
        <v>1.1440262798479353</v>
      </c>
      <c r="AE158">
        <v>0.19235892822967463</v>
      </c>
      <c r="AF158">
        <v>0.56576155361669</v>
      </c>
      <c r="AG158">
        <v>0.44820824841667201</v>
      </c>
      <c r="AH158">
        <v>1.3182595541666822</v>
      </c>
      <c r="AI158">
        <v>0.36651838347288501</v>
      </c>
      <c r="AJ158">
        <v>1.0779952455084854</v>
      </c>
      <c r="AK158">
        <v>0.3604311958596525</v>
      </c>
      <c r="AL158">
        <v>1.0600917525283897</v>
      </c>
      <c r="AM158">
        <v>0.3685618132447897</v>
      </c>
      <c r="AN158">
        <v>1.0840053330729109</v>
      </c>
      <c r="AO158">
        <v>0.3903288004640979</v>
      </c>
      <c r="AP158">
        <v>1.1480258837179349</v>
      </c>
      <c r="AQ158">
        <v>0.35709802038992411</v>
      </c>
      <c r="AR158">
        <v>1.0502882952644825</v>
      </c>
    </row>
    <row r="159" spans="1:44" x14ac:dyDescent="0.3">
      <c r="A159" t="s">
        <v>40</v>
      </c>
      <c r="B159">
        <v>20</v>
      </c>
      <c r="C159">
        <v>1</v>
      </c>
      <c r="D159">
        <v>40</v>
      </c>
      <c r="E159">
        <v>2.8</v>
      </c>
      <c r="F159">
        <v>40</v>
      </c>
      <c r="G159">
        <v>50</v>
      </c>
      <c r="H159">
        <v>5.4123833185813645E-2</v>
      </c>
      <c r="I159">
        <v>169.74396829625545</v>
      </c>
      <c r="J159">
        <v>0.6</v>
      </c>
      <c r="K159">
        <v>72.012286636750844</v>
      </c>
      <c r="L159">
        <v>126.53659631420494</v>
      </c>
      <c r="M159">
        <v>0.16</v>
      </c>
      <c r="N159">
        <v>0.10601518805897511</v>
      </c>
      <c r="O159">
        <v>0.66259492536859443</v>
      </c>
      <c r="P159">
        <v>8.84597233908265E-2</v>
      </c>
      <c r="Q159">
        <v>0.55287327119266561</v>
      </c>
      <c r="R159">
        <v>0.11540306272139735</v>
      </c>
      <c r="S159">
        <v>0.72126914200873338</v>
      </c>
      <c r="T159">
        <v>0.14394996223976839</v>
      </c>
      <c r="U159">
        <v>0.11002459711025039</v>
      </c>
      <c r="V159">
        <v>0.68765373193906498</v>
      </c>
      <c r="W159">
        <v>0.14681597686412165</v>
      </c>
      <c r="X159">
        <v>0.91759985540076028</v>
      </c>
      <c r="Y159">
        <v>0.16848661286474886</v>
      </c>
      <c r="Z159">
        <v>1.0530413304046804</v>
      </c>
      <c r="AA159">
        <v>0.19627483219442757</v>
      </c>
      <c r="AB159">
        <v>1.2267177012151722</v>
      </c>
      <c r="AC159">
        <v>0.15202198852301477</v>
      </c>
      <c r="AD159">
        <v>0.95013742826884229</v>
      </c>
      <c r="AE159">
        <v>8.3078078148100948E-2</v>
      </c>
      <c r="AF159">
        <v>0.51923798842563096</v>
      </c>
      <c r="AG159">
        <v>0.20766834106520729</v>
      </c>
      <c r="AH159">
        <v>1.2979271316575456</v>
      </c>
      <c r="AI159">
        <v>8.84597233908265E-2</v>
      </c>
      <c r="AJ159">
        <v>0.55287327119266561</v>
      </c>
      <c r="AK159">
        <v>0.1534510579802105</v>
      </c>
      <c r="AL159">
        <v>0.95906911237631565</v>
      </c>
      <c r="AM159">
        <v>9.2345050099274004E-2</v>
      </c>
      <c r="AN159">
        <v>0.57715656312046248</v>
      </c>
      <c r="AO159">
        <v>0.10372286948956072</v>
      </c>
      <c r="AP159">
        <v>0.64826793430975449</v>
      </c>
      <c r="AQ159">
        <v>8.6809078464998302E-2</v>
      </c>
      <c r="AR159">
        <v>0.54255674040623936</v>
      </c>
    </row>
    <row r="160" spans="1:44" x14ac:dyDescent="0.3">
      <c r="B160">
        <v>20</v>
      </c>
      <c r="C160">
        <v>1</v>
      </c>
      <c r="D160">
        <v>40</v>
      </c>
      <c r="E160">
        <v>2.8</v>
      </c>
      <c r="F160">
        <v>40</v>
      </c>
      <c r="G160">
        <v>50</v>
      </c>
      <c r="H160">
        <v>5.4123833185813645E-2</v>
      </c>
      <c r="I160">
        <v>201.87731844431667</v>
      </c>
      <c r="J160">
        <v>0.6</v>
      </c>
      <c r="K160">
        <v>72.012286636750844</v>
      </c>
      <c r="L160">
        <v>158.66994646226618</v>
      </c>
      <c r="M160">
        <v>0.2</v>
      </c>
      <c r="N160">
        <v>0.13293722688521767</v>
      </c>
      <c r="O160">
        <v>0.66468613442608826</v>
      </c>
      <c r="P160">
        <v>0.12510105545756706</v>
      </c>
      <c r="Q160">
        <v>0.62550527728783523</v>
      </c>
      <c r="R160">
        <v>0.14470910643208187</v>
      </c>
      <c r="S160">
        <v>0.72354553216040929</v>
      </c>
      <c r="T160">
        <v>0.17120038289906145</v>
      </c>
      <c r="U160">
        <v>0.15562384444404753</v>
      </c>
      <c r="V160">
        <v>0.77811922222023766</v>
      </c>
      <c r="W160">
        <v>0.18007144400148026</v>
      </c>
      <c r="X160">
        <v>0.90035722000740126</v>
      </c>
      <c r="Y160">
        <v>0.22419839991855828</v>
      </c>
      <c r="Z160">
        <v>1.1209919995927913</v>
      </c>
      <c r="AA160">
        <v>0.23343060256706255</v>
      </c>
      <c r="AB160">
        <v>1.1671530128353127</v>
      </c>
      <c r="AC160">
        <v>0.1907473897720223</v>
      </c>
      <c r="AD160">
        <v>0.9537369488601114</v>
      </c>
      <c r="AE160">
        <v>0.1009383832860867</v>
      </c>
      <c r="AF160">
        <v>0.50469191643043343</v>
      </c>
      <c r="AG160">
        <v>0.24698095750215032</v>
      </c>
      <c r="AH160">
        <v>1.2349047875107515</v>
      </c>
      <c r="AI160">
        <v>0.12510105545756706</v>
      </c>
      <c r="AJ160">
        <v>0.62550527728783523</v>
      </c>
      <c r="AK160">
        <v>0.18573812221745606</v>
      </c>
      <c r="AL160">
        <v>0.92869061108728024</v>
      </c>
      <c r="AM160">
        <v>0.14024456075224623</v>
      </c>
      <c r="AN160">
        <v>0.70122280376123114</v>
      </c>
      <c r="AO160">
        <v>0.14823805135600987</v>
      </c>
      <c r="AP160">
        <v>0.74119025678004935</v>
      </c>
      <c r="AQ160">
        <v>0.12746128459020573</v>
      </c>
      <c r="AR160">
        <v>0.63730642295102857</v>
      </c>
    </row>
    <row r="161" spans="1:44" x14ac:dyDescent="0.3">
      <c r="B161">
        <v>20</v>
      </c>
      <c r="C161">
        <v>1</v>
      </c>
      <c r="D161">
        <v>40</v>
      </c>
      <c r="E161">
        <v>2.8</v>
      </c>
      <c r="F161">
        <v>40</v>
      </c>
      <c r="G161">
        <v>50</v>
      </c>
      <c r="H161">
        <v>5.4123833185813645E-2</v>
      </c>
      <c r="I161">
        <v>234.73684599685382</v>
      </c>
      <c r="J161">
        <v>0.54667792585011266</v>
      </c>
      <c r="K161">
        <v>72.012286636750844</v>
      </c>
      <c r="L161">
        <v>195.3693185025511</v>
      </c>
      <c r="M161">
        <v>0.24</v>
      </c>
      <c r="N161">
        <v>0.16046767336855042</v>
      </c>
      <c r="O161">
        <v>0.66861530570229344</v>
      </c>
      <c r="P161">
        <v>0.16257044022638076</v>
      </c>
      <c r="Q161">
        <v>0.67737683427658657</v>
      </c>
      <c r="R161">
        <v>0.17467743361645416</v>
      </c>
      <c r="S161">
        <v>0.72782264006855901</v>
      </c>
      <c r="T161">
        <v>0.19906663227381871</v>
      </c>
      <c r="U161">
        <v>0.21040866213409018</v>
      </c>
      <c r="V161">
        <v>0.82944430114091128</v>
      </c>
      <c r="W161">
        <v>0.2140784471193441</v>
      </c>
      <c r="X161">
        <v>0.89199352966393375</v>
      </c>
      <c r="Y161">
        <v>0.27808913893475723</v>
      </c>
      <c r="Z161">
        <v>1.1587047455614885</v>
      </c>
      <c r="AA161">
        <v>0.27142605136619774</v>
      </c>
      <c r="AB161">
        <v>1.1309418806924907</v>
      </c>
      <c r="AC161">
        <v>0.2303479413317418</v>
      </c>
      <c r="AD161">
        <v>0.9597830888822575</v>
      </c>
      <c r="AE161">
        <v>0.11920231113905515</v>
      </c>
      <c r="AF161">
        <v>0.49667629641272981</v>
      </c>
      <c r="AG161">
        <v>0.2871819946495327</v>
      </c>
      <c r="AH161">
        <v>1.1965916443730529</v>
      </c>
      <c r="AI161">
        <v>0.17191047654620123</v>
      </c>
      <c r="AJ161">
        <v>0.71629365227583852</v>
      </c>
      <c r="AK161">
        <v>0.21965789619450482</v>
      </c>
      <c r="AL161">
        <v>0.91524123414377012</v>
      </c>
      <c r="AM161">
        <v>0.18793260733874176</v>
      </c>
      <c r="AN161">
        <v>0.78305253057809066</v>
      </c>
      <c r="AO161">
        <v>0.1946991937016801</v>
      </c>
      <c r="AP161">
        <v>0.81124664042366712</v>
      </c>
      <c r="AQ161">
        <v>0.17045550889915961</v>
      </c>
      <c r="AR161">
        <v>0.71023128707983174</v>
      </c>
    </row>
    <row r="162" spans="1:44" x14ac:dyDescent="0.3">
      <c r="B162">
        <v>20</v>
      </c>
      <c r="C162">
        <v>1</v>
      </c>
      <c r="D162">
        <v>40</v>
      </c>
      <c r="E162">
        <v>2.8</v>
      </c>
      <c r="F162">
        <v>40</v>
      </c>
      <c r="G162">
        <v>50</v>
      </c>
      <c r="H162">
        <v>5.4123833185813645E-2</v>
      </c>
      <c r="I162">
        <v>267.23328484715302</v>
      </c>
      <c r="J162">
        <v>0.48392104164838801</v>
      </c>
      <c r="K162">
        <v>72.012286636750844</v>
      </c>
      <c r="L162">
        <v>232.38502408641426</v>
      </c>
      <c r="M162">
        <v>0.27</v>
      </c>
      <c r="N162">
        <v>0.18769391602333804</v>
      </c>
      <c r="O162">
        <v>0.69516265193828897</v>
      </c>
      <c r="P162">
        <v>0.19962579864415791</v>
      </c>
      <c r="Q162">
        <v>0.73935480979317736</v>
      </c>
      <c r="R162">
        <v>0.20431461906398254</v>
      </c>
      <c r="S162">
        <v>0.75672081134808344</v>
      </c>
      <c r="T162">
        <v>0.22662496729084392</v>
      </c>
      <c r="U162">
        <v>0.27269814592917929</v>
      </c>
      <c r="V162">
        <v>0.83935173070682922</v>
      </c>
      <c r="W162">
        <v>0.24770968224695533</v>
      </c>
      <c r="X162">
        <v>0.917443267581316</v>
      </c>
      <c r="Y162">
        <v>0.3294387779152495</v>
      </c>
      <c r="Z162">
        <v>1.2201436219083315</v>
      </c>
      <c r="AA162">
        <v>0.30900166095208281</v>
      </c>
      <c r="AB162">
        <v>1.1444505961188252</v>
      </c>
      <c r="AC162">
        <v>0.26951091773610536</v>
      </c>
      <c r="AD162">
        <v>0.99818858420779755</v>
      </c>
      <c r="AE162">
        <v>0.13726442763453225</v>
      </c>
      <c r="AF162">
        <v>0.50838676901678614</v>
      </c>
      <c r="AG162">
        <v>0.32693882144169539</v>
      </c>
      <c r="AH162">
        <v>1.2108845238581309</v>
      </c>
      <c r="AI162">
        <v>0.21995849770465148</v>
      </c>
      <c r="AJ162">
        <v>0.81466110260982028</v>
      </c>
      <c r="AK162">
        <v>0.25382800628511126</v>
      </c>
      <c r="AL162">
        <v>0.94010372698189348</v>
      </c>
      <c r="AM162">
        <v>0.23395156543887358</v>
      </c>
      <c r="AN162">
        <v>0.86648727940323544</v>
      </c>
      <c r="AO162">
        <v>0.24158172773614078</v>
      </c>
      <c r="AP162">
        <v>0.8947471397634843</v>
      </c>
      <c r="AQ162">
        <v>0.21439011949642539</v>
      </c>
      <c r="AR162">
        <v>0.79403747961639026</v>
      </c>
    </row>
    <row r="163" spans="1:44" x14ac:dyDescent="0.3">
      <c r="B163">
        <v>20</v>
      </c>
      <c r="C163">
        <v>1</v>
      </c>
      <c r="D163">
        <v>40</v>
      </c>
      <c r="E163">
        <v>2.8</v>
      </c>
      <c r="F163">
        <v>40</v>
      </c>
      <c r="G163">
        <v>50</v>
      </c>
      <c r="H163">
        <v>5.4123833185813645E-2</v>
      </c>
      <c r="I163">
        <v>301.0005341552851</v>
      </c>
      <c r="J163">
        <v>0.4187099776175458</v>
      </c>
      <c r="K163">
        <v>72.012286636750844</v>
      </c>
      <c r="L163">
        <v>270.84827122942283</v>
      </c>
      <c r="M163">
        <v>0.28999999999999998</v>
      </c>
      <c r="N163">
        <v>0.21598487207803357</v>
      </c>
      <c r="O163">
        <v>0.7447754209587365</v>
      </c>
      <c r="P163">
        <v>0.23813024929056317</v>
      </c>
      <c r="Q163">
        <v>0.82113879065711448</v>
      </c>
      <c r="R163">
        <v>0.23511080059046452</v>
      </c>
      <c r="S163">
        <v>0.81072689858780878</v>
      </c>
      <c r="T163">
        <v>0.25526100255993156</v>
      </c>
      <c r="U163">
        <v>0.34596775037385386</v>
      </c>
      <c r="V163">
        <v>0.88021035365493649</v>
      </c>
      <c r="W163">
        <v>0.28265610534045077</v>
      </c>
      <c r="X163">
        <v>0.97467622531189924</v>
      </c>
      <c r="Y163">
        <v>0.38142173644761601</v>
      </c>
      <c r="Z163">
        <v>1.315247367060745</v>
      </c>
      <c r="AA163">
        <v>0.34804670778434327</v>
      </c>
      <c r="AB163">
        <v>1.2001610613253217</v>
      </c>
      <c r="AC163">
        <v>0.31020540718421497</v>
      </c>
      <c r="AD163">
        <v>1.0696738178766034</v>
      </c>
      <c r="AE163">
        <v>0.1560328838812291</v>
      </c>
      <c r="AF163">
        <v>0.53804442717665213</v>
      </c>
      <c r="AG163">
        <v>0.36825038447712699</v>
      </c>
      <c r="AH163">
        <v>1.2698289119900932</v>
      </c>
      <c r="AI163">
        <v>0.26988549175756621</v>
      </c>
      <c r="AJ163">
        <v>0.93063962675022838</v>
      </c>
      <c r="AK163">
        <v>0.2898130796213047</v>
      </c>
      <c r="AL163">
        <v>0.99935544697001633</v>
      </c>
      <c r="AM163">
        <v>0.28070421823215952</v>
      </c>
      <c r="AN163">
        <v>0.96794558011089493</v>
      </c>
      <c r="AO163">
        <v>0.29128247755303299</v>
      </c>
      <c r="AP163">
        <v>1.0044223363897691</v>
      </c>
      <c r="AQ163">
        <v>0.26153408512418214</v>
      </c>
      <c r="AR163">
        <v>0.90184167284200745</v>
      </c>
    </row>
    <row r="164" spans="1:44" x14ac:dyDescent="0.3">
      <c r="B164">
        <v>20</v>
      </c>
      <c r="C164">
        <v>1</v>
      </c>
      <c r="D164">
        <v>40</v>
      </c>
      <c r="E164">
        <v>2.8</v>
      </c>
      <c r="F164">
        <v>40</v>
      </c>
      <c r="G164">
        <v>50</v>
      </c>
      <c r="H164">
        <v>5.4123833185813645E-2</v>
      </c>
      <c r="I164">
        <v>333.13388430334641</v>
      </c>
      <c r="J164">
        <v>0.35665428765271168</v>
      </c>
      <c r="K164">
        <v>72.012286636750844</v>
      </c>
      <c r="L164">
        <v>307.45039351067317</v>
      </c>
      <c r="M164">
        <v>0.32</v>
      </c>
      <c r="N164">
        <v>0.24290691090427621</v>
      </c>
      <c r="O164">
        <v>0.75908409657586318</v>
      </c>
      <c r="P164">
        <v>0.27477158135730378</v>
      </c>
      <c r="Q164">
        <v>0.85866119174157429</v>
      </c>
      <c r="R164">
        <v>0.26441684430114909</v>
      </c>
      <c r="S164">
        <v>0.82630263844109086</v>
      </c>
      <c r="T164">
        <v>0.28251142321922457</v>
      </c>
      <c r="U164">
        <v>0.42377828820333779</v>
      </c>
      <c r="V164">
        <v>0.88284819756007671</v>
      </c>
      <c r="W164">
        <v>0.31591157247780943</v>
      </c>
      <c r="X164">
        <v>0.98722366399315442</v>
      </c>
      <c r="Y164">
        <v>0.42997260953800504</v>
      </c>
      <c r="Z164">
        <v>1.3436644048062658</v>
      </c>
      <c r="AA164">
        <v>0.38520247815697833</v>
      </c>
      <c r="AB164">
        <v>1.2037577442405574</v>
      </c>
      <c r="AC164">
        <v>0.34893080843322255</v>
      </c>
      <c r="AD164">
        <v>1.0904087763538204</v>
      </c>
      <c r="AE164">
        <v>0.17389318901921488</v>
      </c>
      <c r="AF164">
        <v>0.5434162156850465</v>
      </c>
      <c r="AG164">
        <v>0.40756300091407011</v>
      </c>
      <c r="AH164">
        <v>1.2736343778564692</v>
      </c>
      <c r="AI164">
        <v>0.31739666351759815</v>
      </c>
      <c r="AJ164">
        <v>0.99186457349249424</v>
      </c>
      <c r="AK164">
        <v>0.32439945549780025</v>
      </c>
      <c r="AL164">
        <v>1.0137482984306259</v>
      </c>
      <c r="AM164">
        <v>0.32430026204481138</v>
      </c>
      <c r="AN164">
        <v>1.0134383188900355</v>
      </c>
      <c r="AO164">
        <v>0.33951038519893972</v>
      </c>
      <c r="AP164">
        <v>1.0609699537466866</v>
      </c>
      <c r="AQ164">
        <v>0.30780820022430028</v>
      </c>
      <c r="AR164">
        <v>0.96190062570093837</v>
      </c>
    </row>
    <row r="165" spans="1:44" x14ac:dyDescent="0.3">
      <c r="B165">
        <v>20</v>
      </c>
      <c r="C165">
        <v>1</v>
      </c>
      <c r="D165">
        <v>40</v>
      </c>
      <c r="E165">
        <v>2.8</v>
      </c>
      <c r="F165">
        <v>40</v>
      </c>
      <c r="G165">
        <v>50</v>
      </c>
      <c r="H165">
        <v>5.4123833185813645E-2</v>
      </c>
      <c r="I165">
        <v>348.7466984995794</v>
      </c>
      <c r="J165">
        <v>0.32650293546640863</v>
      </c>
      <c r="K165">
        <v>72.012286636750844</v>
      </c>
      <c r="L165">
        <v>325.23447552303179</v>
      </c>
      <c r="M165">
        <v>0.33</v>
      </c>
      <c r="N165">
        <v>0.25598767553171597</v>
      </c>
      <c r="O165">
        <v>0.77572022888398773</v>
      </c>
      <c r="P165">
        <v>0.29257471445187816</v>
      </c>
      <c r="Q165">
        <v>0.88659004379357009</v>
      </c>
      <c r="R165">
        <v>0.27865593898543639</v>
      </c>
      <c r="S165">
        <v>0.84441193631950417</v>
      </c>
      <c r="T165">
        <v>0.295751740601706</v>
      </c>
      <c r="U165">
        <v>0.46443110099199603</v>
      </c>
      <c r="V165">
        <v>0.89621739576274539</v>
      </c>
      <c r="W165">
        <v>0.33206959605867276</v>
      </c>
      <c r="X165">
        <v>1.0062715032080991</v>
      </c>
      <c r="Y165">
        <v>0.45331500142933767</v>
      </c>
      <c r="Z165">
        <v>1.3736818225131444</v>
      </c>
      <c r="AA165">
        <v>0.40325556432673298</v>
      </c>
      <c r="AB165">
        <v>1.2219865585658574</v>
      </c>
      <c r="AC165">
        <v>0.36774654011353114</v>
      </c>
      <c r="AD165">
        <v>1.1143834548894882</v>
      </c>
      <c r="AE165">
        <v>0.18257107739134346</v>
      </c>
      <c r="AF165">
        <v>0.55324568906467708</v>
      </c>
      <c r="AG165">
        <v>0.42666404618851683</v>
      </c>
      <c r="AH165">
        <v>1.2929213520864147</v>
      </c>
      <c r="AI165">
        <v>0.34048118764959079</v>
      </c>
      <c r="AJ165">
        <v>1.0317611746957296</v>
      </c>
      <c r="AK165">
        <v>0.34130165609476543</v>
      </c>
      <c r="AL165">
        <v>1.0342474427114103</v>
      </c>
      <c r="AM165">
        <v>0.34519771076126371</v>
      </c>
      <c r="AN165">
        <v>1.0460536689735263</v>
      </c>
      <c r="AO165">
        <v>0.36327125334443394</v>
      </c>
      <c r="AP165">
        <v>1.1008219798316179</v>
      </c>
      <c r="AQ165">
        <v>0.330788485580298</v>
      </c>
      <c r="AR165">
        <v>1.0023893502433272</v>
      </c>
    </row>
    <row r="166" spans="1:44" x14ac:dyDescent="0.3">
      <c r="A166" t="s">
        <v>41</v>
      </c>
      <c r="B166">
        <v>10</v>
      </c>
      <c r="C166">
        <v>1</v>
      </c>
      <c r="D166">
        <v>45</v>
      </c>
      <c r="E166">
        <v>2.8</v>
      </c>
      <c r="F166">
        <v>40</v>
      </c>
      <c r="G166">
        <v>45</v>
      </c>
      <c r="H166">
        <v>7.9598096831560491E-3</v>
      </c>
      <c r="I166">
        <v>310.30985357473827</v>
      </c>
      <c r="J166">
        <v>0.41678371270104997</v>
      </c>
      <c r="K166">
        <v>372.60441372747022</v>
      </c>
      <c r="L166">
        <v>155.01440265260516</v>
      </c>
      <c r="M166">
        <v>0.15</v>
      </c>
      <c r="N166">
        <v>0.16612686256381681</v>
      </c>
      <c r="O166">
        <v>1.1075124170921122</v>
      </c>
      <c r="P166">
        <v>0.18861841261242762</v>
      </c>
      <c r="Q166">
        <v>1.2574560840828508</v>
      </c>
      <c r="R166">
        <v>0.29056052556803114</v>
      </c>
      <c r="S166">
        <v>1.9370701704535409</v>
      </c>
      <c r="T166">
        <v>0.26142925199470496</v>
      </c>
      <c r="U166">
        <v>0.17150293522078491</v>
      </c>
      <c r="V166">
        <v>1.1433529014718995</v>
      </c>
      <c r="W166">
        <v>0.2908980476731724</v>
      </c>
      <c r="X166">
        <v>1.9393203178211493</v>
      </c>
      <c r="Y166">
        <v>0.25773862301209477</v>
      </c>
      <c r="Z166">
        <v>1.7182574867472986</v>
      </c>
      <c r="AA166">
        <v>0.33890172186871836</v>
      </c>
      <c r="AB166">
        <v>2.2593448124581226</v>
      </c>
      <c r="AC166">
        <v>0.2211828295376089</v>
      </c>
      <c r="AD166">
        <v>1.4745521969173927</v>
      </c>
      <c r="AE166">
        <v>0.16629907547758749</v>
      </c>
      <c r="AF166">
        <v>1.1086605031839167</v>
      </c>
      <c r="AG166">
        <v>0.29784780694114654</v>
      </c>
      <c r="AH166">
        <v>1.9856520462743104</v>
      </c>
      <c r="AI166">
        <v>0.27501332580010368</v>
      </c>
      <c r="AJ166">
        <v>1.8334221720006914</v>
      </c>
      <c r="AK166">
        <v>0.31840171066058998</v>
      </c>
      <c r="AL166">
        <v>2.1226780710706001</v>
      </c>
      <c r="AM166">
        <v>0.30384449137941366</v>
      </c>
      <c r="AN166">
        <v>2.0256299425294246</v>
      </c>
      <c r="AO166">
        <v>0.19550385893708547</v>
      </c>
      <c r="AP166">
        <v>1.3033590595805697</v>
      </c>
      <c r="AQ166">
        <v>0.17545639935142374</v>
      </c>
      <c r="AR166">
        <v>1.1697093290094915</v>
      </c>
    </row>
    <row r="167" spans="1:44" x14ac:dyDescent="0.3">
      <c r="B167">
        <v>10</v>
      </c>
      <c r="C167">
        <v>1</v>
      </c>
      <c r="D167">
        <v>45</v>
      </c>
      <c r="E167">
        <v>2.8</v>
      </c>
      <c r="F167">
        <v>40</v>
      </c>
      <c r="G167">
        <v>45</v>
      </c>
      <c r="H167">
        <v>7.9598096831560491E-3</v>
      </c>
      <c r="I167">
        <v>330.28688277482877</v>
      </c>
      <c r="J167">
        <v>0.37923759978480853</v>
      </c>
      <c r="K167">
        <v>372.60441372747022</v>
      </c>
      <c r="L167">
        <v>188.98127924359721</v>
      </c>
      <c r="M167">
        <v>0.19</v>
      </c>
      <c r="N167">
        <v>0.20438424701114277</v>
      </c>
      <c r="O167">
        <v>1.0757065632165408</v>
      </c>
      <c r="P167">
        <v>0.20076122887503028</v>
      </c>
      <c r="Q167">
        <v>1.0566380467106857</v>
      </c>
      <c r="R167">
        <v>0.30926613880202458</v>
      </c>
      <c r="S167">
        <v>1.6277165200106556</v>
      </c>
      <c r="T167">
        <v>0.27825946135058727</v>
      </c>
      <c r="U167">
        <v>0.19429564972313279</v>
      </c>
      <c r="V167">
        <v>1.0226086827533305</v>
      </c>
      <c r="W167">
        <v>0.32823091625474282</v>
      </c>
      <c r="X167">
        <v>1.7275311381828569</v>
      </c>
      <c r="Y167">
        <v>0.30422212799507387</v>
      </c>
      <c r="Z167">
        <v>1.601169094710915</v>
      </c>
      <c r="AA167">
        <v>0.36071942928515954</v>
      </c>
      <c r="AB167">
        <v>1.8985233120271554</v>
      </c>
      <c r="AC167">
        <v>0.23782468212703708</v>
      </c>
      <c r="AD167">
        <v>1.2517088533001952</v>
      </c>
      <c r="AE167">
        <v>0.17827498836625749</v>
      </c>
      <c r="AF167">
        <v>0.93828941245398678</v>
      </c>
      <c r="AG167">
        <v>0.31702255846096294</v>
      </c>
      <c r="AH167">
        <v>1.6685397813734892</v>
      </c>
      <c r="AI167">
        <v>0.31156255576653796</v>
      </c>
      <c r="AJ167">
        <v>1.6398029250870418</v>
      </c>
      <c r="AK167">
        <v>0.34445024003398478</v>
      </c>
      <c r="AL167">
        <v>1.8128960001788672</v>
      </c>
      <c r="AM167">
        <v>0.33569680133051544</v>
      </c>
      <c r="AN167">
        <v>1.7668252701606075</v>
      </c>
      <c r="AO167">
        <v>0.20932170494474242</v>
      </c>
      <c r="AP167">
        <v>1.1016931839196968</v>
      </c>
      <c r="AQ167">
        <v>0.18905872998216522</v>
      </c>
      <c r="AR167">
        <v>0.99504594727455375</v>
      </c>
    </row>
    <row r="168" spans="1:44" x14ac:dyDescent="0.3">
      <c r="B168">
        <v>10</v>
      </c>
      <c r="C168">
        <v>1</v>
      </c>
      <c r="D168">
        <v>45</v>
      </c>
      <c r="E168">
        <v>2.8</v>
      </c>
      <c r="F168">
        <v>40</v>
      </c>
      <c r="G168">
        <v>45</v>
      </c>
      <c r="H168">
        <v>7.9598096831560491E-3</v>
      </c>
      <c r="I168">
        <v>334.28228861484689</v>
      </c>
      <c r="J168">
        <v>0.37172837720156016</v>
      </c>
      <c r="K168">
        <v>372.60441372747022</v>
      </c>
      <c r="L168">
        <v>195.77465456179567</v>
      </c>
      <c r="M168">
        <v>0.2</v>
      </c>
      <c r="N168">
        <v>0.21203572390060799</v>
      </c>
      <c r="O168">
        <v>1.0601786195030398</v>
      </c>
      <c r="P168">
        <v>0.20318979212755081</v>
      </c>
      <c r="Q168">
        <v>1.0159489606377541</v>
      </c>
      <c r="R168">
        <v>0.31300726144882329</v>
      </c>
      <c r="S168">
        <v>1.5650363072441165</v>
      </c>
      <c r="T168">
        <v>0.28162550322176372</v>
      </c>
      <c r="U168">
        <v>0.19902478258661369</v>
      </c>
      <c r="V168">
        <v>0.99512391293306834</v>
      </c>
      <c r="W168">
        <v>0.33569748997105692</v>
      </c>
      <c r="X168">
        <v>1.6784874498552844</v>
      </c>
      <c r="Y168">
        <v>0.31331115674231313</v>
      </c>
      <c r="Z168">
        <v>1.5665557837115656</v>
      </c>
      <c r="AA168">
        <v>0.36508297076844781</v>
      </c>
      <c r="AB168">
        <v>1.825414853842239</v>
      </c>
      <c r="AC168">
        <v>0.24115305264492271</v>
      </c>
      <c r="AD168">
        <v>1.2057652632246134</v>
      </c>
      <c r="AE168">
        <v>0.18067017094399146</v>
      </c>
      <c r="AF168">
        <v>0.90335085471995724</v>
      </c>
      <c r="AG168">
        <v>0.32085750876492619</v>
      </c>
      <c r="AH168">
        <v>1.6042875438246309</v>
      </c>
      <c r="AI168">
        <v>0.31914595109013499</v>
      </c>
      <c r="AJ168">
        <v>1.5957297554506749</v>
      </c>
      <c r="AK168">
        <v>0.34970357577048489</v>
      </c>
      <c r="AL168">
        <v>1.7485178788524243</v>
      </c>
      <c r="AM168">
        <v>0.34214094285073726</v>
      </c>
      <c r="AN168">
        <v>1.7107047142536862</v>
      </c>
      <c r="AO168">
        <v>0.21209446316628466</v>
      </c>
      <c r="AP168">
        <v>1.0604723158314233</v>
      </c>
      <c r="AQ168">
        <v>0.19181268270266646</v>
      </c>
      <c r="AR168">
        <v>0.95906341351333224</v>
      </c>
    </row>
    <row r="169" spans="1:44" x14ac:dyDescent="0.3">
      <c r="B169">
        <v>10</v>
      </c>
      <c r="C169">
        <v>1</v>
      </c>
      <c r="D169">
        <v>45</v>
      </c>
      <c r="E169">
        <v>2.8</v>
      </c>
      <c r="F169">
        <v>40</v>
      </c>
      <c r="G169">
        <v>45</v>
      </c>
      <c r="H169">
        <v>7.9598096831560491E-3</v>
      </c>
      <c r="I169">
        <v>351.15177993936766</v>
      </c>
      <c r="J169">
        <v>0.34002277073895637</v>
      </c>
      <c r="K169">
        <v>372.60441372747022</v>
      </c>
      <c r="L169">
        <v>224.4577947941888</v>
      </c>
      <c r="M169">
        <v>0.23</v>
      </c>
      <c r="N169">
        <v>0.24434195965612746</v>
      </c>
      <c r="O169">
        <v>1.0623563463309889</v>
      </c>
      <c r="P169">
        <v>0.21344372586041524</v>
      </c>
      <c r="Q169">
        <v>0.92801619939310975</v>
      </c>
      <c r="R169">
        <v>0.32880311262419548</v>
      </c>
      <c r="S169">
        <v>1.4295787505399804</v>
      </c>
      <c r="T169">
        <v>0.2958376800111755</v>
      </c>
      <c r="U169">
        <v>0.21961913301830313</v>
      </c>
      <c r="V169">
        <v>0.95486579573175268</v>
      </c>
      <c r="W169">
        <v>0.3672230234399384</v>
      </c>
      <c r="X169">
        <v>1.5966218410432105</v>
      </c>
      <c r="Y169">
        <v>0.3510126453644552</v>
      </c>
      <c r="Z169">
        <v>1.5261419363671964</v>
      </c>
      <c r="AA169">
        <v>0.38350681258677577</v>
      </c>
      <c r="AB169">
        <v>1.6674209242903293</v>
      </c>
      <c r="AC169">
        <v>0.25520617260932865</v>
      </c>
      <c r="AD169">
        <v>1.1095920548231679</v>
      </c>
      <c r="AE169">
        <v>0.19078316404997939</v>
      </c>
      <c r="AF169">
        <v>0.82949201760860602</v>
      </c>
      <c r="AG169">
        <v>0.3370495211594377</v>
      </c>
      <c r="AH169">
        <v>1.4654327006932073</v>
      </c>
      <c r="AI169">
        <v>0.35216999699127649</v>
      </c>
      <c r="AJ169">
        <v>1.5311738999620716</v>
      </c>
      <c r="AK169">
        <v>0.37202957064007447</v>
      </c>
      <c r="AL169">
        <v>1.6175198723481499</v>
      </c>
      <c r="AM169">
        <v>0.36959248283878465</v>
      </c>
      <c r="AN169">
        <v>1.6069238384294984</v>
      </c>
      <c r="AO169">
        <v>0.22383543324929714</v>
      </c>
      <c r="AP169">
        <v>0.97319753586650926</v>
      </c>
      <c r="AQ169">
        <v>0.2035635428672401</v>
      </c>
      <c r="AR169">
        <v>0.88505888203147864</v>
      </c>
    </row>
    <row r="170" spans="1:44" x14ac:dyDescent="0.3">
      <c r="B170">
        <v>10</v>
      </c>
      <c r="C170">
        <v>1</v>
      </c>
      <c r="D170">
        <v>45</v>
      </c>
      <c r="E170">
        <v>2.8</v>
      </c>
      <c r="F170">
        <v>40</v>
      </c>
      <c r="G170">
        <v>45</v>
      </c>
      <c r="H170">
        <v>7.9598096831560491E-3</v>
      </c>
      <c r="I170">
        <v>362.69406347719769</v>
      </c>
      <c r="J170">
        <v>0.31832946105401683</v>
      </c>
      <c r="K170">
        <v>372.60441372747022</v>
      </c>
      <c r="L170">
        <v>244.08310126898419</v>
      </c>
      <c r="M170">
        <v>0.25</v>
      </c>
      <c r="N170">
        <v>0.26644622622569353</v>
      </c>
      <c r="O170">
        <v>1.0657849049027741</v>
      </c>
      <c r="P170">
        <v>0.22319790578213533</v>
      </c>
      <c r="Q170">
        <v>0.89279162312854132</v>
      </c>
      <c r="R170">
        <v>0.33961080027050283</v>
      </c>
      <c r="S170">
        <v>1.3584432010820113</v>
      </c>
      <c r="T170">
        <v>0.30556180097235186</v>
      </c>
      <c r="U170">
        <v>0.2342940819351301</v>
      </c>
      <c r="V170">
        <v>0.9371763277405204</v>
      </c>
      <c r="W170">
        <v>0.38879312528706789</v>
      </c>
      <c r="X170">
        <v>1.5551725011482715</v>
      </c>
      <c r="Y170">
        <v>0.37623620174228273</v>
      </c>
      <c r="Z170">
        <v>1.5049448069691309</v>
      </c>
      <c r="AA170">
        <v>0.39611259909405283</v>
      </c>
      <c r="AB170">
        <v>1.5844503963762113</v>
      </c>
      <c r="AC170">
        <v>0.26482146521655381</v>
      </c>
      <c r="AD170">
        <v>1.0592858608662152</v>
      </c>
      <c r="AE170">
        <v>0.1977025803856553</v>
      </c>
      <c r="AF170">
        <v>0.79081032154262121</v>
      </c>
      <c r="AG170">
        <v>0.34812826648199824</v>
      </c>
      <c r="AH170">
        <v>1.392513065927993</v>
      </c>
      <c r="AI170">
        <v>0.3771548125030415</v>
      </c>
      <c r="AJ170">
        <v>1.508619250012166</v>
      </c>
      <c r="AK170">
        <v>0.38743080156514625</v>
      </c>
      <c r="AL170">
        <v>1.549723206260585</v>
      </c>
      <c r="AM170">
        <v>0.38992850264964901</v>
      </c>
      <c r="AN170">
        <v>1.559714010598596</v>
      </c>
      <c r="AO170">
        <v>0.23463852108924321</v>
      </c>
      <c r="AP170">
        <v>0.93855408435697285</v>
      </c>
      <c r="AQ170">
        <v>0.21445658929996309</v>
      </c>
      <c r="AR170">
        <v>0.85782635719985234</v>
      </c>
    </row>
    <row r="171" spans="1:44" x14ac:dyDescent="0.3">
      <c r="B171">
        <v>10</v>
      </c>
      <c r="C171">
        <v>1</v>
      </c>
      <c r="D171">
        <v>45</v>
      </c>
      <c r="E171">
        <v>2.8</v>
      </c>
      <c r="F171">
        <v>40</v>
      </c>
      <c r="G171">
        <v>45</v>
      </c>
      <c r="H171">
        <v>7.9598096831560491E-3</v>
      </c>
      <c r="I171">
        <v>375.5681489617005</v>
      </c>
      <c r="J171">
        <v>0.29413307717466108</v>
      </c>
      <c r="K171">
        <v>372.60441372747022</v>
      </c>
      <c r="L171">
        <v>265.97286618317912</v>
      </c>
      <c r="M171">
        <v>0.28000000000000003</v>
      </c>
      <c r="N171">
        <v>0.29110098509174809</v>
      </c>
      <c r="O171">
        <v>1.0396463753276717</v>
      </c>
      <c r="P171">
        <v>0.24276133198299524</v>
      </c>
      <c r="Q171">
        <v>0.86700475708212577</v>
      </c>
      <c r="R171">
        <v>0.35166552879907637</v>
      </c>
      <c r="S171">
        <v>1.2559483171395582</v>
      </c>
      <c r="T171">
        <v>0.31640793589058713</v>
      </c>
      <c r="U171">
        <v>0.25122215219469318</v>
      </c>
      <c r="V171">
        <v>0.89722197212390409</v>
      </c>
      <c r="W171">
        <v>0.41285208503963555</v>
      </c>
      <c r="X171">
        <v>1.4744717322844125</v>
      </c>
      <c r="Y171">
        <v>0.40388198949836024</v>
      </c>
      <c r="Z171">
        <v>1.4424356767798578</v>
      </c>
      <c r="AA171">
        <v>0.41017289942909274</v>
      </c>
      <c r="AB171">
        <v>1.4649032122467596</v>
      </c>
      <c r="AC171">
        <v>0.27554621466307422</v>
      </c>
      <c r="AD171">
        <v>0.98409362379669352</v>
      </c>
      <c r="AE171">
        <v>0.20542039091390926</v>
      </c>
      <c r="AF171">
        <v>0.73364425326396154</v>
      </c>
      <c r="AG171">
        <v>0.36048532857254661</v>
      </c>
      <c r="AH171">
        <v>1.2874476020448091</v>
      </c>
      <c r="AI171">
        <v>0.40994362049156363</v>
      </c>
      <c r="AJ171">
        <v>1.4640843588984414</v>
      </c>
      <c r="AK171">
        <v>0.40471874382077438</v>
      </c>
      <c r="AL171">
        <v>1.4454240850741942</v>
      </c>
      <c r="AM171">
        <v>0.41673683085261981</v>
      </c>
      <c r="AN171">
        <v>1.4883458244736421</v>
      </c>
      <c r="AO171">
        <v>0.25540204042553583</v>
      </c>
      <c r="AP171">
        <v>0.91215014437691355</v>
      </c>
      <c r="AQ171">
        <v>0.23540018910591087</v>
      </c>
      <c r="AR171">
        <v>0.84071496109253874</v>
      </c>
    </row>
    <row r="172" spans="1:44" x14ac:dyDescent="0.3">
      <c r="B172">
        <v>10</v>
      </c>
      <c r="C172">
        <v>1</v>
      </c>
      <c r="D172">
        <v>45</v>
      </c>
      <c r="E172">
        <v>2.8</v>
      </c>
      <c r="F172">
        <v>40</v>
      </c>
      <c r="G172">
        <v>45</v>
      </c>
      <c r="H172">
        <v>7.9598096831560491E-3</v>
      </c>
      <c r="I172">
        <v>387.11043249953048</v>
      </c>
      <c r="J172">
        <v>0.27243976748972165</v>
      </c>
      <c r="K172">
        <v>372.60441372747022</v>
      </c>
      <c r="L172">
        <v>285.59817265797443</v>
      </c>
      <c r="M172">
        <v>0.31</v>
      </c>
      <c r="N172">
        <v>0.31320525166131397</v>
      </c>
      <c r="O172">
        <v>1.0103395214881097</v>
      </c>
      <c r="P172">
        <v>0.26030095547342114</v>
      </c>
      <c r="Q172">
        <v>0.839680501527165</v>
      </c>
      <c r="R172">
        <v>0.36247321644538366</v>
      </c>
      <c r="S172">
        <v>1.1692684401463989</v>
      </c>
      <c r="T172">
        <v>0.32613205685176361</v>
      </c>
      <c r="U172">
        <v>0.26690098443294497</v>
      </c>
      <c r="V172">
        <v>0.86097091752562893</v>
      </c>
      <c r="W172">
        <v>0.43442218688676498</v>
      </c>
      <c r="X172">
        <v>1.4013618931831129</v>
      </c>
      <c r="Y172">
        <v>0.42827084631765316</v>
      </c>
      <c r="Z172">
        <v>1.3815188590892038</v>
      </c>
      <c r="AA172">
        <v>0.4227786859363698</v>
      </c>
      <c r="AB172">
        <v>1.3638022126979672</v>
      </c>
      <c r="AC172">
        <v>0.28516150727029932</v>
      </c>
      <c r="AD172">
        <v>0.91987582990419137</v>
      </c>
      <c r="AE172">
        <v>0.21233980724958523</v>
      </c>
      <c r="AF172">
        <v>0.68496712015995231</v>
      </c>
      <c r="AG172">
        <v>0.37156407389510704</v>
      </c>
      <c r="AH172">
        <v>1.1985937867584098</v>
      </c>
      <c r="AI172">
        <v>0.43934048282610039</v>
      </c>
      <c r="AJ172">
        <v>1.4172273639551625</v>
      </c>
      <c r="AK172">
        <v>0.42030920685827622</v>
      </c>
      <c r="AL172">
        <v>1.3558361511557298</v>
      </c>
      <c r="AM172">
        <v>0.44049465646493696</v>
      </c>
      <c r="AN172">
        <v>1.420950504725603</v>
      </c>
      <c r="AO172">
        <v>0.27404464713713222</v>
      </c>
      <c r="AP172">
        <v>0.88401499076494272</v>
      </c>
      <c r="AQ172">
        <v>0.25427574013583626</v>
      </c>
      <c r="AR172">
        <v>0.82024432301882666</v>
      </c>
    </row>
    <row r="173" spans="1:44" x14ac:dyDescent="0.3">
      <c r="B173">
        <v>10</v>
      </c>
      <c r="C173">
        <v>1</v>
      </c>
      <c r="D173">
        <v>45</v>
      </c>
      <c r="E173">
        <v>2.8</v>
      </c>
      <c r="F173">
        <v>40</v>
      </c>
      <c r="G173">
        <v>45</v>
      </c>
      <c r="H173">
        <v>7.9598096831560491E-3</v>
      </c>
      <c r="I173">
        <v>400.87238594848156</v>
      </c>
      <c r="J173">
        <v>0.24657466748075563</v>
      </c>
      <c r="K173">
        <v>372.60441372747022</v>
      </c>
      <c r="L173">
        <v>308.99757653176869</v>
      </c>
      <c r="M173">
        <v>0.36</v>
      </c>
      <c r="N173">
        <v>0.33956033872502711</v>
      </c>
      <c r="O173">
        <v>0.94322316312507537</v>
      </c>
      <c r="P173">
        <v>0.28121358348123665</v>
      </c>
      <c r="Q173">
        <v>0.78114884300343512</v>
      </c>
      <c r="R173">
        <v>0.37535930556213459</v>
      </c>
      <c r="S173">
        <v>1.0426647376725962</v>
      </c>
      <c r="T173">
        <v>0.33772620107470475</v>
      </c>
      <c r="U173">
        <v>0.28621520812574058</v>
      </c>
      <c r="V173">
        <v>0.79504224479372387</v>
      </c>
      <c r="W173">
        <v>0.46014038524295764</v>
      </c>
      <c r="X173">
        <v>1.2781677367859934</v>
      </c>
      <c r="Y173">
        <v>0.45690600461126074</v>
      </c>
      <c r="Z173">
        <v>1.2691833461423909</v>
      </c>
      <c r="AA173">
        <v>0.43780866215658465</v>
      </c>
      <c r="AB173">
        <v>1.2161351726571796</v>
      </c>
      <c r="AC173">
        <v>0.29662589460968308</v>
      </c>
      <c r="AD173">
        <v>0.82396081836023083</v>
      </c>
      <c r="AE173">
        <v>0.22058988057289108</v>
      </c>
      <c r="AF173">
        <v>0.61274966825803079</v>
      </c>
      <c r="AG173">
        <v>0.38477334716431372</v>
      </c>
      <c r="AH173">
        <v>1.0688148532342048</v>
      </c>
      <c r="AI173">
        <v>0.47439058791727873</v>
      </c>
      <c r="AJ173">
        <v>1.3177516331035521</v>
      </c>
      <c r="AK173">
        <v>0.43900154772071126</v>
      </c>
      <c r="AL173">
        <v>1.2194487436686425</v>
      </c>
      <c r="AM173">
        <v>0.46849395192920457</v>
      </c>
      <c r="AN173">
        <v>1.3013720886922349</v>
      </c>
      <c r="AO173">
        <v>0.29630577998568014</v>
      </c>
      <c r="AP173">
        <v>0.82307161107133375</v>
      </c>
      <c r="AQ173">
        <v>0.27690295546779398</v>
      </c>
      <c r="AR173">
        <v>0.76917487629942771</v>
      </c>
    </row>
    <row r="174" spans="1:44" x14ac:dyDescent="0.3">
      <c r="A174" t="s">
        <v>42</v>
      </c>
      <c r="B174">
        <v>10</v>
      </c>
      <c r="C174">
        <v>1</v>
      </c>
      <c r="D174">
        <v>45</v>
      </c>
      <c r="E174">
        <v>2.8</v>
      </c>
      <c r="F174">
        <v>40</v>
      </c>
      <c r="G174">
        <v>45</v>
      </c>
      <c r="H174">
        <v>7.9598096831560491E-3</v>
      </c>
      <c r="I174">
        <v>308.9780516280656</v>
      </c>
      <c r="J174">
        <v>0.41928678689546595</v>
      </c>
      <c r="K174">
        <v>372.60441372747022</v>
      </c>
      <c r="L174">
        <v>152.74994421320577</v>
      </c>
      <c r="M174">
        <v>0.16</v>
      </c>
      <c r="N174">
        <v>0.16357637026732849</v>
      </c>
      <c r="O174">
        <v>1.0223523141708031</v>
      </c>
      <c r="P174">
        <v>0.18780889152825411</v>
      </c>
      <c r="Q174">
        <v>1.1738055720515881</v>
      </c>
      <c r="R174">
        <v>0.28931348468576495</v>
      </c>
      <c r="S174">
        <v>1.8082092792860309</v>
      </c>
      <c r="T174">
        <v>0.26030723803764622</v>
      </c>
      <c r="U174">
        <v>0.17003396609485399</v>
      </c>
      <c r="V174">
        <v>1.0627122880928375</v>
      </c>
      <c r="W174">
        <v>0.28840918976773444</v>
      </c>
      <c r="X174">
        <v>1.8025574360483403</v>
      </c>
      <c r="Y174">
        <v>0.25457315086049842</v>
      </c>
      <c r="Z174">
        <v>1.5910821928781151</v>
      </c>
      <c r="AA174">
        <v>0.33744720804095568</v>
      </c>
      <c r="AB174">
        <v>2.1090450502559728</v>
      </c>
      <c r="AC174">
        <v>0.22007337269831376</v>
      </c>
      <c r="AD174">
        <v>1.3754585793644609</v>
      </c>
      <c r="AE174">
        <v>0.16550068128500958</v>
      </c>
      <c r="AF174">
        <v>1.0343792580313098</v>
      </c>
      <c r="AG174">
        <v>0.29656949017315881</v>
      </c>
      <c r="AH174">
        <v>1.8535593135822426</v>
      </c>
      <c r="AI174">
        <v>0.27265776212243337</v>
      </c>
      <c r="AJ174">
        <v>1.7041110132652084</v>
      </c>
      <c r="AK174">
        <v>0.31667890999587267</v>
      </c>
      <c r="AL174">
        <v>1.9792431874742042</v>
      </c>
      <c r="AM174">
        <v>0.30174430777600919</v>
      </c>
      <c r="AN174">
        <v>1.8859019236000574</v>
      </c>
      <c r="AO174">
        <v>0.19458539187583748</v>
      </c>
      <c r="AP174">
        <v>1.2161586992239843</v>
      </c>
      <c r="AQ174">
        <v>0.17455949926325665</v>
      </c>
      <c r="AR174">
        <v>1.0909968703953541</v>
      </c>
    </row>
    <row r="175" spans="1:44" x14ac:dyDescent="0.3">
      <c r="B175">
        <v>10</v>
      </c>
      <c r="C175">
        <v>1</v>
      </c>
      <c r="D175">
        <v>45</v>
      </c>
      <c r="E175">
        <v>2.8</v>
      </c>
      <c r="F175">
        <v>40</v>
      </c>
      <c r="G175">
        <v>45</v>
      </c>
      <c r="H175">
        <v>7.9598096831560491E-3</v>
      </c>
      <c r="I175">
        <v>322.29607109479258</v>
      </c>
      <c r="J175">
        <v>0.39425604495130495</v>
      </c>
      <c r="K175">
        <v>372.60441372747022</v>
      </c>
      <c r="L175">
        <v>175.39452860720044</v>
      </c>
      <c r="M175">
        <v>0.18</v>
      </c>
      <c r="N175">
        <v>0.1890812932322124</v>
      </c>
      <c r="O175">
        <v>1.0504516290678467</v>
      </c>
      <c r="P175">
        <v>0.19590410236998923</v>
      </c>
      <c r="Q175">
        <v>1.088356124277718</v>
      </c>
      <c r="R175">
        <v>0.30178389350842721</v>
      </c>
      <c r="S175">
        <v>1.6765771861579291</v>
      </c>
      <c r="T175">
        <v>0.27152737760823437</v>
      </c>
      <c r="U175">
        <v>0.18500797395918225</v>
      </c>
      <c r="V175">
        <v>1.0278220775510125</v>
      </c>
      <c r="W175">
        <v>0.31329776882211469</v>
      </c>
      <c r="X175">
        <v>1.7405431601228594</v>
      </c>
      <c r="Y175">
        <v>0.28584412159935541</v>
      </c>
      <c r="Z175">
        <v>1.5880228977741968</v>
      </c>
      <c r="AA175">
        <v>0.35199234631858312</v>
      </c>
      <c r="AB175">
        <v>1.9555130351032397</v>
      </c>
      <c r="AC175">
        <v>0.23116794109126582</v>
      </c>
      <c r="AD175">
        <v>1.2842663393959213</v>
      </c>
      <c r="AE175">
        <v>0.1734846232107895</v>
      </c>
      <c r="AF175">
        <v>0.96380346228216396</v>
      </c>
      <c r="AG175">
        <v>0.30935265785303639</v>
      </c>
      <c r="AH175">
        <v>1.7186258769613134</v>
      </c>
      <c r="AI175">
        <v>0.29666931444965422</v>
      </c>
      <c r="AJ175">
        <v>1.6481628580536347</v>
      </c>
      <c r="AK175">
        <v>0.33398590180871607</v>
      </c>
      <c r="AL175">
        <v>1.855477232270645</v>
      </c>
      <c r="AM175">
        <v>0.32287988638876985</v>
      </c>
      <c r="AN175">
        <v>1.7937771466042771</v>
      </c>
      <c r="AO175">
        <v>0.20378537752166878</v>
      </c>
      <c r="AP175">
        <v>1.1321409862314933</v>
      </c>
      <c r="AQ175">
        <v>0.18358431113551574</v>
      </c>
      <c r="AR175">
        <v>1.0199128396417541</v>
      </c>
    </row>
    <row r="176" spans="1:44" x14ac:dyDescent="0.3">
      <c r="B176">
        <v>10</v>
      </c>
      <c r="C176">
        <v>1</v>
      </c>
      <c r="D176">
        <v>45</v>
      </c>
      <c r="E176">
        <v>2.8</v>
      </c>
      <c r="F176">
        <v>40</v>
      </c>
      <c r="G176">
        <v>45</v>
      </c>
      <c r="H176">
        <v>7.9598096831560491E-3</v>
      </c>
      <c r="I176">
        <v>334.72622259707111</v>
      </c>
      <c r="J176">
        <v>0.37089401913675479</v>
      </c>
      <c r="K176">
        <v>372.60441372747022</v>
      </c>
      <c r="L176">
        <v>196.52947404159548</v>
      </c>
      <c r="M176">
        <v>0.2</v>
      </c>
      <c r="N176">
        <v>0.21288588799943745</v>
      </c>
      <c r="O176">
        <v>1.0644294399971872</v>
      </c>
      <c r="P176">
        <v>0.203459632488942</v>
      </c>
      <c r="Q176">
        <v>1.0172981624447099</v>
      </c>
      <c r="R176">
        <v>0.31342294174291202</v>
      </c>
      <c r="S176">
        <v>1.56711470871456</v>
      </c>
      <c r="T176">
        <v>0.28199950787411665</v>
      </c>
      <c r="U176">
        <v>0.19955375187521049</v>
      </c>
      <c r="V176">
        <v>0.99776875937605236</v>
      </c>
      <c r="W176">
        <v>0.33652710927286961</v>
      </c>
      <c r="X176">
        <v>1.6826355463643479</v>
      </c>
      <c r="Y176">
        <v>0.31431708743144865</v>
      </c>
      <c r="Z176">
        <v>1.5715854371572431</v>
      </c>
      <c r="AA176">
        <v>0.36556780871103534</v>
      </c>
      <c r="AB176">
        <v>1.8278390435551766</v>
      </c>
      <c r="AC176">
        <v>0.24152287159135447</v>
      </c>
      <c r="AD176">
        <v>1.2076143579567722</v>
      </c>
      <c r="AE176">
        <v>0.18093630234151747</v>
      </c>
      <c r="AF176">
        <v>0.90468151170758737</v>
      </c>
      <c r="AG176">
        <v>0.32128361435425545</v>
      </c>
      <c r="AH176">
        <v>1.6064180717712773</v>
      </c>
      <c r="AI176">
        <v>0.31999417915757805</v>
      </c>
      <c r="AJ176">
        <v>1.5999708957878902</v>
      </c>
      <c r="AK176">
        <v>0.35028812485030603</v>
      </c>
      <c r="AL176">
        <v>1.7514406242515301</v>
      </c>
      <c r="AM176">
        <v>0.34285837937506891</v>
      </c>
      <c r="AN176">
        <v>1.7142918968753444</v>
      </c>
      <c r="AO176">
        <v>0.21240273648760852</v>
      </c>
      <c r="AP176">
        <v>1.0620136824380426</v>
      </c>
      <c r="AQ176">
        <v>0.19211936647396399</v>
      </c>
      <c r="AR176">
        <v>0.96059683236981996</v>
      </c>
    </row>
    <row r="177" spans="1:44" x14ac:dyDescent="0.3">
      <c r="B177">
        <v>10</v>
      </c>
      <c r="C177">
        <v>1</v>
      </c>
      <c r="D177">
        <v>45</v>
      </c>
      <c r="E177">
        <v>2.8</v>
      </c>
      <c r="F177">
        <v>40</v>
      </c>
      <c r="G177">
        <v>45</v>
      </c>
      <c r="H177">
        <v>7.9598096831560491E-3</v>
      </c>
      <c r="I177">
        <v>347.60030808157381</v>
      </c>
      <c r="J177">
        <v>0.34669763525739927</v>
      </c>
      <c r="K177">
        <v>372.60441372747022</v>
      </c>
      <c r="L177">
        <v>218.41923895579026</v>
      </c>
      <c r="M177">
        <v>0.23</v>
      </c>
      <c r="N177">
        <v>0.23754064686549181</v>
      </c>
      <c r="O177">
        <v>1.0327854211543122</v>
      </c>
      <c r="P177">
        <v>0.2112850029692859</v>
      </c>
      <c r="Q177">
        <v>0.91863044769254731</v>
      </c>
      <c r="R177">
        <v>0.32547767027148555</v>
      </c>
      <c r="S177">
        <v>1.415120305528198</v>
      </c>
      <c r="T177">
        <v>0.29284564279235192</v>
      </c>
      <c r="U177">
        <v>0.2151992383387995</v>
      </c>
      <c r="V177">
        <v>0.93564886234260647</v>
      </c>
      <c r="W177">
        <v>0.36058606902543705</v>
      </c>
      <c r="X177">
        <v>1.5677655175019001</v>
      </c>
      <c r="Y177">
        <v>0.34316160218805503</v>
      </c>
      <c r="Z177">
        <v>1.4920069660350217</v>
      </c>
      <c r="AA177">
        <v>0.37962810904607519</v>
      </c>
      <c r="AB177">
        <v>1.6505569958525008</v>
      </c>
      <c r="AC177">
        <v>0.25224762103787479</v>
      </c>
      <c r="AD177">
        <v>1.0967287871211946</v>
      </c>
      <c r="AE177">
        <v>0.18865411286977138</v>
      </c>
      <c r="AF177">
        <v>0.82023527334683199</v>
      </c>
      <c r="AG177">
        <v>0.33364067644480372</v>
      </c>
      <c r="AH177">
        <v>1.4506116367165378</v>
      </c>
      <c r="AI177">
        <v>0.34508248018620474</v>
      </c>
      <c r="AJ177">
        <v>1.5003586095052379</v>
      </c>
      <c r="AK177">
        <v>0.36731062435121958</v>
      </c>
      <c r="AL177">
        <v>1.5970027145705199</v>
      </c>
      <c r="AM177">
        <v>0.36378206936139579</v>
      </c>
      <c r="AN177">
        <v>1.5816611711365034</v>
      </c>
      <c r="AO177">
        <v>0.22135911228626642</v>
      </c>
      <c r="AP177">
        <v>0.96243092298376698</v>
      </c>
      <c r="AQ177">
        <v>0.20107314097963125</v>
      </c>
      <c r="AR177">
        <v>0.87423104773752713</v>
      </c>
    </row>
    <row r="178" spans="1:44" x14ac:dyDescent="0.3">
      <c r="B178">
        <v>10</v>
      </c>
      <c r="C178">
        <v>1</v>
      </c>
      <c r="D178">
        <v>45</v>
      </c>
      <c r="E178">
        <v>2.8</v>
      </c>
      <c r="F178">
        <v>40</v>
      </c>
      <c r="G178">
        <v>45</v>
      </c>
      <c r="H178">
        <v>7.9598096831560491E-3</v>
      </c>
      <c r="I178">
        <v>361.36226153052507</v>
      </c>
      <c r="J178">
        <v>0.3208325352484328</v>
      </c>
      <c r="K178">
        <v>372.60441372747022</v>
      </c>
      <c r="L178">
        <v>241.81864282958486</v>
      </c>
      <c r="M178">
        <v>0.24</v>
      </c>
      <c r="N178">
        <v>0.26389573392920529</v>
      </c>
      <c r="O178">
        <v>1.0995655580383554</v>
      </c>
      <c r="P178">
        <v>0.22117410307170166</v>
      </c>
      <c r="Q178">
        <v>0.92155876279875693</v>
      </c>
      <c r="R178">
        <v>0.33836375938823665</v>
      </c>
      <c r="S178">
        <v>1.409848997450986</v>
      </c>
      <c r="T178">
        <v>0.30443978701529306</v>
      </c>
      <c r="U178">
        <v>0.23257659903592331</v>
      </c>
      <c r="V178">
        <v>0.96906916264968046</v>
      </c>
      <c r="W178">
        <v>0.38630426738163004</v>
      </c>
      <c r="X178">
        <v>1.6096011140901252</v>
      </c>
      <c r="Y178">
        <v>0.37334774032491186</v>
      </c>
      <c r="Z178">
        <v>1.5556155846871329</v>
      </c>
      <c r="AA178">
        <v>0.3946580852662902</v>
      </c>
      <c r="AB178">
        <v>1.6444086886095426</v>
      </c>
      <c r="AC178">
        <v>0.26371200837725867</v>
      </c>
      <c r="AD178">
        <v>1.0988000349052445</v>
      </c>
      <c r="AE178">
        <v>0.1969041861930774</v>
      </c>
      <c r="AF178">
        <v>0.82043410913782255</v>
      </c>
      <c r="AG178">
        <v>0.34684994971401056</v>
      </c>
      <c r="AH178">
        <v>1.4452081238083774</v>
      </c>
      <c r="AI178">
        <v>0.37376286684905669</v>
      </c>
      <c r="AJ178">
        <v>1.5573452785377362</v>
      </c>
      <c r="AK178">
        <v>0.38564884406488931</v>
      </c>
      <c r="AL178">
        <v>1.6068701836037056</v>
      </c>
      <c r="AM178">
        <v>0.38713603873811475</v>
      </c>
      <c r="AN178">
        <v>1.6130668280754783</v>
      </c>
      <c r="AO178">
        <v>0.23249238592813901</v>
      </c>
      <c r="AP178">
        <v>0.96871827470057925</v>
      </c>
      <c r="AQ178">
        <v>0.21229662464561433</v>
      </c>
      <c r="AR178">
        <v>0.88456926935672642</v>
      </c>
    </row>
    <row r="179" spans="1:44" x14ac:dyDescent="0.3">
      <c r="B179">
        <v>10</v>
      </c>
      <c r="C179">
        <v>1</v>
      </c>
      <c r="D179">
        <v>45</v>
      </c>
      <c r="E179">
        <v>2.8</v>
      </c>
      <c r="F179">
        <v>40</v>
      </c>
      <c r="G179">
        <v>45</v>
      </c>
      <c r="H179">
        <v>7.9598096831560491E-3</v>
      </c>
      <c r="I179">
        <v>375.5681489617005</v>
      </c>
      <c r="J179">
        <v>0.29413307717466108</v>
      </c>
      <c r="K179">
        <v>372.60441372747022</v>
      </c>
      <c r="L179">
        <v>265.97286618317912</v>
      </c>
      <c r="M179">
        <v>0.25</v>
      </c>
      <c r="N179">
        <v>0.29110098509174809</v>
      </c>
      <c r="O179">
        <v>1.1644039403669924</v>
      </c>
      <c r="P179">
        <v>0.24276133198299524</v>
      </c>
      <c r="Q179">
        <v>0.97104532793198095</v>
      </c>
      <c r="R179">
        <v>0.35166552879907637</v>
      </c>
      <c r="S179">
        <v>1.4066621151963055</v>
      </c>
      <c r="T179">
        <v>0.31640793589058713</v>
      </c>
      <c r="U179">
        <v>0.25122215219469318</v>
      </c>
      <c r="V179">
        <v>1.0048886087787727</v>
      </c>
      <c r="W179">
        <v>0.41285208503963555</v>
      </c>
      <c r="X179">
        <v>1.6514083401585422</v>
      </c>
      <c r="Y179">
        <v>0.40388198949836024</v>
      </c>
      <c r="Z179">
        <v>1.615527957993441</v>
      </c>
      <c r="AA179">
        <v>0.41017289942909274</v>
      </c>
      <c r="AB179">
        <v>1.640691597716371</v>
      </c>
      <c r="AC179">
        <v>0.27554621466307422</v>
      </c>
      <c r="AD179">
        <v>1.1021848586522969</v>
      </c>
      <c r="AE179">
        <v>0.20542039091390926</v>
      </c>
      <c r="AF179">
        <v>0.82168156365563705</v>
      </c>
      <c r="AG179">
        <v>0.36048532857254661</v>
      </c>
      <c r="AH179">
        <v>1.4419413142901865</v>
      </c>
      <c r="AI179">
        <v>0.40994362049156363</v>
      </c>
      <c r="AJ179">
        <v>1.6397744819662545</v>
      </c>
      <c r="AK179">
        <v>0.40471874382077438</v>
      </c>
      <c r="AL179">
        <v>1.6188749752830975</v>
      </c>
      <c r="AM179">
        <v>0.41673683085261981</v>
      </c>
      <c r="AN179">
        <v>1.6669473234104792</v>
      </c>
      <c r="AO179">
        <v>0.25540204042553583</v>
      </c>
      <c r="AP179">
        <v>1.0216081617021433</v>
      </c>
      <c r="AQ179">
        <v>0.23540018910591087</v>
      </c>
      <c r="AR179">
        <v>0.94160075642364349</v>
      </c>
    </row>
    <row r="180" spans="1:44" x14ac:dyDescent="0.3">
      <c r="B180">
        <v>10</v>
      </c>
      <c r="C180">
        <v>1</v>
      </c>
      <c r="D180">
        <v>45</v>
      </c>
      <c r="E180">
        <v>2.8</v>
      </c>
      <c r="F180">
        <v>40</v>
      </c>
      <c r="G180">
        <v>45</v>
      </c>
      <c r="H180">
        <v>7.9598096831560491E-3</v>
      </c>
      <c r="I180">
        <v>388.44223444620314</v>
      </c>
      <c r="J180">
        <v>0.26993669329530567</v>
      </c>
      <c r="K180">
        <v>372.60441372747022</v>
      </c>
      <c r="L180">
        <v>287.86263109737382</v>
      </c>
      <c r="M180">
        <v>0.27</v>
      </c>
      <c r="N180">
        <v>0.31575574395780237</v>
      </c>
      <c r="O180">
        <v>1.169465718362231</v>
      </c>
      <c r="P180">
        <v>0.26232475818385492</v>
      </c>
      <c r="Q180">
        <v>0.97157317845872182</v>
      </c>
      <c r="R180">
        <v>0.36372025732764984</v>
      </c>
      <c r="S180">
        <v>1.3471120641764809</v>
      </c>
      <c r="T180">
        <v>0.32725407080882235</v>
      </c>
      <c r="U180">
        <v>0.26874061816986333</v>
      </c>
      <c r="V180">
        <v>0.99533562285134558</v>
      </c>
      <c r="W180">
        <v>0.43691104479220294</v>
      </c>
      <c r="X180">
        <v>1.6181890547859368</v>
      </c>
      <c r="Y180">
        <v>0.43106239180144945</v>
      </c>
      <c r="Z180">
        <v>1.5965273770424053</v>
      </c>
      <c r="AA180">
        <v>0.42423319976413248</v>
      </c>
      <c r="AB180">
        <v>1.5712340732004906</v>
      </c>
      <c r="AC180">
        <v>0.28627096410959446</v>
      </c>
      <c r="AD180">
        <v>1.060262830035535</v>
      </c>
      <c r="AE180">
        <v>0.21313820144216317</v>
      </c>
      <c r="AF180">
        <v>0.78940074608208577</v>
      </c>
      <c r="AG180">
        <v>0.37284239066309477</v>
      </c>
      <c r="AH180">
        <v>1.3808977431966472</v>
      </c>
      <c r="AI180">
        <v>0.44273242848008537</v>
      </c>
      <c r="AJ180">
        <v>1.6397497351114272</v>
      </c>
      <c r="AK180">
        <v>0.42211334355784969</v>
      </c>
      <c r="AL180">
        <v>1.5633827539179617</v>
      </c>
      <c r="AM180">
        <v>0.4432195886348177</v>
      </c>
      <c r="AN180">
        <v>1.6415540319808062</v>
      </c>
      <c r="AO180">
        <v>0.27619736209034312</v>
      </c>
      <c r="AP180">
        <v>1.0229531929271967</v>
      </c>
      <c r="AQ180">
        <v>0.25645968284540083</v>
      </c>
      <c r="AR180">
        <v>0.94985067720518823</v>
      </c>
    </row>
    <row r="181" spans="1:44" x14ac:dyDescent="0.3">
      <c r="B181">
        <v>10</v>
      </c>
      <c r="C181">
        <v>1</v>
      </c>
      <c r="D181">
        <v>45</v>
      </c>
      <c r="E181">
        <v>2.8</v>
      </c>
      <c r="F181">
        <v>40</v>
      </c>
      <c r="G181">
        <v>45</v>
      </c>
      <c r="H181">
        <v>7.9598096831560491E-3</v>
      </c>
      <c r="I181">
        <v>399.98451798403318</v>
      </c>
      <c r="J181">
        <v>0.24824338361036613</v>
      </c>
      <c r="K181">
        <v>372.60441372747022</v>
      </c>
      <c r="L181">
        <v>307.48793757216924</v>
      </c>
      <c r="M181">
        <v>0.28999999999999998</v>
      </c>
      <c r="N181">
        <v>0.33786001052736836</v>
      </c>
      <c r="O181">
        <v>1.165034519059891</v>
      </c>
      <c r="P181">
        <v>0.2798643816742809</v>
      </c>
      <c r="Q181">
        <v>0.96504959198027906</v>
      </c>
      <c r="R181">
        <v>0.37452794497395714</v>
      </c>
      <c r="S181">
        <v>1.2914756723239902</v>
      </c>
      <c r="T181">
        <v>0.33697819176999888</v>
      </c>
      <c r="U181">
        <v>0.28494877070486641</v>
      </c>
      <c r="V181">
        <v>0.98258196794781527</v>
      </c>
      <c r="W181">
        <v>0.45848114663933243</v>
      </c>
      <c r="X181">
        <v>1.5809694711701119</v>
      </c>
      <c r="Y181">
        <v>0.45507225504881621</v>
      </c>
      <c r="Z181">
        <v>1.569214672582125</v>
      </c>
      <c r="AA181">
        <v>0.43683898627140955</v>
      </c>
      <c r="AB181">
        <v>1.5063413319703778</v>
      </c>
      <c r="AC181">
        <v>0.29588625671681962</v>
      </c>
      <c r="AD181">
        <v>1.0202974369545506</v>
      </c>
      <c r="AE181">
        <v>0.22005761777783911</v>
      </c>
      <c r="AF181">
        <v>0.75881937164772117</v>
      </c>
      <c r="AG181">
        <v>0.3839211359856553</v>
      </c>
      <c r="AH181">
        <v>1.3238659861574322</v>
      </c>
      <c r="AI181">
        <v>0.47212929081462224</v>
      </c>
      <c r="AJ181">
        <v>1.6280320372918009</v>
      </c>
      <c r="AK181">
        <v>0.43779235302872094</v>
      </c>
      <c r="AL181">
        <v>1.5096288035473138</v>
      </c>
      <c r="AM181">
        <v>0.46669798152593578</v>
      </c>
      <c r="AN181">
        <v>1.6093033845721925</v>
      </c>
      <c r="AO181">
        <v>0.29486848123440135</v>
      </c>
      <c r="AP181">
        <v>1.0167878663255219</v>
      </c>
      <c r="AQ181">
        <v>0.27543913878126086</v>
      </c>
      <c r="AR181">
        <v>0.94979013372848575</v>
      </c>
    </row>
    <row r="182" spans="1:44" x14ac:dyDescent="0.3">
      <c r="A182" t="s">
        <v>43</v>
      </c>
      <c r="B182">
        <v>10</v>
      </c>
      <c r="C182">
        <v>1</v>
      </c>
      <c r="D182">
        <v>45</v>
      </c>
      <c r="E182">
        <v>2.8</v>
      </c>
      <c r="F182">
        <v>40</v>
      </c>
      <c r="G182">
        <v>45</v>
      </c>
      <c r="H182">
        <v>7.9598096831560491E-3</v>
      </c>
      <c r="I182">
        <v>323.62787304146531</v>
      </c>
      <c r="J182">
        <v>0.39175297075688886</v>
      </c>
      <c r="K182">
        <v>372.60441372747022</v>
      </c>
      <c r="L182">
        <v>177.65898704659995</v>
      </c>
      <c r="M182">
        <v>0.15</v>
      </c>
      <c r="N182">
        <v>0.19163178552870083</v>
      </c>
      <c r="O182">
        <v>1.2775452368580056</v>
      </c>
      <c r="P182">
        <v>0.19671362345416274</v>
      </c>
      <c r="Q182">
        <v>1.3114241563610849</v>
      </c>
      <c r="R182">
        <v>0.30303093439069345</v>
      </c>
      <c r="S182">
        <v>2.0202062292712899</v>
      </c>
      <c r="T182">
        <v>0.27264939156529311</v>
      </c>
      <c r="U182">
        <v>0.1865401245528952</v>
      </c>
      <c r="V182">
        <v>1.2436008303526347</v>
      </c>
      <c r="W182">
        <v>0.31578662672755275</v>
      </c>
      <c r="X182">
        <v>2.105244178183685</v>
      </c>
      <c r="Y182">
        <v>0.28892624595985633</v>
      </c>
      <c r="Z182">
        <v>1.926174973065709</v>
      </c>
      <c r="AA182">
        <v>0.35344686014634585</v>
      </c>
      <c r="AB182">
        <v>2.3563124009756393</v>
      </c>
      <c r="AC182">
        <v>0.23227739793056107</v>
      </c>
      <c r="AD182">
        <v>1.5485159862037405</v>
      </c>
      <c r="AE182">
        <v>0.17428301740336749</v>
      </c>
      <c r="AF182">
        <v>1.1618867826891166</v>
      </c>
      <c r="AG182">
        <v>0.31063097462102418</v>
      </c>
      <c r="AH182">
        <v>2.0708731641401612</v>
      </c>
      <c r="AI182">
        <v>0.29912619269410617</v>
      </c>
      <c r="AJ182">
        <v>1.9941746179607078</v>
      </c>
      <c r="AK182">
        <v>0.33572593544947521</v>
      </c>
      <c r="AL182">
        <v>2.2381729029965016</v>
      </c>
      <c r="AM182">
        <v>0.32500924397281644</v>
      </c>
      <c r="AN182">
        <v>2.1667282931521097</v>
      </c>
      <c r="AO182">
        <v>0.20470724792366154</v>
      </c>
      <c r="AP182">
        <v>1.3647149861577437</v>
      </c>
      <c r="AQ182">
        <v>0.18449361366603576</v>
      </c>
      <c r="AR182">
        <v>1.2299574244402385</v>
      </c>
    </row>
    <row r="183" spans="1:44" x14ac:dyDescent="0.3">
      <c r="B183">
        <v>10</v>
      </c>
      <c r="C183">
        <v>1</v>
      </c>
      <c r="D183">
        <v>45</v>
      </c>
      <c r="E183">
        <v>2.8</v>
      </c>
      <c r="F183">
        <v>40</v>
      </c>
      <c r="G183">
        <v>45</v>
      </c>
      <c r="H183">
        <v>7.9598096831560491E-3</v>
      </c>
      <c r="I183">
        <v>336.50195852596801</v>
      </c>
      <c r="J183">
        <v>0.36755658687753334</v>
      </c>
      <c r="K183">
        <v>372.60441372747022</v>
      </c>
      <c r="L183">
        <v>199.54875196079473</v>
      </c>
      <c r="M183">
        <v>0.16</v>
      </c>
      <c r="N183">
        <v>0.21628654439475523</v>
      </c>
      <c r="O183">
        <v>1.3517909024672201</v>
      </c>
      <c r="P183">
        <v>0.20453899393450664</v>
      </c>
      <c r="Q183">
        <v>1.2783687120906664</v>
      </c>
      <c r="R183">
        <v>0.31508566291926698</v>
      </c>
      <c r="S183">
        <v>1.9692853932454186</v>
      </c>
      <c r="T183">
        <v>0.28349552648352838</v>
      </c>
      <c r="U183">
        <v>0.20167664919268491</v>
      </c>
      <c r="V183">
        <v>1.2604790574542806</v>
      </c>
      <c r="W183">
        <v>0.3398455864801202</v>
      </c>
      <c r="X183">
        <v>2.1240349155007512</v>
      </c>
      <c r="Y183">
        <v>0.3183330337313815</v>
      </c>
      <c r="Z183">
        <v>1.9895814608211344</v>
      </c>
      <c r="AA183">
        <v>0.36750716048138565</v>
      </c>
      <c r="AB183">
        <v>2.2969197530086602</v>
      </c>
      <c r="AC183">
        <v>0.24300214737708142</v>
      </c>
      <c r="AD183">
        <v>1.5187634211067589</v>
      </c>
      <c r="AE183">
        <v>0.18200082793162145</v>
      </c>
      <c r="AF183">
        <v>1.1375051745726341</v>
      </c>
      <c r="AG183">
        <v>0.32298803671157245</v>
      </c>
      <c r="AH183">
        <v>2.0186752294473278</v>
      </c>
      <c r="AI183">
        <v>0.32339834860143718</v>
      </c>
      <c r="AJ183">
        <v>2.0212396787589824</v>
      </c>
      <c r="AK183">
        <v>0.35262798637548348</v>
      </c>
      <c r="AL183">
        <v>2.2039249148467719</v>
      </c>
      <c r="AM183">
        <v>0.34573092032409231</v>
      </c>
      <c r="AN183">
        <v>2.1608182520255768</v>
      </c>
      <c r="AO183">
        <v>0.21363620792187552</v>
      </c>
      <c r="AP183">
        <v>1.3352262995117219</v>
      </c>
      <c r="AQ183">
        <v>0.19334747960830434</v>
      </c>
      <c r="AR183">
        <v>1.2084217475519021</v>
      </c>
    </row>
    <row r="184" spans="1:44" x14ac:dyDescent="0.3">
      <c r="B184">
        <v>10</v>
      </c>
      <c r="C184">
        <v>1</v>
      </c>
      <c r="D184">
        <v>45</v>
      </c>
      <c r="E184">
        <v>2.8</v>
      </c>
      <c r="F184">
        <v>40</v>
      </c>
      <c r="G184">
        <v>45</v>
      </c>
      <c r="H184">
        <v>7.9598096831560491E-3</v>
      </c>
      <c r="I184">
        <v>354.70325179716156</v>
      </c>
      <c r="J184">
        <v>0.33334790622051336</v>
      </c>
      <c r="K184">
        <v>372.60441372747022</v>
      </c>
      <c r="L184">
        <v>230.49635063258745</v>
      </c>
      <c r="M184">
        <v>0.18</v>
      </c>
      <c r="N184">
        <v>0.25114327244676327</v>
      </c>
      <c r="O184">
        <v>1.3952404024820182</v>
      </c>
      <c r="P184">
        <v>0.21560244875154463</v>
      </c>
      <c r="Q184">
        <v>1.1977913819530257</v>
      </c>
      <c r="R184">
        <v>0.33212855497690541</v>
      </c>
      <c r="S184">
        <v>1.8451586387605856</v>
      </c>
      <c r="T184">
        <v>0.29882971722999896</v>
      </c>
      <c r="U184">
        <v>0.22408395674156276</v>
      </c>
      <c r="V184">
        <v>1.2449108707864598</v>
      </c>
      <c r="W184">
        <v>0.37385997785443986</v>
      </c>
      <c r="X184">
        <v>2.0769998769691105</v>
      </c>
      <c r="Y184">
        <v>0.35882040605159882</v>
      </c>
      <c r="Z184">
        <v>1.9934467002866603</v>
      </c>
      <c r="AA184">
        <v>0.38738551612747646</v>
      </c>
      <c r="AB184">
        <v>2.1521417562637581</v>
      </c>
      <c r="AC184">
        <v>0.25816472418078257</v>
      </c>
      <c r="AD184">
        <v>1.4342484676710143</v>
      </c>
      <c r="AE184">
        <v>0.19291221523018737</v>
      </c>
      <c r="AF184">
        <v>1.0717345290565965</v>
      </c>
      <c r="AG184">
        <v>0.34045836587407174</v>
      </c>
      <c r="AH184">
        <v>1.8914353659670653</v>
      </c>
      <c r="AI184">
        <v>0.35932955971050418</v>
      </c>
      <c r="AJ184">
        <v>1.9962753317250232</v>
      </c>
      <c r="AK184">
        <v>0.37675804760311343</v>
      </c>
      <c r="AL184">
        <v>2.0931002644617416</v>
      </c>
      <c r="AM184">
        <v>0.37541859077877932</v>
      </c>
      <c r="AN184">
        <v>2.085658837659885</v>
      </c>
      <c r="AO184">
        <v>0.22631417436574641</v>
      </c>
      <c r="AP184">
        <v>1.2573009686985912</v>
      </c>
      <c r="AQ184">
        <v>0.20606276426941111</v>
      </c>
      <c r="AR184">
        <v>1.1447931348300617</v>
      </c>
    </row>
    <row r="185" spans="1:44" x14ac:dyDescent="0.3">
      <c r="B185">
        <v>10</v>
      </c>
      <c r="C185">
        <v>1</v>
      </c>
      <c r="D185">
        <v>45</v>
      </c>
      <c r="E185">
        <v>2.8</v>
      </c>
      <c r="F185">
        <v>40</v>
      </c>
      <c r="G185">
        <v>45</v>
      </c>
      <c r="H185">
        <v>7.9598096831560491E-3</v>
      </c>
      <c r="I185">
        <v>365.35766737054308</v>
      </c>
      <c r="J185">
        <v>0.31332331266518465</v>
      </c>
      <c r="K185">
        <v>372.60441372747022</v>
      </c>
      <c r="L185">
        <v>248.61201814778312</v>
      </c>
      <c r="M185">
        <v>0.18</v>
      </c>
      <c r="N185">
        <v>0.27154721081867028</v>
      </c>
      <c r="O185">
        <v>1.5085956156592795</v>
      </c>
      <c r="P185">
        <v>0.22724551120300288</v>
      </c>
      <c r="Q185">
        <v>1.2624750622389049</v>
      </c>
      <c r="R185">
        <v>0.34210488203503525</v>
      </c>
      <c r="S185">
        <v>1.9005826779724182</v>
      </c>
      <c r="T185">
        <v>0.30780582888646951</v>
      </c>
      <c r="U185">
        <v>0.23774800217387809</v>
      </c>
      <c r="V185">
        <v>1.3208222342993228</v>
      </c>
      <c r="W185">
        <v>0.39377084109794397</v>
      </c>
      <c r="X185">
        <v>2.1876157838774666</v>
      </c>
      <c r="Y185">
        <v>0.3819966150455596</v>
      </c>
      <c r="Z185">
        <v>2.1222034169197754</v>
      </c>
      <c r="AA185">
        <v>0.39902162674957831</v>
      </c>
      <c r="AB185">
        <v>2.2167868152754351</v>
      </c>
      <c r="AC185">
        <v>0.2670403788951442</v>
      </c>
      <c r="AD185">
        <v>1.483557660528579</v>
      </c>
      <c r="AE185">
        <v>0.19929936877081128</v>
      </c>
      <c r="AF185">
        <v>1.1072187153933961</v>
      </c>
      <c r="AG185">
        <v>0.35068490001797376</v>
      </c>
      <c r="AH185">
        <v>1.9482494445442986</v>
      </c>
      <c r="AI185">
        <v>0.38393870381101147</v>
      </c>
      <c r="AJ185">
        <v>2.1329927989500637</v>
      </c>
      <c r="AK185">
        <v>0.39099842595222428</v>
      </c>
      <c r="AL185">
        <v>2.1722134775123574</v>
      </c>
      <c r="AM185">
        <v>0.39550250556145716</v>
      </c>
      <c r="AN185">
        <v>2.1972361420080952</v>
      </c>
      <c r="AO185">
        <v>0.23893181241367525</v>
      </c>
      <c r="AP185">
        <v>1.3273989578537515</v>
      </c>
      <c r="AQ185">
        <v>0.21878023934136676</v>
      </c>
      <c r="AR185">
        <v>1.2154457741187041</v>
      </c>
    </row>
    <row r="186" spans="1:44" x14ac:dyDescent="0.3">
      <c r="B186">
        <v>10</v>
      </c>
      <c r="C186">
        <v>1</v>
      </c>
      <c r="D186">
        <v>45</v>
      </c>
      <c r="E186">
        <v>2.8</v>
      </c>
      <c r="F186">
        <v>40</v>
      </c>
      <c r="G186">
        <v>45</v>
      </c>
      <c r="H186">
        <v>7.9598096831560491E-3</v>
      </c>
      <c r="I186">
        <v>375.5681489617005</v>
      </c>
      <c r="J186">
        <v>0.29413307717466108</v>
      </c>
      <c r="K186">
        <v>372.60441372747022</v>
      </c>
      <c r="L186">
        <v>265.97286618317912</v>
      </c>
      <c r="M186">
        <v>0.19</v>
      </c>
      <c r="N186">
        <v>0.29110098509174809</v>
      </c>
      <c r="O186">
        <v>1.5321104478513057</v>
      </c>
      <c r="P186">
        <v>0.24276133198299524</v>
      </c>
      <c r="Q186">
        <v>1.2776912209631328</v>
      </c>
      <c r="R186">
        <v>0.35166552879907637</v>
      </c>
      <c r="S186">
        <v>1.850871204205665</v>
      </c>
      <c r="T186">
        <v>0.31640793589058713</v>
      </c>
      <c r="U186">
        <v>0.25122215219469318</v>
      </c>
      <c r="V186">
        <v>1.32222185365628</v>
      </c>
      <c r="W186">
        <v>0.41285208503963555</v>
      </c>
      <c r="X186">
        <v>2.1729057107349239</v>
      </c>
      <c r="Y186">
        <v>0.40388198949836024</v>
      </c>
      <c r="Z186">
        <v>2.1256946815703168</v>
      </c>
      <c r="AA186">
        <v>0.41017289942909274</v>
      </c>
      <c r="AB186">
        <v>2.1588047338373304</v>
      </c>
      <c r="AC186">
        <v>0.27554621466307422</v>
      </c>
      <c r="AD186">
        <v>1.4502432350688117</v>
      </c>
      <c r="AE186">
        <v>0.20542039091390926</v>
      </c>
      <c r="AF186">
        <v>1.0811599521784698</v>
      </c>
      <c r="AG186">
        <v>0.36048532857254661</v>
      </c>
      <c r="AH186">
        <v>1.8972912030134033</v>
      </c>
      <c r="AI186">
        <v>0.40994362049156363</v>
      </c>
      <c r="AJ186">
        <v>2.1575980025871768</v>
      </c>
      <c r="AK186">
        <v>0.40471874382077438</v>
      </c>
      <c r="AL186">
        <v>2.1300986516882863</v>
      </c>
      <c r="AM186">
        <v>0.41673683085261981</v>
      </c>
      <c r="AN186">
        <v>2.193351741329578</v>
      </c>
      <c r="AO186">
        <v>0.25540204042553583</v>
      </c>
      <c r="AP186">
        <v>1.3442212653975569</v>
      </c>
      <c r="AQ186">
        <v>0.23540018910591087</v>
      </c>
      <c r="AR186">
        <v>1.2389483637153205</v>
      </c>
    </row>
    <row r="187" spans="1:44" x14ac:dyDescent="0.3">
      <c r="B187">
        <v>10</v>
      </c>
      <c r="C187">
        <v>1</v>
      </c>
      <c r="D187">
        <v>45</v>
      </c>
      <c r="E187">
        <v>2.8</v>
      </c>
      <c r="F187">
        <v>40</v>
      </c>
      <c r="G187">
        <v>45</v>
      </c>
      <c r="H187">
        <v>7.9598096831560491E-3</v>
      </c>
      <c r="I187">
        <v>386.66649851730631</v>
      </c>
      <c r="J187">
        <v>0.27327412555452701</v>
      </c>
      <c r="K187">
        <v>372.60441372747022</v>
      </c>
      <c r="L187">
        <v>284.84335317817465</v>
      </c>
      <c r="M187">
        <v>0.2</v>
      </c>
      <c r="N187">
        <v>0.31235508756248465</v>
      </c>
      <c r="O187">
        <v>1.5617754378124231</v>
      </c>
      <c r="P187">
        <v>0.25962635456994337</v>
      </c>
      <c r="Q187">
        <v>1.2981317728497168</v>
      </c>
      <c r="R187">
        <v>0.36205753615129493</v>
      </c>
      <c r="S187">
        <v>1.8102876807564745</v>
      </c>
      <c r="T187">
        <v>0.32575805219941062</v>
      </c>
      <c r="U187">
        <v>0.26628917721992273</v>
      </c>
      <c r="V187">
        <v>1.3314458860996137</v>
      </c>
      <c r="W187">
        <v>0.4335925675849524</v>
      </c>
      <c r="X187">
        <v>2.1679628379247617</v>
      </c>
      <c r="Y187">
        <v>0.4273393239822082</v>
      </c>
      <c r="Z187">
        <v>2.1366966199110409</v>
      </c>
      <c r="AA187">
        <v>0.42229384799378228</v>
      </c>
      <c r="AB187">
        <v>2.1114692399689114</v>
      </c>
      <c r="AC187">
        <v>0.28479168832386764</v>
      </c>
      <c r="AD187">
        <v>1.423958441619338</v>
      </c>
      <c r="AE187">
        <v>0.21207367585205927</v>
      </c>
      <c r="AF187">
        <v>1.0603683792602963</v>
      </c>
      <c r="AG187">
        <v>0.37113796830577789</v>
      </c>
      <c r="AH187">
        <v>1.8556898415288894</v>
      </c>
      <c r="AI187">
        <v>0.43820983427477217</v>
      </c>
      <c r="AJ187">
        <v>2.1910491713738609</v>
      </c>
      <c r="AK187">
        <v>0.41970806320999654</v>
      </c>
      <c r="AL187">
        <v>2.0985403160499825</v>
      </c>
      <c r="AM187">
        <v>0.43958560367808597</v>
      </c>
      <c r="AN187">
        <v>2.1979280183904297</v>
      </c>
      <c r="AO187">
        <v>0.27332715111585648</v>
      </c>
      <c r="AP187">
        <v>1.3666357555792823</v>
      </c>
      <c r="AQ187">
        <v>0.25354803484247829</v>
      </c>
      <c r="AR187">
        <v>1.2677401742123913</v>
      </c>
    </row>
    <row r="188" spans="1:44" x14ac:dyDescent="0.3">
      <c r="B188">
        <v>10</v>
      </c>
      <c r="C188">
        <v>1</v>
      </c>
      <c r="D188">
        <v>45</v>
      </c>
      <c r="E188">
        <v>2.8</v>
      </c>
      <c r="F188">
        <v>40</v>
      </c>
      <c r="G188">
        <v>45</v>
      </c>
      <c r="H188">
        <v>7.9598096831560491E-3</v>
      </c>
      <c r="I188">
        <v>401.31631993070596</v>
      </c>
      <c r="J188">
        <v>0.24574030941594993</v>
      </c>
      <c r="K188">
        <v>372.60441372747022</v>
      </c>
      <c r="L188">
        <v>309.75239601156881</v>
      </c>
      <c r="M188">
        <v>0.22</v>
      </c>
      <c r="N188">
        <v>0.34041050282385693</v>
      </c>
      <c r="O188">
        <v>1.5473204673811678</v>
      </c>
      <c r="P188">
        <v>0.28188818438471486</v>
      </c>
      <c r="Q188">
        <v>1.2813099290214311</v>
      </c>
      <c r="R188">
        <v>0.37577498585622349</v>
      </c>
      <c r="S188">
        <v>1.7080681175282886</v>
      </c>
      <c r="T188">
        <v>0.33810020572705757</v>
      </c>
      <c r="U188">
        <v>0.28684947986064074</v>
      </c>
      <c r="V188">
        <v>1.3038612720938216</v>
      </c>
      <c r="W188">
        <v>0.46097000454477061</v>
      </c>
      <c r="X188">
        <v>2.0953182024762298</v>
      </c>
      <c r="Y188">
        <v>0.45782219685333214</v>
      </c>
      <c r="Z188">
        <v>2.0810099856969644</v>
      </c>
      <c r="AA188">
        <v>0.43829350009917234</v>
      </c>
      <c r="AB188">
        <v>1.9922431822689652</v>
      </c>
      <c r="AC188">
        <v>0.29699571355611493</v>
      </c>
      <c r="AD188">
        <v>1.3499805161641587</v>
      </c>
      <c r="AE188">
        <v>0.22085601197041718</v>
      </c>
      <c r="AF188">
        <v>1.0038909635018962</v>
      </c>
      <c r="AG188">
        <v>0.38519945275364315</v>
      </c>
      <c r="AH188">
        <v>1.7509066034256506</v>
      </c>
      <c r="AI188">
        <v>0.47552123646860744</v>
      </c>
      <c r="AJ188">
        <v>2.1614601657663974</v>
      </c>
      <c r="AK188">
        <v>0.43960630775763326</v>
      </c>
      <c r="AL188">
        <v>1.998210489807424</v>
      </c>
      <c r="AM188">
        <v>0.46939140643553057</v>
      </c>
      <c r="AN188">
        <v>2.1335973019796843</v>
      </c>
      <c r="AO188">
        <v>0.29702448608366566</v>
      </c>
      <c r="AP188">
        <v>1.3501113003802985</v>
      </c>
      <c r="AQ188">
        <v>0.27763507051843345</v>
      </c>
      <c r="AR188">
        <v>1.2619775932656065</v>
      </c>
    </row>
    <row r="189" spans="1:44" x14ac:dyDescent="0.3">
      <c r="A189" t="s">
        <v>44</v>
      </c>
      <c r="B189">
        <v>20</v>
      </c>
      <c r="C189">
        <v>1</v>
      </c>
      <c r="D189">
        <v>40</v>
      </c>
      <c r="E189">
        <v>2.8</v>
      </c>
      <c r="F189">
        <v>40</v>
      </c>
      <c r="G189">
        <v>50</v>
      </c>
      <c r="H189">
        <v>3.7261485294905368E-2</v>
      </c>
      <c r="I189">
        <v>224.93648942333181</v>
      </c>
      <c r="J189">
        <v>0.56560430253567584</v>
      </c>
      <c r="K189">
        <v>95.423685658071264</v>
      </c>
      <c r="L189">
        <v>170.96444225131484</v>
      </c>
      <c r="M189">
        <v>0.16</v>
      </c>
      <c r="N189">
        <v>0.17621750604544575</v>
      </c>
      <c r="O189">
        <v>1.101359412784036</v>
      </c>
      <c r="P189">
        <v>0.16250526374056309</v>
      </c>
      <c r="Q189">
        <v>1.0156578983785194</v>
      </c>
      <c r="R189">
        <v>0.17479495534935269</v>
      </c>
      <c r="S189">
        <v>1.0924684709334542</v>
      </c>
      <c r="T189">
        <v>0.1898757685393937</v>
      </c>
      <c r="U189">
        <v>0.19142813392713337</v>
      </c>
      <c r="V189">
        <v>1.1867235533712106</v>
      </c>
      <c r="W189">
        <v>0.19112255277280865</v>
      </c>
      <c r="X189">
        <v>1.1945159548300541</v>
      </c>
      <c r="Y189">
        <v>0.26226217585674594</v>
      </c>
      <c r="Z189">
        <v>1.6391385991046621</v>
      </c>
      <c r="AA189">
        <v>0.23684951094129722</v>
      </c>
      <c r="AB189">
        <v>1.4803094433831077</v>
      </c>
      <c r="AC189">
        <v>0.20327420345519723</v>
      </c>
      <c r="AD189">
        <v>1.2704637715949827</v>
      </c>
      <c r="AE189">
        <v>0.12778582265536664</v>
      </c>
      <c r="AF189">
        <v>0.79866139159604155</v>
      </c>
      <c r="AG189">
        <v>0.24461058238608518</v>
      </c>
      <c r="AH189">
        <v>1.5288161399130324</v>
      </c>
      <c r="AI189">
        <v>0.16897223598041747</v>
      </c>
      <c r="AJ189">
        <v>1.0560764748776093</v>
      </c>
      <c r="AK189">
        <v>0.22483633288707042</v>
      </c>
      <c r="AL189">
        <v>1.40522708054419</v>
      </c>
      <c r="AM189">
        <v>0.18659450641079414</v>
      </c>
      <c r="AN189">
        <v>1.1662156650674633</v>
      </c>
      <c r="AO189">
        <v>0.191852759584552</v>
      </c>
      <c r="AP189">
        <v>1.19907974740345</v>
      </c>
      <c r="AQ189">
        <v>0.16859193564575392</v>
      </c>
      <c r="AR189">
        <v>1.053699597785962</v>
      </c>
    </row>
    <row r="190" spans="1:44" x14ac:dyDescent="0.3">
      <c r="B190">
        <v>20</v>
      </c>
      <c r="C190">
        <v>1</v>
      </c>
      <c r="D190">
        <v>40</v>
      </c>
      <c r="E190">
        <v>2.8</v>
      </c>
      <c r="F190">
        <v>40</v>
      </c>
      <c r="G190">
        <v>50</v>
      </c>
      <c r="H190">
        <v>3.7261485294905368E-2</v>
      </c>
      <c r="I190">
        <v>259.89764030841235</v>
      </c>
      <c r="J190">
        <v>0.49808758454201107</v>
      </c>
      <c r="K190">
        <v>95.423685658071264</v>
      </c>
      <c r="L190">
        <v>212.3682872108875</v>
      </c>
      <c r="M190">
        <v>0.2</v>
      </c>
      <c r="N190">
        <v>0.2129582212234726</v>
      </c>
      <c r="O190">
        <v>1.0647911061173629</v>
      </c>
      <c r="P190">
        <v>0.20529664584009563</v>
      </c>
      <c r="Q190">
        <v>1.0264832292004782</v>
      </c>
      <c r="R190">
        <v>0.21123907383205465</v>
      </c>
      <c r="S190">
        <v>1.0561953691602732</v>
      </c>
      <c r="T190">
        <v>0.21938754499836161</v>
      </c>
      <c r="U190">
        <v>0.25555866628532853</v>
      </c>
      <c r="V190">
        <v>1.096937724991808</v>
      </c>
      <c r="W190">
        <v>0.22730456924435233</v>
      </c>
      <c r="X190">
        <v>1.1365228462217616</v>
      </c>
      <c r="Y190">
        <v>0.31797860737202122</v>
      </c>
      <c r="Z190">
        <v>1.5898930368601061</v>
      </c>
      <c r="AA190">
        <v>0.2736622642224788</v>
      </c>
      <c r="AB190">
        <v>1.3683113211123938</v>
      </c>
      <c r="AC190">
        <v>0.24246488217982529</v>
      </c>
      <c r="AD190">
        <v>1.2123244108991265</v>
      </c>
      <c r="AE190">
        <v>0.14966742924837029</v>
      </c>
      <c r="AF190">
        <v>0.74833714624185144</v>
      </c>
      <c r="AG190">
        <v>0.28262961389498675</v>
      </c>
      <c r="AH190">
        <v>1.4131480694749337</v>
      </c>
      <c r="AI190">
        <v>0.2244579017601685</v>
      </c>
      <c r="AJ190">
        <v>1.1222895088008424</v>
      </c>
      <c r="AK190">
        <v>0.26412783228245534</v>
      </c>
      <c r="AL190">
        <v>1.3206391614122766</v>
      </c>
      <c r="AM190">
        <v>0.24006864749370666</v>
      </c>
      <c r="AN190">
        <v>1.2003432374685332</v>
      </c>
      <c r="AO190">
        <v>0.24495298303634533</v>
      </c>
      <c r="AP190">
        <v>1.2247649151817266</v>
      </c>
      <c r="AQ190">
        <v>0.21838505609595432</v>
      </c>
      <c r="AR190">
        <v>1.0919252804797714</v>
      </c>
    </row>
    <row r="191" spans="1:44" x14ac:dyDescent="0.3">
      <c r="B191">
        <v>20</v>
      </c>
      <c r="C191">
        <v>1</v>
      </c>
      <c r="D191">
        <v>40</v>
      </c>
      <c r="E191">
        <v>2.8</v>
      </c>
      <c r="F191">
        <v>40</v>
      </c>
      <c r="G191">
        <v>50</v>
      </c>
      <c r="H191">
        <v>3.7261485294905368E-2</v>
      </c>
      <c r="I191">
        <v>294.74027881761134</v>
      </c>
      <c r="J191">
        <v>0.43079973677883321</v>
      </c>
      <c r="K191">
        <v>95.423685658071264</v>
      </c>
      <c r="L191">
        <v>253.63178015364812</v>
      </c>
      <c r="M191">
        <v>0.23</v>
      </c>
      <c r="N191">
        <v>0.24957439160428585</v>
      </c>
      <c r="O191">
        <v>1.0851060504534167</v>
      </c>
      <c r="P191">
        <v>0.24794297240708743</v>
      </c>
      <c r="Q191">
        <v>1.0780129235090758</v>
      </c>
      <c r="R191">
        <v>0.24755965293006962</v>
      </c>
      <c r="S191">
        <v>1.0763463170872591</v>
      </c>
      <c r="T191">
        <v>0.24879928153712966</v>
      </c>
      <c r="U191">
        <v>0.32867367449457463</v>
      </c>
      <c r="V191">
        <v>1.0817360066831723</v>
      </c>
      <c r="W191">
        <v>0.26336393481260267</v>
      </c>
      <c r="X191">
        <v>1.1450605861417507</v>
      </c>
      <c r="Y191">
        <v>0.37186865513846545</v>
      </c>
      <c r="Z191">
        <v>1.6168202397324585</v>
      </c>
      <c r="AA191">
        <v>0.31035022850948701</v>
      </c>
      <c r="AB191">
        <v>1.3493488196064651</v>
      </c>
      <c r="AC191">
        <v>0.28152271114606486</v>
      </c>
      <c r="AD191">
        <v>1.2240117875915864</v>
      </c>
      <c r="AE191">
        <v>0.17147486090377059</v>
      </c>
      <c r="AF191">
        <v>0.74554287349465476</v>
      </c>
      <c r="AG191">
        <v>0.32051976733097681</v>
      </c>
      <c r="AH191">
        <v>1.3935642057868556</v>
      </c>
      <c r="AI191">
        <v>0.27975548053727639</v>
      </c>
      <c r="AJ191">
        <v>1.2163281762490277</v>
      </c>
      <c r="AK191">
        <v>0.30388687324190095</v>
      </c>
      <c r="AL191">
        <v>1.3212472749647866</v>
      </c>
      <c r="AM191">
        <v>0.2920815776627686</v>
      </c>
      <c r="AN191">
        <v>1.2699199028816026</v>
      </c>
      <c r="AO191">
        <v>0.29894367910291331</v>
      </c>
      <c r="AP191">
        <v>1.2997551265344056</v>
      </c>
      <c r="AQ191">
        <v>0.26963032580470053</v>
      </c>
      <c r="AR191">
        <v>1.1723057643682631</v>
      </c>
    </row>
    <row r="192" spans="1:44" x14ac:dyDescent="0.3">
      <c r="A192" t="s">
        <v>45</v>
      </c>
      <c r="B192">
        <v>20</v>
      </c>
      <c r="C192">
        <v>1</v>
      </c>
      <c r="D192">
        <v>40</v>
      </c>
      <c r="E192">
        <v>2.8</v>
      </c>
      <c r="F192">
        <v>40</v>
      </c>
      <c r="G192">
        <v>50</v>
      </c>
      <c r="H192">
        <v>3.7261485294905368E-2</v>
      </c>
      <c r="I192">
        <v>224.93648942333181</v>
      </c>
      <c r="J192">
        <v>0.47187724451270924</v>
      </c>
      <c r="K192">
        <v>95.423685658071264</v>
      </c>
      <c r="L192">
        <v>179.90822357375421</v>
      </c>
      <c r="M192">
        <v>0.14000000000000001</v>
      </c>
      <c r="N192">
        <v>0.17621750604544575</v>
      </c>
      <c r="O192">
        <v>1.2586964717531839</v>
      </c>
      <c r="P192">
        <v>0.16250526374056309</v>
      </c>
      <c r="Q192">
        <v>1.1607518838611648</v>
      </c>
      <c r="R192">
        <v>0.17479495534935269</v>
      </c>
      <c r="S192">
        <v>1.2485353953525191</v>
      </c>
      <c r="T192">
        <v>0.1898757685393937</v>
      </c>
      <c r="U192">
        <v>0.19142813392713337</v>
      </c>
      <c r="V192">
        <v>1.3562554895670977</v>
      </c>
      <c r="W192">
        <v>0.19112255277280865</v>
      </c>
      <c r="X192">
        <v>1.3651610912343475</v>
      </c>
      <c r="Y192">
        <v>0.26226217585674594</v>
      </c>
      <c r="Z192">
        <v>1.8733012561196136</v>
      </c>
      <c r="AA192">
        <v>0.23684951094129722</v>
      </c>
      <c r="AB192">
        <v>1.6917822210092657</v>
      </c>
      <c r="AC192">
        <v>0.20327420345519723</v>
      </c>
      <c r="AD192">
        <v>1.4519585961085515</v>
      </c>
      <c r="AE192">
        <v>0.12778582265536664</v>
      </c>
      <c r="AF192">
        <v>0.91275587610976161</v>
      </c>
      <c r="AG192">
        <v>0.24461058238608518</v>
      </c>
      <c r="AH192">
        <v>1.747218445614894</v>
      </c>
      <c r="AI192">
        <v>0.16897223598041747</v>
      </c>
      <c r="AJ192">
        <v>1.2069445427172676</v>
      </c>
      <c r="AK192">
        <v>0.22483633288707042</v>
      </c>
      <c r="AL192">
        <v>1.605973806336217</v>
      </c>
      <c r="AM192">
        <v>0.18659450641079414</v>
      </c>
      <c r="AN192">
        <v>1.3328179029342437</v>
      </c>
      <c r="AO192">
        <v>0.191852759584552</v>
      </c>
      <c r="AP192">
        <v>1.3703768541753714</v>
      </c>
      <c r="AQ192">
        <v>0.16859193564575392</v>
      </c>
      <c r="AR192">
        <v>1.204228111755385</v>
      </c>
    </row>
    <row r="193" spans="1:44" x14ac:dyDescent="0.3">
      <c r="B193">
        <v>20</v>
      </c>
      <c r="C193">
        <v>1</v>
      </c>
      <c r="D193">
        <v>40</v>
      </c>
      <c r="E193">
        <v>2.8</v>
      </c>
      <c r="F193">
        <v>40</v>
      </c>
      <c r="G193">
        <v>50</v>
      </c>
      <c r="H193">
        <v>3.7261485294905368E-2</v>
      </c>
      <c r="I193">
        <v>259.42359080488586</v>
      </c>
      <c r="J193">
        <v>0.4157818428028684</v>
      </c>
      <c r="K193">
        <v>95.423685658071264</v>
      </c>
      <c r="L193">
        <v>219.74815493493134</v>
      </c>
      <c r="M193">
        <v>0.17</v>
      </c>
      <c r="N193">
        <v>0.21246004203461805</v>
      </c>
      <c r="O193">
        <v>1.2497649531448118</v>
      </c>
      <c r="P193">
        <v>0.20471642370993251</v>
      </c>
      <c r="Q193">
        <v>1.2042142571172501</v>
      </c>
      <c r="R193">
        <v>0.21074491629330622</v>
      </c>
      <c r="S193">
        <v>1.2396759781959188</v>
      </c>
      <c r="T193">
        <v>0.21898738531756209</v>
      </c>
      <c r="U193">
        <v>0.25462724595282982</v>
      </c>
      <c r="V193">
        <v>1.2881610901033063</v>
      </c>
      <c r="W193">
        <v>0.22681396563117887</v>
      </c>
      <c r="X193">
        <v>1.3341997978304638</v>
      </c>
      <c r="Y193">
        <v>0.31723563596323379</v>
      </c>
      <c r="Z193">
        <v>1.8660919762543162</v>
      </c>
      <c r="AA193">
        <v>0.27316310824578488</v>
      </c>
      <c r="AB193">
        <v>1.6068418132104991</v>
      </c>
      <c r="AC193">
        <v>0.24193348314627106</v>
      </c>
      <c r="AD193">
        <v>1.4231381361545354</v>
      </c>
      <c r="AE193">
        <v>0.14937072949795668</v>
      </c>
      <c r="AF193">
        <v>0.87865134998798045</v>
      </c>
      <c r="AG193">
        <v>0.28211410160334066</v>
      </c>
      <c r="AH193">
        <v>1.6594947153137685</v>
      </c>
      <c r="AI193">
        <v>0.22370555374959566</v>
      </c>
      <c r="AJ193">
        <v>1.3159150220564451</v>
      </c>
      <c r="AK193">
        <v>0.2635905879261381</v>
      </c>
      <c r="AL193">
        <v>1.5505328701537533</v>
      </c>
      <c r="AM193">
        <v>0.23935254963546859</v>
      </c>
      <c r="AN193">
        <v>1.4079561743262858</v>
      </c>
      <c r="AO193">
        <v>0.24422578441956649</v>
      </c>
      <c r="AP193">
        <v>1.4366222612915676</v>
      </c>
      <c r="AQ193">
        <v>0.21769899938994422</v>
      </c>
      <c r="AR193">
        <v>1.2805823493526129</v>
      </c>
    </row>
    <row r="194" spans="1:44" x14ac:dyDescent="0.3">
      <c r="B194">
        <v>20</v>
      </c>
      <c r="C194">
        <v>1</v>
      </c>
      <c r="D194">
        <v>40</v>
      </c>
      <c r="E194">
        <v>2.8</v>
      </c>
      <c r="F194">
        <v>40</v>
      </c>
      <c r="G194">
        <v>50</v>
      </c>
      <c r="H194">
        <v>3.7261485294905368E-2</v>
      </c>
      <c r="I194">
        <v>294.14771693820313</v>
      </c>
      <c r="J194">
        <v>0.36603637750677936</v>
      </c>
      <c r="K194">
        <v>95.423685658071264</v>
      </c>
      <c r="L194">
        <v>259.21917671157712</v>
      </c>
      <c r="M194">
        <v>0.21</v>
      </c>
      <c r="N194">
        <v>0.24895166761821755</v>
      </c>
      <c r="O194">
        <v>1.1854841315153217</v>
      </c>
      <c r="P194">
        <v>0.2472176947443834</v>
      </c>
      <c r="Q194">
        <v>1.1772271178303972</v>
      </c>
      <c r="R194">
        <v>0.24694195600663396</v>
      </c>
      <c r="S194">
        <v>1.1759140762220666</v>
      </c>
      <c r="T194">
        <v>0.24829908193613023</v>
      </c>
      <c r="U194">
        <v>0.32735343612391454</v>
      </c>
      <c r="V194">
        <v>1.1823765806482394</v>
      </c>
      <c r="W194">
        <v>0.2627506802961358</v>
      </c>
      <c r="X194">
        <v>1.2511937156958848</v>
      </c>
      <c r="Y194">
        <v>0.37096260696987954</v>
      </c>
      <c r="Z194">
        <v>1.766488604618474</v>
      </c>
      <c r="AA194">
        <v>0.30972628353861942</v>
      </c>
      <c r="AB194">
        <v>1.4748870644696164</v>
      </c>
      <c r="AC194">
        <v>0.28085846235412198</v>
      </c>
      <c r="AD194">
        <v>1.3374212493053428</v>
      </c>
      <c r="AE194">
        <v>0.17110398621575354</v>
      </c>
      <c r="AF194">
        <v>0.81478088674168359</v>
      </c>
      <c r="AG194">
        <v>0.3198753769664191</v>
      </c>
      <c r="AH194">
        <v>1.5232160807924719</v>
      </c>
      <c r="AI194">
        <v>0.27881504552406022</v>
      </c>
      <c r="AJ194">
        <v>1.3276906929717154</v>
      </c>
      <c r="AK194">
        <v>0.30320664805892433</v>
      </c>
      <c r="AL194">
        <v>1.443841181232973</v>
      </c>
      <c r="AM194">
        <v>0.29120680859703219</v>
      </c>
      <c r="AN194">
        <v>1.3866990885572961</v>
      </c>
      <c r="AO194">
        <v>0.29801653732023686</v>
      </c>
      <c r="AP194">
        <v>1.4191263681916042</v>
      </c>
      <c r="AQ194">
        <v>0.26874528153003946</v>
      </c>
      <c r="AR194">
        <v>1.2797394358573309</v>
      </c>
    </row>
    <row r="195" spans="1:44" x14ac:dyDescent="0.3">
      <c r="A195" t="s">
        <v>46</v>
      </c>
      <c r="B195">
        <v>20</v>
      </c>
      <c r="C195">
        <v>1</v>
      </c>
      <c r="D195">
        <v>40</v>
      </c>
      <c r="E195">
        <v>2.8</v>
      </c>
      <c r="F195">
        <v>40</v>
      </c>
      <c r="G195">
        <v>50</v>
      </c>
      <c r="H195">
        <v>3.7261485294905368E-2</v>
      </c>
      <c r="I195">
        <v>154.30311339788094</v>
      </c>
      <c r="J195">
        <v>0.6</v>
      </c>
      <c r="K195">
        <v>95.423685658071264</v>
      </c>
      <c r="L195">
        <v>97.048902003038179</v>
      </c>
      <c r="M195">
        <v>0.21</v>
      </c>
      <c r="N195">
        <v>0.10198880690611019</v>
      </c>
      <c r="O195">
        <v>0.48566098526719137</v>
      </c>
      <c r="P195">
        <v>7.6052166346253336E-2</v>
      </c>
      <c r="Q195">
        <v>0.36215317307739686</v>
      </c>
      <c r="R195">
        <v>0.10116548207582587</v>
      </c>
      <c r="S195">
        <v>0.48174039083726611</v>
      </c>
      <c r="T195">
        <v>0.13025197610025843</v>
      </c>
      <c r="U195">
        <v>9.0081439601391769E-2</v>
      </c>
      <c r="V195">
        <v>0.42895923619710369</v>
      </c>
      <c r="W195">
        <v>0.1180226144099611</v>
      </c>
      <c r="X195">
        <v>0.56201244957124341</v>
      </c>
      <c r="Y195">
        <v>0.14010405042378313</v>
      </c>
      <c r="Z195">
        <v>0.66716214487515779</v>
      </c>
      <c r="AA195">
        <v>0.16247527041389301</v>
      </c>
      <c r="AB195">
        <v>0.77369176387568106</v>
      </c>
      <c r="AC195">
        <v>0.12409574745560968</v>
      </c>
      <c r="AD195">
        <v>0.59093213074099848</v>
      </c>
      <c r="AE195">
        <v>8.3577559843738908E-2</v>
      </c>
      <c r="AF195">
        <v>0.39798838020828053</v>
      </c>
      <c r="AG195">
        <v>0.16779925093081291</v>
      </c>
      <c r="AH195">
        <v>0.79904405205149009</v>
      </c>
      <c r="AI195">
        <v>7.6052166346253336E-2</v>
      </c>
      <c r="AJ195">
        <v>0.36215317307739686</v>
      </c>
      <c r="AK195">
        <v>0.14852557129245955</v>
      </c>
      <c r="AL195">
        <v>0.70726462520218836</v>
      </c>
      <c r="AM195">
        <v>7.6052166346253336E-2</v>
      </c>
      <c r="AN195">
        <v>0.36215317307739686</v>
      </c>
      <c r="AO195">
        <v>8.7855053581016015E-2</v>
      </c>
      <c r="AP195">
        <v>0.41835739800483818</v>
      </c>
      <c r="AQ195">
        <v>7.2963774529797104E-2</v>
      </c>
      <c r="AR195">
        <v>0.3474465453799862</v>
      </c>
    </row>
    <row r="196" spans="1:44" x14ac:dyDescent="0.3">
      <c r="B196">
        <v>20</v>
      </c>
      <c r="C196">
        <v>1</v>
      </c>
      <c r="D196">
        <v>40</v>
      </c>
      <c r="E196">
        <v>2.8</v>
      </c>
      <c r="F196">
        <v>40</v>
      </c>
      <c r="G196">
        <v>50</v>
      </c>
      <c r="H196">
        <v>3.7261485294905368E-2</v>
      </c>
      <c r="I196">
        <v>190.33087566589617</v>
      </c>
      <c r="J196">
        <v>0.6</v>
      </c>
      <c r="K196">
        <v>95.423685658071264</v>
      </c>
      <c r="L196">
        <v>133.0766642710534</v>
      </c>
      <c r="M196">
        <v>0.25</v>
      </c>
      <c r="N196">
        <v>0.13985042525905989</v>
      </c>
      <c r="O196">
        <v>0.55940170103623954</v>
      </c>
      <c r="P196">
        <v>0.12014904823865298</v>
      </c>
      <c r="Q196">
        <v>0.48059619295461192</v>
      </c>
      <c r="R196">
        <v>0.13872145502071204</v>
      </c>
      <c r="S196">
        <v>0.55488582008284815</v>
      </c>
      <c r="T196">
        <v>0.16066411184102541</v>
      </c>
      <c r="U196">
        <v>0.13705801304842097</v>
      </c>
      <c r="V196">
        <v>0.54823205219368387</v>
      </c>
      <c r="W196">
        <v>0.15530848901114511</v>
      </c>
      <c r="X196">
        <v>0.62123395604458043</v>
      </c>
      <c r="Y196">
        <v>0.20460235210887237</v>
      </c>
      <c r="Z196">
        <v>0.81840940843548948</v>
      </c>
      <c r="AA196">
        <v>0.20041112464263613</v>
      </c>
      <c r="AB196">
        <v>0.80164449857054454</v>
      </c>
      <c r="AC196">
        <v>0.16448207400573495</v>
      </c>
      <c r="AD196">
        <v>0.65792829602293978</v>
      </c>
      <c r="AE196">
        <v>0.10612674087517321</v>
      </c>
      <c r="AF196">
        <v>0.42450696350069284</v>
      </c>
      <c r="AG196">
        <v>0.20697818509591828</v>
      </c>
      <c r="AH196">
        <v>0.82791274038367313</v>
      </c>
      <c r="AI196">
        <v>0.12014904823865298</v>
      </c>
      <c r="AJ196">
        <v>0.48059619295461192</v>
      </c>
      <c r="AK196">
        <v>0.18678749152515126</v>
      </c>
      <c r="AL196">
        <v>0.74714996610060502</v>
      </c>
      <c r="AM196">
        <v>0.1322246692667137</v>
      </c>
      <c r="AN196">
        <v>0.52889867706685478</v>
      </c>
      <c r="AO196">
        <v>0.14035211948859078</v>
      </c>
      <c r="AP196">
        <v>0.56140847795436311</v>
      </c>
      <c r="AQ196">
        <v>0.1209096320134567</v>
      </c>
      <c r="AR196">
        <v>0.48363852805382679</v>
      </c>
    </row>
    <row r="197" spans="1:44" x14ac:dyDescent="0.3">
      <c r="B197">
        <v>20</v>
      </c>
      <c r="C197">
        <v>1</v>
      </c>
      <c r="D197">
        <v>40</v>
      </c>
      <c r="E197">
        <v>2.8</v>
      </c>
      <c r="F197">
        <v>40</v>
      </c>
      <c r="G197">
        <v>50</v>
      </c>
      <c r="H197">
        <v>3.7261485294905368E-2</v>
      </c>
      <c r="I197">
        <v>224.34392754392366</v>
      </c>
      <c r="J197">
        <v>0.56674865368811078</v>
      </c>
      <c r="K197">
        <v>95.423685658071264</v>
      </c>
      <c r="L197">
        <v>170.2626821672543</v>
      </c>
      <c r="M197">
        <v>0.28999999999999998</v>
      </c>
      <c r="N197">
        <v>0.17559478205937751</v>
      </c>
      <c r="O197">
        <v>0.6054992484806121</v>
      </c>
      <c r="P197">
        <v>0.16177998607785915</v>
      </c>
      <c r="Q197">
        <v>0.55786202095813509</v>
      </c>
      <c r="R197">
        <v>0.17417725842591705</v>
      </c>
      <c r="S197">
        <v>0.60061123595143817</v>
      </c>
      <c r="T197">
        <v>0.18937556893839419</v>
      </c>
      <c r="U197">
        <v>0.19042088424647874</v>
      </c>
      <c r="V197">
        <v>0.65301920323584206</v>
      </c>
      <c r="W197">
        <v>0.1905092982563418</v>
      </c>
      <c r="X197">
        <v>0.65692861467704078</v>
      </c>
      <c r="Y197">
        <v>0.26129919414968328</v>
      </c>
      <c r="Z197">
        <v>0.90103170396442511</v>
      </c>
      <c r="AA197">
        <v>0.23622556597042974</v>
      </c>
      <c r="AB197">
        <v>0.81457091713941299</v>
      </c>
      <c r="AC197">
        <v>0.20260995466325438</v>
      </c>
      <c r="AD197">
        <v>0.69865501608018754</v>
      </c>
      <c r="AE197">
        <v>0.12741494796734962</v>
      </c>
      <c r="AF197">
        <v>0.43936188954258493</v>
      </c>
      <c r="AG197">
        <v>0.24396619202152753</v>
      </c>
      <c r="AH197">
        <v>0.84126273110871563</v>
      </c>
      <c r="AI197">
        <v>0.1680318009672013</v>
      </c>
      <c r="AJ197">
        <v>0.57942000333517696</v>
      </c>
      <c r="AK197">
        <v>0.22417685738802134</v>
      </c>
      <c r="AL197">
        <v>0.77302364616559094</v>
      </c>
      <c r="AM197">
        <v>0.18567609178676434</v>
      </c>
      <c r="AN197">
        <v>0.64026238547160119</v>
      </c>
      <c r="AO197">
        <v>0.19096202846079535</v>
      </c>
      <c r="AP197">
        <v>0.65848975331308746</v>
      </c>
      <c r="AQ197">
        <v>0.16776202536760179</v>
      </c>
      <c r="AR197">
        <v>0.57848974264690278</v>
      </c>
    </row>
    <row r="198" spans="1:44" x14ac:dyDescent="0.3">
      <c r="B198">
        <v>20</v>
      </c>
      <c r="C198">
        <v>1</v>
      </c>
      <c r="D198">
        <v>40</v>
      </c>
      <c r="E198">
        <v>2.8</v>
      </c>
      <c r="F198">
        <v>40</v>
      </c>
      <c r="G198">
        <v>50</v>
      </c>
      <c r="H198">
        <v>3.7261485294905368E-2</v>
      </c>
      <c r="I198">
        <v>258.47549179783277</v>
      </c>
      <c r="J198">
        <v>0.50083402730785509</v>
      </c>
      <c r="K198">
        <v>95.423685658071264</v>
      </c>
      <c r="L198">
        <v>210.68406300914214</v>
      </c>
      <c r="M198">
        <v>0.33</v>
      </c>
      <c r="N198">
        <v>0.21146368365690876</v>
      </c>
      <c r="O198">
        <v>0.640799041384572</v>
      </c>
      <c r="P198">
        <v>0.2035559794496061</v>
      </c>
      <c r="Q198">
        <v>0.61683630136244272</v>
      </c>
      <c r="R198">
        <v>0.20975660121580914</v>
      </c>
      <c r="S198">
        <v>0.63562606429033064</v>
      </c>
      <c r="T198">
        <v>0.21818706595596291</v>
      </c>
      <c r="U198">
        <v>0.25276950663150632</v>
      </c>
      <c r="V198">
        <v>0.66117292713928155</v>
      </c>
      <c r="W198">
        <v>0.22583275840483186</v>
      </c>
      <c r="X198">
        <v>0.68434169213585405</v>
      </c>
      <c r="Y198">
        <v>0.31574879558393154</v>
      </c>
      <c r="Z198">
        <v>0.95681453207251976</v>
      </c>
      <c r="AA198">
        <v>0.27216479629239682</v>
      </c>
      <c r="AB198">
        <v>0.824741806946657</v>
      </c>
      <c r="AC198">
        <v>0.2408706850791624</v>
      </c>
      <c r="AD198">
        <v>0.72991116690655267</v>
      </c>
      <c r="AE198">
        <v>0.14877732999712945</v>
      </c>
      <c r="AF198">
        <v>0.45084039393069525</v>
      </c>
      <c r="AG198">
        <v>0.28108307702004831</v>
      </c>
      <c r="AH198">
        <v>0.8517669000607524</v>
      </c>
      <c r="AI198">
        <v>0.22220085772844975</v>
      </c>
      <c r="AJ198">
        <v>0.67333593251045376</v>
      </c>
      <c r="AK198">
        <v>0.26251642996351654</v>
      </c>
      <c r="AL198">
        <v>0.79550433322277736</v>
      </c>
      <c r="AM198">
        <v>0.23791964376894087</v>
      </c>
      <c r="AN198">
        <v>0.72096861748163898</v>
      </c>
      <c r="AO198">
        <v>0.24277198063647665</v>
      </c>
      <c r="AP198">
        <v>0.73567266859538372</v>
      </c>
      <c r="AQ198">
        <v>0.21632778459654262</v>
      </c>
      <c r="AR198">
        <v>0.65553874120164424</v>
      </c>
    </row>
    <row r="199" spans="1:44" x14ac:dyDescent="0.3">
      <c r="B199">
        <v>20</v>
      </c>
      <c r="C199">
        <v>1</v>
      </c>
      <c r="D199">
        <v>40</v>
      </c>
      <c r="E199">
        <v>2.8</v>
      </c>
      <c r="F199">
        <v>40</v>
      </c>
      <c r="G199">
        <v>50</v>
      </c>
      <c r="H199">
        <v>3.7261485294905368E-2</v>
      </c>
      <c r="I199">
        <v>306.71002878165581</v>
      </c>
      <c r="J199">
        <v>0.40768384349964637</v>
      </c>
      <c r="K199">
        <v>95.423685658071264</v>
      </c>
      <c r="L199">
        <v>267.80733385167122</v>
      </c>
      <c r="M199">
        <v>0.37</v>
      </c>
      <c r="N199">
        <v>0.26215341612286447</v>
      </c>
      <c r="O199">
        <v>0.70852274627801204</v>
      </c>
      <c r="P199">
        <v>0.26259358119370696</v>
      </c>
      <c r="Q199">
        <v>0.70971238160461336</v>
      </c>
      <c r="R199">
        <v>0.26003713078346924</v>
      </c>
      <c r="S199">
        <v>0.70280305617153849</v>
      </c>
      <c r="T199">
        <v>0.25890331347731865</v>
      </c>
      <c r="U199">
        <v>0.35591139567956681</v>
      </c>
      <c r="V199">
        <v>0.69973868507383419</v>
      </c>
      <c r="W199">
        <v>0.27575167604523287</v>
      </c>
      <c r="X199">
        <v>0.745274800122251</v>
      </c>
      <c r="Y199">
        <v>0.39010522592092528</v>
      </c>
      <c r="Z199">
        <v>1.0543384484349332</v>
      </c>
      <c r="AA199">
        <v>0.32295391692101011</v>
      </c>
      <c r="AB199">
        <v>0.87284842411083818</v>
      </c>
      <c r="AC199">
        <v>0.29494053674331033</v>
      </c>
      <c r="AD199">
        <v>0.79713658579273061</v>
      </c>
      <c r="AE199">
        <v>0.17896652960171419</v>
      </c>
      <c r="AF199">
        <v>0.48369332324787617</v>
      </c>
      <c r="AG199">
        <v>0.33353645269504134</v>
      </c>
      <c r="AH199">
        <v>0.90144987214876038</v>
      </c>
      <c r="AI199">
        <v>0.29875226780424197</v>
      </c>
      <c r="AJ199">
        <v>0.80743856163308636</v>
      </c>
      <c r="AK199">
        <v>0.31765372618775095</v>
      </c>
      <c r="AL199">
        <v>0.85852358429121878</v>
      </c>
      <c r="AM199">
        <v>0.30968334049108698</v>
      </c>
      <c r="AN199">
        <v>0.83698200132726208</v>
      </c>
      <c r="AO199">
        <v>0.31773812520370376</v>
      </c>
      <c r="AP199">
        <v>0.85875168973973992</v>
      </c>
      <c r="AQ199">
        <v>0.28760843485007176</v>
      </c>
      <c r="AR199">
        <v>0.77732009418938319</v>
      </c>
    </row>
    <row r="200" spans="1:44" x14ac:dyDescent="0.3">
      <c r="A200" t="s">
        <v>47</v>
      </c>
      <c r="B200">
        <v>20</v>
      </c>
      <c r="C200">
        <v>6</v>
      </c>
      <c r="D200">
        <v>84</v>
      </c>
      <c r="E200">
        <v>3.5088212858554391</v>
      </c>
      <c r="F200">
        <v>50</v>
      </c>
      <c r="G200">
        <v>64</v>
      </c>
      <c r="H200">
        <v>3.1012448894699375E-2</v>
      </c>
      <c r="I200">
        <v>179.8880402629556</v>
      </c>
      <c r="J200">
        <v>0.6</v>
      </c>
      <c r="K200">
        <v>134.73248610695447</v>
      </c>
      <c r="L200">
        <v>99.048548598782915</v>
      </c>
      <c r="M200">
        <v>0.15</v>
      </c>
      <c r="N200">
        <v>0.13165888294921016</v>
      </c>
      <c r="O200">
        <v>0.87772588632806781</v>
      </c>
      <c r="P200">
        <v>0.11112967472357412</v>
      </c>
      <c r="Q200">
        <v>0.74086449815716082</v>
      </c>
      <c r="R200">
        <v>0.14372200877992905</v>
      </c>
      <c r="S200">
        <v>0.95814672519952704</v>
      </c>
      <c r="T200">
        <v>0.18553423573636568</v>
      </c>
      <c r="U200">
        <v>0.1026441456405006</v>
      </c>
      <c r="V200">
        <v>0.68429430427000404</v>
      </c>
      <c r="W200">
        <v>0.1794510728837965</v>
      </c>
      <c r="X200">
        <v>1.1963404858919766</v>
      </c>
      <c r="Y200">
        <v>0.18142626809901571</v>
      </c>
      <c r="Z200">
        <v>1.2095084539934382</v>
      </c>
      <c r="AA200">
        <v>0.24579967428747088</v>
      </c>
      <c r="AB200">
        <v>1.638664495249806</v>
      </c>
      <c r="AC200">
        <v>9.6590039935230895E-2</v>
      </c>
      <c r="AD200">
        <v>0.64393359956820595</v>
      </c>
      <c r="AE200">
        <v>0.22462944676363292</v>
      </c>
      <c r="AF200">
        <v>1.4975296450908862</v>
      </c>
      <c r="AG200">
        <v>0.23457569596147687</v>
      </c>
      <c r="AH200">
        <v>1.5638379730765126</v>
      </c>
      <c r="AI200">
        <v>0.11112967472357412</v>
      </c>
      <c r="AJ200">
        <v>0.74086449815716082</v>
      </c>
      <c r="AK200">
        <v>0.2092070126114495</v>
      </c>
      <c r="AL200">
        <v>1.3947134174096634</v>
      </c>
      <c r="AM200">
        <v>0.12581379818318822</v>
      </c>
      <c r="AN200">
        <v>0.8387586545545882</v>
      </c>
      <c r="AO200">
        <v>0.12026504916071099</v>
      </c>
      <c r="AP200">
        <v>0.80176699440473997</v>
      </c>
      <c r="AQ200">
        <v>0.10238010699364838</v>
      </c>
      <c r="AR200">
        <v>0.6825340466243226</v>
      </c>
    </row>
    <row r="201" spans="1:44" x14ac:dyDescent="0.3">
      <c r="B201">
        <v>20</v>
      </c>
      <c r="C201">
        <v>6</v>
      </c>
      <c r="D201">
        <v>84</v>
      </c>
      <c r="E201">
        <v>3.5088212858554391</v>
      </c>
      <c r="F201">
        <v>50</v>
      </c>
      <c r="G201">
        <v>64</v>
      </c>
      <c r="H201">
        <v>3.1012448894699375E-2</v>
      </c>
      <c r="I201">
        <v>225.29667178564338</v>
      </c>
      <c r="J201">
        <v>0.54833381513449586</v>
      </c>
      <c r="K201">
        <v>134.73248610695447</v>
      </c>
      <c r="L201">
        <v>151.41829365606156</v>
      </c>
      <c r="M201">
        <v>0.23</v>
      </c>
      <c r="N201">
        <v>0.19201766444682036</v>
      </c>
      <c r="O201">
        <v>0.83485941063834934</v>
      </c>
      <c r="P201">
        <v>0.15812571226520117</v>
      </c>
      <c r="Q201">
        <v>0.68750309680522248</v>
      </c>
      <c r="R201">
        <v>0.19235738777105407</v>
      </c>
      <c r="S201">
        <v>0.83633646856980026</v>
      </c>
      <c r="T201">
        <v>0.23236812048535119</v>
      </c>
      <c r="U201">
        <v>0.16100492295254692</v>
      </c>
      <c r="V201">
        <v>0.70002140414150837</v>
      </c>
      <c r="W201">
        <v>0.2397953842270677</v>
      </c>
      <c r="X201">
        <v>1.0425886270742073</v>
      </c>
      <c r="Y201">
        <v>0.28653185735533826</v>
      </c>
      <c r="Z201">
        <v>1.2457906841536446</v>
      </c>
      <c r="AA201">
        <v>0.30784619401052171</v>
      </c>
      <c r="AB201">
        <v>1.3384617130892247</v>
      </c>
      <c r="AC201">
        <v>0.12839861103259623</v>
      </c>
      <c r="AD201">
        <v>0.55825483057650527</v>
      </c>
      <c r="AE201">
        <v>0.29310374580479831</v>
      </c>
      <c r="AF201">
        <v>1.2743641121947753</v>
      </c>
      <c r="AG201">
        <v>0.29378897843718943</v>
      </c>
      <c r="AH201">
        <v>1.2773433845095192</v>
      </c>
      <c r="AI201">
        <v>0.17447193318140625</v>
      </c>
      <c r="AJ201">
        <v>0.75857362252785321</v>
      </c>
      <c r="AK201">
        <v>0.26890114819693839</v>
      </c>
      <c r="AL201">
        <v>1.1691354269432104</v>
      </c>
      <c r="AM201">
        <v>0.202345757337866</v>
      </c>
      <c r="AN201">
        <v>0.87976416233854782</v>
      </c>
      <c r="AO201">
        <v>0.17575873483822796</v>
      </c>
      <c r="AP201">
        <v>0.76416841234012156</v>
      </c>
      <c r="AQ201">
        <v>0.15471417112529001</v>
      </c>
      <c r="AR201">
        <v>0.67267030924039128</v>
      </c>
    </row>
    <row r="202" spans="1:44" x14ac:dyDescent="0.3">
      <c r="B202">
        <v>20</v>
      </c>
      <c r="C202">
        <v>6</v>
      </c>
      <c r="D202">
        <v>84</v>
      </c>
      <c r="E202">
        <v>3.5088212858554391</v>
      </c>
      <c r="F202">
        <v>50</v>
      </c>
      <c r="G202">
        <v>64</v>
      </c>
      <c r="H202">
        <v>3.1012448894699375E-2</v>
      </c>
      <c r="I202">
        <v>270.70530330833117</v>
      </c>
      <c r="J202">
        <v>0.45730032051044089</v>
      </c>
      <c r="K202">
        <v>134.73248610695447</v>
      </c>
      <c r="L202">
        <v>209.09209422845237</v>
      </c>
      <c r="M202">
        <v>0.28000000000000003</v>
      </c>
      <c r="N202">
        <v>0.25237644594443065</v>
      </c>
      <c r="O202">
        <v>0.90134444980153794</v>
      </c>
      <c r="P202">
        <v>0.22825608951794205</v>
      </c>
      <c r="Q202">
        <v>0.81520031970693585</v>
      </c>
      <c r="R202">
        <v>0.25282295780791741</v>
      </c>
      <c r="S202">
        <v>0.90293913502827639</v>
      </c>
      <c r="T202">
        <v>0.27920200523433669</v>
      </c>
      <c r="U202">
        <v>0.2324465641448796</v>
      </c>
      <c r="V202">
        <v>0.83016630051742712</v>
      </c>
      <c r="W202">
        <v>0.30013969557033893</v>
      </c>
      <c r="X202">
        <v>1.0719274841797817</v>
      </c>
      <c r="Y202">
        <v>0.38280381975996458</v>
      </c>
      <c r="Z202">
        <v>1.3671564991427305</v>
      </c>
      <c r="AA202">
        <v>0.36989271373357252</v>
      </c>
      <c r="AB202">
        <v>1.3210454061913304</v>
      </c>
      <c r="AC202">
        <v>0.16020718212996152</v>
      </c>
      <c r="AD202">
        <v>0.57216850760700533</v>
      </c>
      <c r="AE202">
        <v>0.36157804484596373</v>
      </c>
      <c r="AF202">
        <v>1.2913501601641562</v>
      </c>
      <c r="AG202">
        <v>0.35300226091290199</v>
      </c>
      <c r="AH202">
        <v>1.2607223604032212</v>
      </c>
      <c r="AI202">
        <v>0.27340361669998869</v>
      </c>
      <c r="AJ202">
        <v>0.97644148821424526</v>
      </c>
      <c r="AK202">
        <v>0.33118720341248126</v>
      </c>
      <c r="AL202">
        <v>1.1828114407588615</v>
      </c>
      <c r="AM202">
        <v>0.29560609196196547</v>
      </c>
      <c r="AN202">
        <v>1.0557360427213052</v>
      </c>
      <c r="AO202">
        <v>0.25546622204871117</v>
      </c>
      <c r="AP202">
        <v>0.91237936445968271</v>
      </c>
      <c r="AQ202">
        <v>0.2332246375846615</v>
      </c>
      <c r="AR202">
        <v>0.83294513423093386</v>
      </c>
    </row>
    <row r="203" spans="1:44" x14ac:dyDescent="0.3">
      <c r="A203" t="s">
        <v>48</v>
      </c>
      <c r="B203">
        <v>20</v>
      </c>
      <c r="C203">
        <v>9</v>
      </c>
      <c r="D203">
        <v>45</v>
      </c>
      <c r="E203">
        <v>3.5088212858554391</v>
      </c>
      <c r="F203">
        <v>50</v>
      </c>
      <c r="G203">
        <v>64</v>
      </c>
      <c r="H203">
        <v>4.9328037963777847E-2</v>
      </c>
      <c r="I203">
        <v>176.83957373352104</v>
      </c>
      <c r="J203">
        <v>0.6</v>
      </c>
      <c r="K203">
        <v>92.722529128704892</v>
      </c>
      <c r="L203">
        <v>121.2060562562981</v>
      </c>
      <c r="M203">
        <v>0.18</v>
      </c>
      <c r="N203">
        <v>0.12272095972411494</v>
      </c>
      <c r="O203">
        <v>0.68178310957841637</v>
      </c>
      <c r="P203">
        <v>0.11794821671353553</v>
      </c>
      <c r="Q203">
        <v>0.65526787063075298</v>
      </c>
      <c r="R203">
        <v>0.13790150792584993</v>
      </c>
      <c r="S203">
        <v>0.76611948847694411</v>
      </c>
      <c r="T203">
        <v>0.15058108016807392</v>
      </c>
      <c r="U203">
        <v>0.10035281057140449</v>
      </c>
      <c r="V203">
        <v>0.5575156142855805</v>
      </c>
      <c r="W203">
        <v>0.12925750125388741</v>
      </c>
      <c r="X203">
        <v>0.71809722918826335</v>
      </c>
      <c r="Y203">
        <v>0.18258746810139406</v>
      </c>
      <c r="Z203">
        <v>1.0143748227855227</v>
      </c>
      <c r="AA203">
        <v>0.18565179539027393</v>
      </c>
      <c r="AB203">
        <v>1.0313988632792996</v>
      </c>
      <c r="AC203">
        <v>7.26410069353427E-2</v>
      </c>
      <c r="AD203">
        <v>0.40356114964079282</v>
      </c>
      <c r="AE203">
        <v>0.22580404183364336</v>
      </c>
      <c r="AF203">
        <v>1.2544668990757966</v>
      </c>
      <c r="AG203">
        <v>0.20474891148564389</v>
      </c>
      <c r="AH203">
        <v>1.1374939526980217</v>
      </c>
      <c r="AI203">
        <v>0.11794821671353553</v>
      </c>
      <c r="AJ203">
        <v>0.65526787063075298</v>
      </c>
      <c r="AK203">
        <v>0.18654642524253881</v>
      </c>
      <c r="AL203">
        <v>1.0363690291252157</v>
      </c>
      <c r="AM203">
        <v>0.12664621369554047</v>
      </c>
      <c r="AN203">
        <v>0.70359007608633595</v>
      </c>
      <c r="AO203">
        <v>0.13326835397273526</v>
      </c>
      <c r="AP203">
        <v>0.74037974429297371</v>
      </c>
      <c r="AQ203">
        <v>0.11851185898648847</v>
      </c>
      <c r="AR203">
        <v>0.65839921659160261</v>
      </c>
    </row>
    <row r="204" spans="1:44" x14ac:dyDescent="0.3">
      <c r="B204">
        <v>20</v>
      </c>
      <c r="C204">
        <v>9</v>
      </c>
      <c r="D204">
        <v>45</v>
      </c>
      <c r="E204">
        <v>3.5088212858554391</v>
      </c>
      <c r="F204">
        <v>50</v>
      </c>
      <c r="G204">
        <v>64</v>
      </c>
      <c r="H204">
        <v>4.9328037963777847E-2</v>
      </c>
      <c r="I204">
        <v>220.75275647271758</v>
      </c>
      <c r="J204">
        <v>0.55744328345231375</v>
      </c>
      <c r="K204">
        <v>92.722529128704892</v>
      </c>
      <c r="L204">
        <v>169.06520538520951</v>
      </c>
      <c r="M204">
        <v>0.26</v>
      </c>
      <c r="N204">
        <v>0.16718299484634599</v>
      </c>
      <c r="O204">
        <v>0.64301151863979222</v>
      </c>
      <c r="P204">
        <v>0.17512939694084201</v>
      </c>
      <c r="Q204">
        <v>0.67357460361862309</v>
      </c>
      <c r="R204">
        <v>0.18786348428743904</v>
      </c>
      <c r="S204">
        <v>0.72255186264399629</v>
      </c>
      <c r="T204">
        <v>0.18797369739101846</v>
      </c>
      <c r="U204">
        <v>0.15638060603253504</v>
      </c>
      <c r="V204">
        <v>0.60146386935590401</v>
      </c>
      <c r="W204">
        <v>0.16816215707854121</v>
      </c>
      <c r="X204">
        <v>0.64677752722515847</v>
      </c>
      <c r="Y204">
        <v>0.25171665079763234</v>
      </c>
      <c r="Z204">
        <v>0.96814096460627819</v>
      </c>
      <c r="AA204">
        <v>0.23175324793685206</v>
      </c>
      <c r="AB204">
        <v>0.89135864591096947</v>
      </c>
      <c r="AC204">
        <v>9.6297992222281054E-2</v>
      </c>
      <c r="AD204">
        <v>0.3703768931626194</v>
      </c>
      <c r="AE204">
        <v>0.29196389196838551</v>
      </c>
      <c r="AF204">
        <v>1.122938046032252</v>
      </c>
      <c r="AG204">
        <v>0.25559260091496488</v>
      </c>
      <c r="AH204">
        <v>0.98304846505755716</v>
      </c>
      <c r="AI204">
        <v>0.18309615198494922</v>
      </c>
      <c r="AJ204">
        <v>0.70421596917288154</v>
      </c>
      <c r="AK204">
        <v>0.23790372948936211</v>
      </c>
      <c r="AL204">
        <v>0.91501434418985428</v>
      </c>
      <c r="AM204">
        <v>0.19979007458270759</v>
      </c>
      <c r="AN204">
        <v>0.7684233637796446</v>
      </c>
      <c r="AO204">
        <v>0.19942267457808871</v>
      </c>
      <c r="AP204">
        <v>0.76701028683880268</v>
      </c>
      <c r="AQ204">
        <v>0.18298393159302145</v>
      </c>
      <c r="AR204">
        <v>0.70378435228085168</v>
      </c>
    </row>
    <row r="205" spans="1:44" x14ac:dyDescent="0.3">
      <c r="B205">
        <v>20</v>
      </c>
      <c r="C205">
        <v>9</v>
      </c>
      <c r="D205">
        <v>45</v>
      </c>
      <c r="E205">
        <v>3.5088212858554391</v>
      </c>
      <c r="F205">
        <v>50</v>
      </c>
      <c r="G205">
        <v>64</v>
      </c>
      <c r="H205">
        <v>4.9328037963777847E-2</v>
      </c>
      <c r="I205">
        <v>264.66593921191406</v>
      </c>
      <c r="J205">
        <v>0.46940780757992462</v>
      </c>
      <c r="K205">
        <v>92.722529128704892</v>
      </c>
      <c r="L205">
        <v>221.141260100343</v>
      </c>
      <c r="M205">
        <v>0.34</v>
      </c>
      <c r="N205">
        <v>0.21164502996857701</v>
      </c>
      <c r="O205">
        <v>0.62248538226052053</v>
      </c>
      <c r="P205">
        <v>0.23231057716814843</v>
      </c>
      <c r="Q205">
        <v>0.68326640343573064</v>
      </c>
      <c r="R205">
        <v>0.23782546064902813</v>
      </c>
      <c r="S205">
        <v>0.69948664896772972</v>
      </c>
      <c r="T205">
        <v>0.22536631461396298</v>
      </c>
      <c r="U205">
        <v>0.22478469064030332</v>
      </c>
      <c r="V205">
        <v>0.66113144305971561</v>
      </c>
      <c r="W205">
        <v>0.20706681290319492</v>
      </c>
      <c r="X205">
        <v>0.60902003795057325</v>
      </c>
      <c r="Y205">
        <v>0.31733477157368972</v>
      </c>
      <c r="Z205">
        <v>0.93333756345202856</v>
      </c>
      <c r="AA205">
        <v>0.27785470048343014</v>
      </c>
      <c r="AB205">
        <v>0.81721970730420623</v>
      </c>
      <c r="AC205">
        <v>0.11995497750921939</v>
      </c>
      <c r="AD205">
        <v>0.35280875738005701</v>
      </c>
      <c r="AE205">
        <v>0.35812374210312758</v>
      </c>
      <c r="AF205">
        <v>1.053305123832728</v>
      </c>
      <c r="AG205">
        <v>0.30643629034428588</v>
      </c>
      <c r="AH205">
        <v>0.90128320689495844</v>
      </c>
      <c r="AI205">
        <v>0.25675785816356672</v>
      </c>
      <c r="AJ205">
        <v>0.75517017106931383</v>
      </c>
      <c r="AK205">
        <v>0.29069074460348082</v>
      </c>
      <c r="AL205">
        <v>0.85497277824553175</v>
      </c>
      <c r="AM205">
        <v>0.27047497509120871</v>
      </c>
      <c r="AN205">
        <v>0.79551463262120203</v>
      </c>
      <c r="AO205">
        <v>0.26658652764766994</v>
      </c>
      <c r="AP205">
        <v>0.78407802249314684</v>
      </c>
      <c r="AQ205">
        <v>0.25030099686860274</v>
      </c>
      <c r="AR205">
        <v>0.73617940255471392</v>
      </c>
    </row>
    <row r="206" spans="1:44" x14ac:dyDescent="0.3">
      <c r="A206" t="s">
        <v>49</v>
      </c>
      <c r="B206">
        <v>16</v>
      </c>
      <c r="C206">
        <v>2</v>
      </c>
      <c r="D206">
        <v>52</v>
      </c>
      <c r="E206">
        <v>3.42</v>
      </c>
      <c r="F206">
        <v>27</v>
      </c>
      <c r="G206">
        <v>35</v>
      </c>
      <c r="H206">
        <v>4.8680193563528699E-2</v>
      </c>
      <c r="I206">
        <v>234.72234542321382</v>
      </c>
      <c r="J206">
        <v>0.50590946288413496</v>
      </c>
      <c r="K206">
        <v>94.165512992369187</v>
      </c>
      <c r="L206">
        <v>187.0831213230353</v>
      </c>
      <c r="M206">
        <v>0.15</v>
      </c>
      <c r="N206">
        <v>0.12947798925127468</v>
      </c>
      <c r="O206">
        <v>0.86318659500849793</v>
      </c>
      <c r="P206">
        <v>0.1175277819493063</v>
      </c>
      <c r="Q206">
        <v>0.78351854632870865</v>
      </c>
      <c r="R206">
        <v>0.13159532895532036</v>
      </c>
      <c r="S206">
        <v>0.87730219303546908</v>
      </c>
      <c r="T206">
        <v>0.17990147855742625</v>
      </c>
      <c r="U206">
        <v>0.15021092609657113</v>
      </c>
      <c r="V206">
        <v>1.0014061739771409</v>
      </c>
      <c r="W206">
        <v>0.13794033861054511</v>
      </c>
      <c r="X206">
        <v>0.9196022574036341</v>
      </c>
      <c r="Y206">
        <v>0.2264410111520157</v>
      </c>
      <c r="Z206">
        <v>1.5096067410134382</v>
      </c>
      <c r="AA206">
        <v>0.20888642052178411</v>
      </c>
      <c r="AB206">
        <v>1.3925761368118941</v>
      </c>
      <c r="AC206">
        <v>0.14254973575964078</v>
      </c>
      <c r="AD206">
        <v>0.95033157173093852</v>
      </c>
      <c r="AE206">
        <v>0.11757562159328946</v>
      </c>
      <c r="AF206">
        <v>0.78383747728859643</v>
      </c>
      <c r="AG206">
        <v>0.1862589740677553</v>
      </c>
      <c r="AH206">
        <v>1.2417264937850354</v>
      </c>
      <c r="AI206">
        <v>0.13179021349500475</v>
      </c>
      <c r="AJ206">
        <v>0.87860142330003166</v>
      </c>
      <c r="AK206">
        <v>0.16980477951357464</v>
      </c>
      <c r="AL206">
        <v>1.1320318634238311</v>
      </c>
      <c r="AM206">
        <v>0.14324945134517406</v>
      </c>
      <c r="AN206">
        <v>0.95499634230116037</v>
      </c>
      <c r="AO206">
        <v>0.14302412460246819</v>
      </c>
      <c r="AP206">
        <v>0.95349416401645459</v>
      </c>
      <c r="AQ206">
        <v>0.12090213832717135</v>
      </c>
      <c r="AR206">
        <v>0.8060142555144757</v>
      </c>
    </row>
    <row r="207" spans="1:44" x14ac:dyDescent="0.3">
      <c r="B207">
        <v>16</v>
      </c>
      <c r="C207">
        <v>2</v>
      </c>
      <c r="D207">
        <v>52</v>
      </c>
      <c r="E207">
        <v>3.42</v>
      </c>
      <c r="F207">
        <v>27</v>
      </c>
      <c r="G207">
        <v>35</v>
      </c>
      <c r="H207">
        <v>4.8680193563528699E-2</v>
      </c>
      <c r="I207">
        <v>315.66108522432211</v>
      </c>
      <c r="J207">
        <v>0.33553341560280203</v>
      </c>
      <c r="K207">
        <v>94.165512992369187</v>
      </c>
      <c r="L207">
        <v>284.06540901800247</v>
      </c>
      <c r="M207">
        <v>0.19</v>
      </c>
      <c r="N207">
        <v>0.18827950796327195</v>
      </c>
      <c r="O207">
        <v>0.99094477875406284</v>
      </c>
      <c r="P207">
        <v>0.18941639586178169</v>
      </c>
      <c r="Q207">
        <v>0.99692839927253518</v>
      </c>
      <c r="R207">
        <v>0.19135842261103625</v>
      </c>
      <c r="S207">
        <v>1.0071495926896645</v>
      </c>
      <c r="T207">
        <v>0.24193647116343533</v>
      </c>
      <c r="U207">
        <v>0.27166565825551103</v>
      </c>
      <c r="V207">
        <v>1.273349848228607</v>
      </c>
      <c r="W207">
        <v>0.19307532494670304</v>
      </c>
      <c r="X207">
        <v>1.0161859207721213</v>
      </c>
      <c r="Y207">
        <v>0.33247418629074155</v>
      </c>
      <c r="Z207">
        <v>1.7498641383723239</v>
      </c>
      <c r="AA207">
        <v>0.28091622070170974</v>
      </c>
      <c r="AB207">
        <v>1.4785064247458408</v>
      </c>
      <c r="AC207">
        <v>0.20180228813769377</v>
      </c>
      <c r="AD207">
        <v>1.0621173059878619</v>
      </c>
      <c r="AE207">
        <v>0.16222730427256263</v>
      </c>
      <c r="AF207">
        <v>0.85382791722401385</v>
      </c>
      <c r="AG207">
        <v>0.25048620650491238</v>
      </c>
      <c r="AH207">
        <v>1.3183484552890126</v>
      </c>
      <c r="AI207">
        <v>0.22950476895125482</v>
      </c>
      <c r="AJ207">
        <v>1.2079198365855517</v>
      </c>
      <c r="AK207">
        <v>0.23585124009634229</v>
      </c>
      <c r="AL207">
        <v>1.2413223162965383</v>
      </c>
      <c r="AM207">
        <v>0.23317820668041372</v>
      </c>
      <c r="AN207">
        <v>1.2272537193705986</v>
      </c>
      <c r="AO207">
        <v>0.23681720756964711</v>
      </c>
      <c r="AP207">
        <v>1.2464063556297216</v>
      </c>
      <c r="AQ207">
        <v>0.20622831537365741</v>
      </c>
      <c r="AR207">
        <v>1.0854121861771442</v>
      </c>
    </row>
    <row r="208" spans="1:44" x14ac:dyDescent="0.3">
      <c r="B208">
        <v>16</v>
      </c>
      <c r="C208">
        <v>2</v>
      </c>
      <c r="D208">
        <v>52</v>
      </c>
      <c r="E208">
        <v>3.42</v>
      </c>
      <c r="F208">
        <v>27</v>
      </c>
      <c r="G208">
        <v>35</v>
      </c>
      <c r="H208">
        <v>4.8680193563528699E-2</v>
      </c>
      <c r="I208">
        <v>364.22432910498702</v>
      </c>
      <c r="J208">
        <v>0.23330778723400236</v>
      </c>
      <c r="K208">
        <v>94.165512992369187</v>
      </c>
      <c r="L208">
        <v>342.25478163498269</v>
      </c>
      <c r="M208">
        <v>0.22</v>
      </c>
      <c r="N208">
        <v>0.22356041919047023</v>
      </c>
      <c r="O208">
        <v>1.0161837235930464</v>
      </c>
      <c r="P208">
        <v>0.23254956420926687</v>
      </c>
      <c r="Q208">
        <v>1.0570434736784857</v>
      </c>
      <c r="R208">
        <v>0.22721627880446577</v>
      </c>
      <c r="S208">
        <v>1.0328012672930262</v>
      </c>
      <c r="T208">
        <v>0.27915746672704078</v>
      </c>
      <c r="U208">
        <v>0.36168504797331352</v>
      </c>
      <c r="V208">
        <v>1.2688975760320036</v>
      </c>
      <c r="W208">
        <v>0.22615631674839778</v>
      </c>
      <c r="X208">
        <v>1.0279832579472628</v>
      </c>
      <c r="Y208">
        <v>0.39355118324063459</v>
      </c>
      <c r="Z208">
        <v>1.7888690147301571</v>
      </c>
      <c r="AA208">
        <v>0.32413410080966504</v>
      </c>
      <c r="AB208">
        <v>1.4733368218621139</v>
      </c>
      <c r="AC208">
        <v>0.23735381956452556</v>
      </c>
      <c r="AD208">
        <v>1.0788809980205707</v>
      </c>
      <c r="AE208">
        <v>0.18901831388012649</v>
      </c>
      <c r="AF208">
        <v>0.85917415400057495</v>
      </c>
      <c r="AG208">
        <v>0.28902254596720656</v>
      </c>
      <c r="AH208">
        <v>1.3137388453054843</v>
      </c>
      <c r="AI208">
        <v>0.28813350222500478</v>
      </c>
      <c r="AJ208">
        <v>1.3096977373863854</v>
      </c>
      <c r="AK208">
        <v>0.27640110225150477</v>
      </c>
      <c r="AL208">
        <v>1.2563686465977491</v>
      </c>
      <c r="AM208">
        <v>0.28464232881562851</v>
      </c>
      <c r="AN208">
        <v>1.2938287673437658</v>
      </c>
      <c r="AO208">
        <v>0.29539172791340573</v>
      </c>
      <c r="AP208">
        <v>1.3426896723336623</v>
      </c>
      <c r="AQ208">
        <v>0.26044531193243625</v>
      </c>
      <c r="AR208">
        <v>1.1838423269656193</v>
      </c>
    </row>
    <row r="209" spans="1:44" x14ac:dyDescent="0.3">
      <c r="B209">
        <v>16</v>
      </c>
      <c r="C209">
        <v>2</v>
      </c>
      <c r="D209">
        <v>52</v>
      </c>
      <c r="E209">
        <v>3.42</v>
      </c>
      <c r="F209">
        <v>27</v>
      </c>
      <c r="G209">
        <v>35</v>
      </c>
      <c r="H209">
        <v>4.8680193563528699E-2</v>
      </c>
      <c r="I209">
        <v>404.69369900554108</v>
      </c>
      <c r="J209">
        <v>0.14811976359333612</v>
      </c>
      <c r="K209">
        <v>94.165512992369187</v>
      </c>
      <c r="L209">
        <v>390.74592548246613</v>
      </c>
      <c r="M209">
        <v>0.22</v>
      </c>
      <c r="N209">
        <v>0.25296117854646882</v>
      </c>
      <c r="O209">
        <v>1.1498235388475855</v>
      </c>
      <c r="P209">
        <v>0.26849387116550444</v>
      </c>
      <c r="Q209">
        <v>1.2204266871159293</v>
      </c>
      <c r="R209">
        <v>0.25709782563232364</v>
      </c>
      <c r="S209">
        <v>1.1686264801469257</v>
      </c>
      <c r="T209">
        <v>0.31017496303004533</v>
      </c>
      <c r="U209">
        <v>0.44652475058433772</v>
      </c>
      <c r="V209">
        <v>1.4098861955911151</v>
      </c>
      <c r="W209">
        <v>0.25372380991647669</v>
      </c>
      <c r="X209">
        <v>1.153290045074894</v>
      </c>
      <c r="Y209">
        <v>0.44360369351707019</v>
      </c>
      <c r="Z209">
        <v>2.0163804250775916</v>
      </c>
      <c r="AA209">
        <v>0.36014900089962781</v>
      </c>
      <c r="AB209">
        <v>1.6370409131801265</v>
      </c>
      <c r="AC209">
        <v>0.26698009575355197</v>
      </c>
      <c r="AD209">
        <v>1.2135458897888727</v>
      </c>
      <c r="AE209">
        <v>0.21134415521976302</v>
      </c>
      <c r="AF209">
        <v>0.96065525099892279</v>
      </c>
      <c r="AG209">
        <v>0.321136162185785</v>
      </c>
      <c r="AH209">
        <v>1.4597098281172045</v>
      </c>
      <c r="AI209">
        <v>0.33699077995312976</v>
      </c>
      <c r="AJ209">
        <v>1.5317762725142261</v>
      </c>
      <c r="AK209">
        <v>0.31053572269036706</v>
      </c>
      <c r="AL209">
        <v>1.4115260122289413</v>
      </c>
      <c r="AM209">
        <v>0.32639390825709191</v>
      </c>
      <c r="AN209">
        <v>1.4836086738958723</v>
      </c>
      <c r="AO209">
        <v>0.34552077487684851</v>
      </c>
      <c r="AP209">
        <v>1.5705489767129477</v>
      </c>
      <c r="AQ209">
        <v>0.30735708998348932</v>
      </c>
      <c r="AR209">
        <v>1.3970776817431332</v>
      </c>
    </row>
    <row r="210" spans="1:44" x14ac:dyDescent="0.3">
      <c r="B210">
        <v>16</v>
      </c>
      <c r="C210">
        <v>2</v>
      </c>
      <c r="D210">
        <v>52</v>
      </c>
      <c r="E210">
        <v>3.42</v>
      </c>
      <c r="F210">
        <v>27</v>
      </c>
      <c r="G210">
        <v>35</v>
      </c>
      <c r="H210">
        <v>4.8680193563528699E-2</v>
      </c>
      <c r="I210">
        <v>469.44469084642765</v>
      </c>
      <c r="J210">
        <v>1.1818925768269817E-2</v>
      </c>
      <c r="K210">
        <v>94.165512992369187</v>
      </c>
      <c r="L210">
        <v>468.3317556384398</v>
      </c>
      <c r="M210">
        <v>0.25</v>
      </c>
      <c r="N210">
        <v>0.30000239351606656</v>
      </c>
      <c r="O210">
        <v>1.2000095740642662</v>
      </c>
      <c r="P210">
        <v>0.32600476229548475</v>
      </c>
      <c r="Q210">
        <v>1.304019049181939</v>
      </c>
      <c r="R210">
        <v>0.30490830055689627</v>
      </c>
      <c r="S210">
        <v>1.2196332022275851</v>
      </c>
      <c r="T210">
        <v>0.3598029571148525</v>
      </c>
      <c r="U210">
        <v>0.60084370438628454</v>
      </c>
      <c r="V210">
        <v>1.43921182845941</v>
      </c>
      <c r="W210">
        <v>0.29783179898540302</v>
      </c>
      <c r="X210">
        <v>1.1913271959416121</v>
      </c>
      <c r="Y210">
        <v>0.52261333127303</v>
      </c>
      <c r="Z210">
        <v>2.09045332509212</v>
      </c>
      <c r="AA210">
        <v>0.41777284104356821</v>
      </c>
      <c r="AB210">
        <v>1.6710913641742728</v>
      </c>
      <c r="AC210">
        <v>0.31438213765599438</v>
      </c>
      <c r="AD210">
        <v>1.2575285506239775</v>
      </c>
      <c r="AE210">
        <v>0.24706550136318153</v>
      </c>
      <c r="AF210">
        <v>0.98826200545272613</v>
      </c>
      <c r="AG210">
        <v>0.37251794813551059</v>
      </c>
      <c r="AH210">
        <v>1.4900717925420424</v>
      </c>
      <c r="AI210">
        <v>0.41516242431812972</v>
      </c>
      <c r="AJ210">
        <v>1.6606496972725189</v>
      </c>
      <c r="AK210">
        <v>0.36562331792327735</v>
      </c>
      <c r="AL210">
        <v>1.4624932716931094</v>
      </c>
      <c r="AM210">
        <v>0.39144595830437262</v>
      </c>
      <c r="AN210">
        <v>1.5657838332174905</v>
      </c>
      <c r="AO210">
        <v>0.42821747646209607</v>
      </c>
      <c r="AP210">
        <v>1.7128699058483843</v>
      </c>
      <c r="AQ210">
        <v>0.38568899939030238</v>
      </c>
      <c r="AR210">
        <v>1.5427559975612095</v>
      </c>
    </row>
    <row r="211" spans="1:44" x14ac:dyDescent="0.3">
      <c r="B211">
        <v>16</v>
      </c>
      <c r="C211">
        <v>2</v>
      </c>
      <c r="D211">
        <v>52</v>
      </c>
      <c r="E211">
        <v>3.42</v>
      </c>
      <c r="F211">
        <v>27</v>
      </c>
      <c r="G211">
        <v>35</v>
      </c>
      <c r="H211">
        <v>4.8680193563528699E-2</v>
      </c>
      <c r="I211">
        <v>526.10180870720353</v>
      </c>
      <c r="J211">
        <v>0</v>
      </c>
      <c r="K211">
        <v>94.165512992369187</v>
      </c>
      <c r="L211">
        <v>526.10180870720353</v>
      </c>
      <c r="M211">
        <v>0.28999999999999998</v>
      </c>
      <c r="N211">
        <v>0.34116345661446468</v>
      </c>
      <c r="O211">
        <v>1.1764257124636714</v>
      </c>
      <c r="P211">
        <v>0.37632679203421759</v>
      </c>
      <c r="Q211">
        <v>1.2976785932214401</v>
      </c>
      <c r="R211">
        <v>0.34674246611589749</v>
      </c>
      <c r="S211">
        <v>1.1956636762617157</v>
      </c>
      <c r="T211">
        <v>0.38713656797945217</v>
      </c>
      <c r="U211">
        <v>0.69560140350877198</v>
      </c>
      <c r="V211">
        <v>1.3349536826877662</v>
      </c>
      <c r="W211">
        <v>0.33642628942071362</v>
      </c>
      <c r="X211">
        <v>1.1600906531748747</v>
      </c>
      <c r="Y211">
        <v>0.59099581175136728</v>
      </c>
      <c r="Z211">
        <v>2.037916592246094</v>
      </c>
      <c r="AA211">
        <v>0.46819370116951625</v>
      </c>
      <c r="AB211">
        <v>1.6144610385155733</v>
      </c>
      <c r="AC211">
        <v>0.35585892432063149</v>
      </c>
      <c r="AD211">
        <v>1.2270997390366605</v>
      </c>
      <c r="AE211">
        <v>0.27832167923867279</v>
      </c>
      <c r="AF211">
        <v>0.95972992840921656</v>
      </c>
      <c r="AG211">
        <v>0.41747701084152061</v>
      </c>
      <c r="AH211">
        <v>1.4395758994535195</v>
      </c>
      <c r="AI211">
        <v>0.46727599043108969</v>
      </c>
      <c r="AJ211">
        <v>1.6112965187278956</v>
      </c>
      <c r="AK211">
        <v>0.3780127379893336</v>
      </c>
      <c r="AL211">
        <v>1.3034921999632194</v>
      </c>
      <c r="AM211">
        <v>0.44694057943080562</v>
      </c>
      <c r="AN211">
        <v>1.5411744118303643</v>
      </c>
      <c r="AO211">
        <v>0.50309126127796278</v>
      </c>
      <c r="AP211">
        <v>1.7347974526826304</v>
      </c>
      <c r="AQ211">
        <v>0.45753395642067196</v>
      </c>
      <c r="AR211">
        <v>1.5777032980023171</v>
      </c>
    </row>
    <row r="212" spans="1:44" x14ac:dyDescent="0.3">
      <c r="A212" t="s">
        <v>50</v>
      </c>
      <c r="B212">
        <v>20</v>
      </c>
      <c r="C212">
        <v>2</v>
      </c>
      <c r="D212">
        <v>44</v>
      </c>
      <c r="E212">
        <v>3.42</v>
      </c>
      <c r="F212">
        <v>25</v>
      </c>
      <c r="G212">
        <v>35</v>
      </c>
      <c r="H212">
        <v>8.2535915718449052E-2</v>
      </c>
      <c r="I212">
        <v>270.87013331072598</v>
      </c>
      <c r="J212">
        <v>0.42981836938092177</v>
      </c>
      <c r="K212">
        <v>65.34757400943748</v>
      </c>
      <c r="L212">
        <v>242.78254560699045</v>
      </c>
      <c r="M212">
        <v>0.17</v>
      </c>
      <c r="N212">
        <v>0.13588199007541207</v>
      </c>
      <c r="O212">
        <v>0.79930582397301209</v>
      </c>
      <c r="P212">
        <v>0.15128120300738629</v>
      </c>
      <c r="Q212">
        <v>0.88988942945521343</v>
      </c>
      <c r="R212">
        <v>0.14617173010832946</v>
      </c>
      <c r="S212">
        <v>0.85983370651958502</v>
      </c>
      <c r="T212">
        <v>0.20519523255216443</v>
      </c>
      <c r="U212">
        <v>0.25252771133111879</v>
      </c>
      <c r="V212">
        <v>1.2070307797186142</v>
      </c>
      <c r="W212">
        <v>0.13578602772186552</v>
      </c>
      <c r="X212">
        <v>0.79874133954038529</v>
      </c>
      <c r="Y212">
        <v>0.27645367428719742</v>
      </c>
      <c r="Z212">
        <v>1.6261980840423376</v>
      </c>
      <c r="AA212">
        <v>0.22543099969497715</v>
      </c>
      <c r="AB212">
        <v>1.3260647040881008</v>
      </c>
      <c r="AC212">
        <v>0.18418728728989281</v>
      </c>
      <c r="AD212">
        <v>1.0834546311170163</v>
      </c>
      <c r="AE212">
        <v>0.13845530611466497</v>
      </c>
      <c r="AF212">
        <v>0.81444297714508807</v>
      </c>
      <c r="AG212">
        <v>0.21999033548888819</v>
      </c>
      <c r="AH212">
        <v>1.2940607969934599</v>
      </c>
      <c r="AI212">
        <v>0.16752621909578566</v>
      </c>
      <c r="AJ212">
        <v>0.98544834762226852</v>
      </c>
      <c r="AK212">
        <v>0.18046146491983603</v>
      </c>
      <c r="AL212">
        <v>1.0615380289402119</v>
      </c>
      <c r="AM212">
        <v>0.1730089610213531</v>
      </c>
      <c r="AN212">
        <v>1.0176997707138418</v>
      </c>
      <c r="AO212">
        <v>0.16752621909578566</v>
      </c>
      <c r="AP212">
        <v>0.98544834762226852</v>
      </c>
      <c r="AQ212">
        <v>0.17045871568179116</v>
      </c>
      <c r="AR212">
        <v>1.0026983275399479</v>
      </c>
    </row>
    <row r="213" spans="1:44" x14ac:dyDescent="0.3">
      <c r="B213">
        <v>20</v>
      </c>
      <c r="C213">
        <v>2</v>
      </c>
      <c r="D213">
        <v>44</v>
      </c>
      <c r="E213">
        <v>3.42</v>
      </c>
      <c r="F213">
        <v>25</v>
      </c>
      <c r="G213">
        <v>35</v>
      </c>
      <c r="H213">
        <v>8.2535915718449052E-2</v>
      </c>
      <c r="I213">
        <v>308.0483869023941</v>
      </c>
      <c r="J213">
        <v>0.35155814557046039</v>
      </c>
      <c r="K213">
        <v>65.34757400943748</v>
      </c>
      <c r="L213">
        <v>285.07491496610783</v>
      </c>
      <c r="M213">
        <v>0.19</v>
      </c>
      <c r="N213">
        <v>0.15768903676554977</v>
      </c>
      <c r="O213">
        <v>0.82994229876605141</v>
      </c>
      <c r="P213">
        <v>0.17990644867800365</v>
      </c>
      <c r="Q213">
        <v>0.94687604567370343</v>
      </c>
      <c r="R213">
        <v>0.16963012765962743</v>
      </c>
      <c r="S213">
        <v>0.89279014557698644</v>
      </c>
      <c r="T213">
        <v>0.23335928407893206</v>
      </c>
      <c r="U213">
        <v>0.32660639020295401</v>
      </c>
      <c r="V213">
        <v>1.2282067583101688</v>
      </c>
      <c r="W213">
        <v>0.15605054397095469</v>
      </c>
      <c r="X213">
        <v>0.82131865247870894</v>
      </c>
      <c r="Y213">
        <v>0.32036897380246837</v>
      </c>
      <c r="Z213">
        <v>1.6861524936972019</v>
      </c>
      <c r="AA213">
        <v>0.25637250945703272</v>
      </c>
      <c r="AB213">
        <v>1.3493289971422775</v>
      </c>
      <c r="AC213">
        <v>0.2138479522577981</v>
      </c>
      <c r="AD213">
        <v>1.1255155381989372</v>
      </c>
      <c r="AE213">
        <v>0.15900260071078956</v>
      </c>
      <c r="AF213">
        <v>0.83685579321468184</v>
      </c>
      <c r="AG213">
        <v>0.25018508741873546</v>
      </c>
      <c r="AH213">
        <v>1.3167636179933446</v>
      </c>
      <c r="AI213">
        <v>0.20362194551252039</v>
      </c>
      <c r="AJ213">
        <v>1.0716944500658967</v>
      </c>
      <c r="AK213">
        <v>0.20762343826531135</v>
      </c>
      <c r="AL213">
        <v>1.0927549382384807</v>
      </c>
      <c r="AM213">
        <v>0.20654613595505469</v>
      </c>
      <c r="AN213">
        <v>1.0870849260792352</v>
      </c>
      <c r="AO213">
        <v>0.20362194551252039</v>
      </c>
      <c r="AP213">
        <v>1.0716944500658967</v>
      </c>
      <c r="AQ213">
        <v>0.20835725213450296</v>
      </c>
      <c r="AR213">
        <v>1.0966171164973839</v>
      </c>
    </row>
    <row r="214" spans="1:44" x14ac:dyDescent="0.3">
      <c r="B214">
        <v>20</v>
      </c>
      <c r="C214">
        <v>2</v>
      </c>
      <c r="D214">
        <v>44</v>
      </c>
      <c r="E214">
        <v>3.42</v>
      </c>
      <c r="F214">
        <v>25</v>
      </c>
      <c r="G214">
        <v>35</v>
      </c>
      <c r="H214">
        <v>8.2535915718449052E-2</v>
      </c>
      <c r="I214">
        <v>355.84899866311054</v>
      </c>
      <c r="J214">
        <v>0.25093785781415234</v>
      </c>
      <c r="K214">
        <v>65.34757400943748</v>
      </c>
      <c r="L214">
        <v>339.45081842783054</v>
      </c>
      <c r="M214">
        <v>0.21</v>
      </c>
      <c r="N214">
        <v>0.18572666822429837</v>
      </c>
      <c r="O214">
        <v>0.88441270582999232</v>
      </c>
      <c r="P214">
        <v>0.21671033596879763</v>
      </c>
      <c r="Q214">
        <v>1.0319539808037983</v>
      </c>
      <c r="R214">
        <v>0.19979092451129646</v>
      </c>
      <c r="S214">
        <v>0.95138535481569741</v>
      </c>
      <c r="T214">
        <v>0.26957020747049049</v>
      </c>
      <c r="U214">
        <v>0.43583117884098121</v>
      </c>
      <c r="V214">
        <v>1.2836676546213832</v>
      </c>
      <c r="W214">
        <v>0.18210492200549805</v>
      </c>
      <c r="X214">
        <v>0.86716629526427647</v>
      </c>
      <c r="Y214">
        <v>0.37597375921905984</v>
      </c>
      <c r="Z214">
        <v>1.7903512343764756</v>
      </c>
      <c r="AA214">
        <v>0.29615445057967582</v>
      </c>
      <c r="AB214">
        <v>1.4102592884746468</v>
      </c>
      <c r="AC214">
        <v>0.25198309293081939</v>
      </c>
      <c r="AD214">
        <v>1.1999194901467589</v>
      </c>
      <c r="AE214">
        <v>0.18542055090580706</v>
      </c>
      <c r="AF214">
        <v>0.88295500431336693</v>
      </c>
      <c r="AG214">
        <v>0.28900691132853934</v>
      </c>
      <c r="AH214">
        <v>1.3762233872787588</v>
      </c>
      <c r="AI214">
        <v>0.25003073661975095</v>
      </c>
      <c r="AJ214">
        <v>1.1906225553321474</v>
      </c>
      <c r="AK214">
        <v>0.24287332354731356</v>
      </c>
      <c r="AL214">
        <v>1.1565396359395883</v>
      </c>
      <c r="AM214">
        <v>0.24868148247567173</v>
      </c>
      <c r="AN214">
        <v>1.1841975355984369</v>
      </c>
      <c r="AO214">
        <v>0.25003073661975095</v>
      </c>
      <c r="AP214">
        <v>1.1906225553321474</v>
      </c>
      <c r="AQ214">
        <v>0.25943939992606102</v>
      </c>
      <c r="AR214">
        <v>1.235425713933624</v>
      </c>
    </row>
    <row r="215" spans="1:44" x14ac:dyDescent="0.3">
      <c r="B215">
        <v>20</v>
      </c>
      <c r="C215">
        <v>2</v>
      </c>
      <c r="D215">
        <v>44</v>
      </c>
      <c r="E215">
        <v>3.42</v>
      </c>
      <c r="F215">
        <v>25</v>
      </c>
      <c r="G215">
        <v>35</v>
      </c>
      <c r="H215">
        <v>8.2535915718449052E-2</v>
      </c>
      <c r="I215">
        <v>377.09371500120665</v>
      </c>
      <c r="J215">
        <v>0.20621772992246001</v>
      </c>
      <c r="K215">
        <v>65.34757400943748</v>
      </c>
      <c r="L215">
        <v>363.61788663304048</v>
      </c>
      <c r="M215">
        <v>0.23</v>
      </c>
      <c r="N215">
        <v>0.19818783776151991</v>
      </c>
      <c r="O215">
        <v>0.861686251137043</v>
      </c>
      <c r="P215">
        <v>0.2330676192091504</v>
      </c>
      <c r="Q215">
        <v>1.0133374748223929</v>
      </c>
      <c r="R215">
        <v>0.21319572311203822</v>
      </c>
      <c r="S215">
        <v>0.92693792657407914</v>
      </c>
      <c r="T215">
        <v>0.28566395120007193</v>
      </c>
      <c r="U215">
        <v>0.48942414179937288</v>
      </c>
      <c r="V215">
        <v>1.2420171791307475</v>
      </c>
      <c r="W215">
        <v>0.19368464557640616</v>
      </c>
      <c r="X215">
        <v>0.84210715468002673</v>
      </c>
      <c r="Y215">
        <v>0.40046450762860109</v>
      </c>
      <c r="Z215">
        <v>1.7411500331678307</v>
      </c>
      <c r="AA215">
        <v>0.31383531330085046</v>
      </c>
      <c r="AB215">
        <v>1.3645013621776105</v>
      </c>
      <c r="AC215">
        <v>0.26893204434105095</v>
      </c>
      <c r="AD215">
        <v>1.1692697580045692</v>
      </c>
      <c r="AE215">
        <v>0.19716186210359257</v>
      </c>
      <c r="AF215">
        <v>0.85722548740692417</v>
      </c>
      <c r="AG215">
        <v>0.3062610552884521</v>
      </c>
      <c r="AH215">
        <v>1.3315698056019656</v>
      </c>
      <c r="AI215">
        <v>0.27065686600074229</v>
      </c>
      <c r="AJ215">
        <v>1.176768982611923</v>
      </c>
      <c r="AK215">
        <v>0.25863074261651414</v>
      </c>
      <c r="AL215">
        <v>1.1244814896370179</v>
      </c>
      <c r="AM215">
        <v>0.26710015914716534</v>
      </c>
      <c r="AN215">
        <v>1.161305039770284</v>
      </c>
      <c r="AO215">
        <v>0.27065686600074229</v>
      </c>
      <c r="AP215">
        <v>1.176768982611923</v>
      </c>
      <c r="AQ215">
        <v>0.28299315880192988</v>
      </c>
      <c r="AR215">
        <v>1.2304050382692602</v>
      </c>
    </row>
    <row r="216" spans="1:44" x14ac:dyDescent="0.3">
      <c r="B216">
        <v>20</v>
      </c>
      <c r="C216">
        <v>2</v>
      </c>
      <c r="D216">
        <v>44</v>
      </c>
      <c r="E216">
        <v>3.42</v>
      </c>
      <c r="F216">
        <v>25</v>
      </c>
      <c r="G216">
        <v>35</v>
      </c>
      <c r="H216">
        <v>8.2535915718449052E-2</v>
      </c>
      <c r="I216">
        <v>424.89432676192303</v>
      </c>
      <c r="J216">
        <v>0.10559744216615208</v>
      </c>
      <c r="K216">
        <v>65.34757400943748</v>
      </c>
      <c r="L216">
        <v>417.99379009476309</v>
      </c>
      <c r="M216">
        <v>0.25</v>
      </c>
      <c r="N216">
        <v>0.22622546922026851</v>
      </c>
      <c r="O216">
        <v>0.90490187688107404</v>
      </c>
      <c r="P216">
        <v>0.26987150649994435</v>
      </c>
      <c r="Q216">
        <v>1.0794860259997774</v>
      </c>
      <c r="R216">
        <v>0.24335651996370719</v>
      </c>
      <c r="S216">
        <v>0.97342607985482876</v>
      </c>
      <c r="T216">
        <v>0.32187487459163039</v>
      </c>
      <c r="U216">
        <v>0.62136768647410989</v>
      </c>
      <c r="V216">
        <v>1.2874994983665216</v>
      </c>
      <c r="W216">
        <v>0.21973902361094949</v>
      </c>
      <c r="X216">
        <v>0.87895609444379796</v>
      </c>
      <c r="Y216">
        <v>0.45520575546610442</v>
      </c>
      <c r="Z216">
        <v>1.8208230218644177</v>
      </c>
      <c r="AA216">
        <v>0.35361725442349351</v>
      </c>
      <c r="AB216">
        <v>1.414469017693974</v>
      </c>
      <c r="AC216">
        <v>0.30706718501407221</v>
      </c>
      <c r="AD216">
        <v>1.2282687400562888</v>
      </c>
      <c r="AE216">
        <v>0.22357981229861004</v>
      </c>
      <c r="AF216">
        <v>0.89431924919444017</v>
      </c>
      <c r="AG216">
        <v>0.34508287919825592</v>
      </c>
      <c r="AH216">
        <v>1.3803315167930237</v>
      </c>
      <c r="AI216">
        <v>0.3170656571079728</v>
      </c>
      <c r="AJ216">
        <v>1.2682626284318912</v>
      </c>
      <c r="AK216">
        <v>0.29424295047471744</v>
      </c>
      <c r="AL216">
        <v>1.1769718018988697</v>
      </c>
      <c r="AM216">
        <v>0.30794889319403201</v>
      </c>
      <c r="AN216">
        <v>1.2317955727761281</v>
      </c>
      <c r="AO216">
        <v>0.3170656571079728</v>
      </c>
      <c r="AP216">
        <v>1.2682626284318912</v>
      </c>
      <c r="AQ216">
        <v>0.33790292595178217</v>
      </c>
      <c r="AR216">
        <v>1.3516117038071287</v>
      </c>
    </row>
    <row r="217" spans="1:44" x14ac:dyDescent="0.3">
      <c r="B217">
        <v>20</v>
      </c>
      <c r="C217">
        <v>2</v>
      </c>
      <c r="D217">
        <v>44</v>
      </c>
      <c r="E217">
        <v>3.42</v>
      </c>
      <c r="F217">
        <v>25</v>
      </c>
      <c r="G217">
        <v>35</v>
      </c>
      <c r="H217">
        <v>8.2535915718449052E-2</v>
      </c>
      <c r="I217">
        <v>525.80672936787971</v>
      </c>
      <c r="J217">
        <v>0</v>
      </c>
      <c r="K217">
        <v>65.34757400943748</v>
      </c>
      <c r="L217">
        <v>525.80672936787971</v>
      </c>
      <c r="M217">
        <v>0.25</v>
      </c>
      <c r="N217">
        <v>0.28541602452207099</v>
      </c>
      <c r="O217">
        <v>1.141664098088284</v>
      </c>
      <c r="P217">
        <v>0.34756860189162025</v>
      </c>
      <c r="Q217">
        <v>1.390274407566481</v>
      </c>
      <c r="R217">
        <v>0.30702931331723049</v>
      </c>
      <c r="S217">
        <v>1.228117253268922</v>
      </c>
      <c r="T217">
        <v>0.38075707004060283</v>
      </c>
      <c r="U217">
        <v>0.86950175438596489</v>
      </c>
      <c r="V217">
        <v>1.5230282801624113</v>
      </c>
      <c r="W217">
        <v>0.27474271057276312</v>
      </c>
      <c r="X217">
        <v>1.0989708422910525</v>
      </c>
      <c r="Y217">
        <v>0.56965376026569303</v>
      </c>
      <c r="Z217">
        <v>2.2786150410627721</v>
      </c>
      <c r="AA217">
        <v>0.43760135234907321</v>
      </c>
      <c r="AB217">
        <v>1.7504054093962929</v>
      </c>
      <c r="AC217">
        <v>0.38757470421267243</v>
      </c>
      <c r="AD217">
        <v>1.5502988168506897</v>
      </c>
      <c r="AE217">
        <v>0.27935104048809128</v>
      </c>
      <c r="AF217">
        <v>1.1174041619523651</v>
      </c>
      <c r="AG217">
        <v>0.4270400630078417</v>
      </c>
      <c r="AH217">
        <v>1.7081602520313668</v>
      </c>
      <c r="AI217">
        <v>0.40484276019873267</v>
      </c>
      <c r="AJ217">
        <v>1.6193710407949307</v>
      </c>
      <c r="AK217">
        <v>0.34925730172556468</v>
      </c>
      <c r="AL217">
        <v>1.3970292069022587</v>
      </c>
      <c r="AM217">
        <v>0.39202165688994983</v>
      </c>
      <c r="AN217">
        <v>1.5680866275597993</v>
      </c>
      <c r="AO217">
        <v>0.40484276019873267</v>
      </c>
      <c r="AP217">
        <v>1.6193710407949307</v>
      </c>
      <c r="AQ217">
        <v>0.46367989947786004</v>
      </c>
      <c r="AR217">
        <v>1.8547195979114401</v>
      </c>
    </row>
    <row r="218" spans="1:44" x14ac:dyDescent="0.3">
      <c r="A218" t="s">
        <v>51</v>
      </c>
      <c r="B218">
        <v>20</v>
      </c>
      <c r="C218">
        <v>3</v>
      </c>
      <c r="D218">
        <v>12</v>
      </c>
      <c r="E218">
        <v>3.42</v>
      </c>
      <c r="F218">
        <v>25</v>
      </c>
      <c r="G218">
        <v>35</v>
      </c>
      <c r="H218">
        <v>0.13524934868327321</v>
      </c>
      <c r="I218">
        <v>246.92191294539825</v>
      </c>
      <c r="J218">
        <v>0.48022937324993664</v>
      </c>
      <c r="K218">
        <v>49.197695849258317</v>
      </c>
      <c r="L218">
        <v>223.29573430236792</v>
      </c>
      <c r="M218">
        <v>0.18</v>
      </c>
      <c r="N218">
        <v>9.9001541127222883E-2</v>
      </c>
      <c r="O218">
        <v>0.55000856181790492</v>
      </c>
      <c r="P218">
        <v>0.12703849644400417</v>
      </c>
      <c r="Q218">
        <v>0.70576942468891202</v>
      </c>
      <c r="R218">
        <v>0.11972263952840977</v>
      </c>
      <c r="S218">
        <v>0.66512577515783211</v>
      </c>
      <c r="T218">
        <v>0.15281153215677173</v>
      </c>
      <c r="U218">
        <v>0.21127454925494149</v>
      </c>
      <c r="V218">
        <v>0.8489529564265097</v>
      </c>
      <c r="W218">
        <v>8.4078447968071318E-2</v>
      </c>
      <c r="X218">
        <v>0.46710248871150734</v>
      </c>
      <c r="Y218">
        <v>0.19816264568473804</v>
      </c>
      <c r="Z218">
        <v>1.1009035871374335</v>
      </c>
      <c r="AA218">
        <v>0.15788934749629366</v>
      </c>
      <c r="AB218">
        <v>0.87716304164607595</v>
      </c>
      <c r="AC218">
        <v>0.12820922460159795</v>
      </c>
      <c r="AD218">
        <v>0.71227347000887753</v>
      </c>
      <c r="AE218">
        <v>0.12537381381508225</v>
      </c>
      <c r="AF218">
        <v>0.69652118786156814</v>
      </c>
      <c r="AG218">
        <v>0.18016328881157176</v>
      </c>
      <c r="AH218">
        <v>1.0009071600642876</v>
      </c>
      <c r="AI218">
        <v>0.13419966539766751</v>
      </c>
      <c r="AJ218">
        <v>0.74555369665370841</v>
      </c>
      <c r="AK218">
        <v>0.14433722410912669</v>
      </c>
      <c r="AL218">
        <v>0.80187346727292608</v>
      </c>
      <c r="AM218">
        <v>0.13840964120514451</v>
      </c>
      <c r="AN218">
        <v>0.76894245113969173</v>
      </c>
      <c r="AO218">
        <v>0.18917606407543364</v>
      </c>
      <c r="AP218">
        <v>1.0509781337524091</v>
      </c>
      <c r="AQ218">
        <v>0.14682269685155769</v>
      </c>
      <c r="AR218">
        <v>0.81568164917532049</v>
      </c>
    </row>
    <row r="219" spans="1:44" x14ac:dyDescent="0.3">
      <c r="B219">
        <v>20</v>
      </c>
      <c r="C219">
        <v>3</v>
      </c>
      <c r="D219">
        <v>12</v>
      </c>
      <c r="E219">
        <v>3.42</v>
      </c>
      <c r="F219">
        <v>25</v>
      </c>
      <c r="G219">
        <v>35</v>
      </c>
      <c r="H219">
        <v>0.13524934868327321</v>
      </c>
      <c r="I219">
        <v>283.23395896678039</v>
      </c>
      <c r="J219">
        <v>0.4037925163749273</v>
      </c>
      <c r="K219">
        <v>49.197695849258317</v>
      </c>
      <c r="L219">
        <v>263.36829755996007</v>
      </c>
      <c r="M219">
        <v>0.19</v>
      </c>
      <c r="N219">
        <v>0.11553739220709007</v>
      </c>
      <c r="O219">
        <v>0.60809153793205295</v>
      </c>
      <c r="P219">
        <v>0.15099627778839889</v>
      </c>
      <c r="Q219">
        <v>0.79471725151788886</v>
      </c>
      <c r="R219">
        <v>0.13971945690710444</v>
      </c>
      <c r="S219">
        <v>0.73536556266897068</v>
      </c>
      <c r="T219">
        <v>0.17528381629747347</v>
      </c>
      <c r="U219">
        <v>0.27798320883803285</v>
      </c>
      <c r="V219">
        <v>0.92254640156564982</v>
      </c>
      <c r="W219">
        <v>9.7273366601955721E-2</v>
      </c>
      <c r="X219">
        <v>0.51196508737871427</v>
      </c>
      <c r="Y219">
        <v>0.2302395167174637</v>
      </c>
      <c r="Z219">
        <v>1.2117869300919142</v>
      </c>
      <c r="AA219">
        <v>0.18110836918692513</v>
      </c>
      <c r="AB219">
        <v>0.95320194308907968</v>
      </c>
      <c r="AC219">
        <v>0.15070823979931375</v>
      </c>
      <c r="AD219">
        <v>0.79320126210165132</v>
      </c>
      <c r="AE219">
        <v>0.14542842857482446</v>
      </c>
      <c r="AF219">
        <v>0.7654127819727603</v>
      </c>
      <c r="AG219">
        <v>0.20665789010739119</v>
      </c>
      <c r="AH219">
        <v>1.0876731058283746</v>
      </c>
      <c r="AI219">
        <v>0.16272765949974599</v>
      </c>
      <c r="AJ219">
        <v>0.85646136578813681</v>
      </c>
      <c r="AK219">
        <v>0.16737122413258637</v>
      </c>
      <c r="AL219">
        <v>0.88090117964519143</v>
      </c>
      <c r="AM219">
        <v>0.16568007783333563</v>
      </c>
      <c r="AN219">
        <v>0.87200040964913494</v>
      </c>
      <c r="AO219">
        <v>0.2301270241271943</v>
      </c>
      <c r="AP219">
        <v>1.2111948638273384</v>
      </c>
      <c r="AQ219">
        <v>0.17965377390144302</v>
      </c>
      <c r="AR219">
        <v>0.94554617842864741</v>
      </c>
    </row>
    <row r="220" spans="1:44" x14ac:dyDescent="0.3">
      <c r="B220">
        <v>20</v>
      </c>
      <c r="C220">
        <v>3</v>
      </c>
      <c r="D220">
        <v>12</v>
      </c>
      <c r="E220">
        <v>3.42</v>
      </c>
      <c r="F220">
        <v>25</v>
      </c>
      <c r="G220">
        <v>35</v>
      </c>
      <c r="H220">
        <v>0.13524934868327321</v>
      </c>
      <c r="I220">
        <v>315.9148003860243</v>
      </c>
      <c r="J220">
        <v>0.33499934518741881</v>
      </c>
      <c r="K220">
        <v>49.197695849258317</v>
      </c>
      <c r="L220">
        <v>299.43360449179295</v>
      </c>
      <c r="M220">
        <v>0.21</v>
      </c>
      <c r="N220">
        <v>0.13041965817897053</v>
      </c>
      <c r="O220">
        <v>0.62104599132843108</v>
      </c>
      <c r="P220">
        <v>0.17255828099835413</v>
      </c>
      <c r="Q220">
        <v>0.8217060999921626</v>
      </c>
      <c r="R220">
        <v>0.15771659254792961</v>
      </c>
      <c r="S220">
        <v>0.75103139308537914</v>
      </c>
      <c r="T220">
        <v>0.19550887202410502</v>
      </c>
      <c r="U220">
        <v>0.34583413998932788</v>
      </c>
      <c r="V220">
        <v>0.93099462868621441</v>
      </c>
      <c r="W220">
        <v>0.10914879337245167</v>
      </c>
      <c r="X220">
        <v>0.51975615891643656</v>
      </c>
      <c r="Y220">
        <v>0.25883998916646</v>
      </c>
      <c r="Z220">
        <v>1.232571376983143</v>
      </c>
      <c r="AA220">
        <v>0.20200548870849344</v>
      </c>
      <c r="AB220">
        <v>0.96193089861187353</v>
      </c>
      <c r="AC220">
        <v>0.17095735347725799</v>
      </c>
      <c r="AD220">
        <v>0.81408263560599048</v>
      </c>
      <c r="AE220">
        <v>0.16347758185859246</v>
      </c>
      <c r="AF220">
        <v>0.77846467551710696</v>
      </c>
      <c r="AG220">
        <v>0.23050303127362862</v>
      </c>
      <c r="AH220">
        <v>1.0976334822553744</v>
      </c>
      <c r="AI220">
        <v>0.18840285419161665</v>
      </c>
      <c r="AJ220">
        <v>0.89715644853150789</v>
      </c>
      <c r="AK220">
        <v>0.1882333703699369</v>
      </c>
      <c r="AL220">
        <v>0.89634938271398523</v>
      </c>
      <c r="AM220">
        <v>0.18983876911051775</v>
      </c>
      <c r="AN220">
        <v>0.90399413862151312</v>
      </c>
      <c r="AO220">
        <v>0.26841404415360837</v>
      </c>
      <c r="AP220">
        <v>1.2781621150171827</v>
      </c>
      <c r="AQ220">
        <v>0.21050920364917783</v>
      </c>
      <c r="AR220">
        <v>1.0024247792817993</v>
      </c>
    </row>
    <row r="221" spans="1:44" x14ac:dyDescent="0.3">
      <c r="B221">
        <v>20</v>
      </c>
      <c r="C221">
        <v>3</v>
      </c>
      <c r="D221">
        <v>12</v>
      </c>
      <c r="E221">
        <v>3.42</v>
      </c>
      <c r="F221">
        <v>25</v>
      </c>
      <c r="G221">
        <v>35</v>
      </c>
      <c r="H221">
        <v>0.13524934868327321</v>
      </c>
      <c r="I221">
        <v>355.85805100954457</v>
      </c>
      <c r="J221">
        <v>0.25091880262490873</v>
      </c>
      <c r="K221">
        <v>49.197695849258317</v>
      </c>
      <c r="L221">
        <v>343.51342407514426</v>
      </c>
      <c r="M221">
        <v>0.23</v>
      </c>
      <c r="N221">
        <v>0.1486090943668244</v>
      </c>
      <c r="O221">
        <v>0.64612649724706261</v>
      </c>
      <c r="P221">
        <v>0.19891184047718827</v>
      </c>
      <c r="Q221">
        <v>0.86483408903125325</v>
      </c>
      <c r="R221">
        <v>0.1797130916644937</v>
      </c>
      <c r="S221">
        <v>0.78136126810649431</v>
      </c>
      <c r="T221">
        <v>0.22022838457887689</v>
      </c>
      <c r="U221">
        <v>0.43881504564110252</v>
      </c>
      <c r="V221">
        <v>0.9575147155603343</v>
      </c>
      <c r="W221">
        <v>0.12366320386972449</v>
      </c>
      <c r="X221">
        <v>0.53766610378141078</v>
      </c>
      <c r="Y221">
        <v>0.29355624128202901</v>
      </c>
      <c r="Z221">
        <v>1.2763314838349087</v>
      </c>
      <c r="AA221">
        <v>0.22754641256818794</v>
      </c>
      <c r="AB221">
        <v>0.98933222855733882</v>
      </c>
      <c r="AC221">
        <v>0.19570627019474529</v>
      </c>
      <c r="AD221">
        <v>0.85089682693367519</v>
      </c>
      <c r="AE221">
        <v>0.18553765809430886</v>
      </c>
      <c r="AF221">
        <v>0.80668546997525592</v>
      </c>
      <c r="AG221">
        <v>0.25964709269902991</v>
      </c>
      <c r="AH221">
        <v>1.1289004030392604</v>
      </c>
      <c r="AI221">
        <v>0.21978364770390293</v>
      </c>
      <c r="AJ221">
        <v>0.95558107697349093</v>
      </c>
      <c r="AK221">
        <v>0.21385792026699016</v>
      </c>
      <c r="AL221">
        <v>0.92981704463908765</v>
      </c>
      <c r="AM221">
        <v>0.21893795930246215</v>
      </c>
      <c r="AN221">
        <v>0.95190417088027024</v>
      </c>
      <c r="AO221">
        <v>0.31705054415994183</v>
      </c>
      <c r="AP221">
        <v>1.3784806267823557</v>
      </c>
      <c r="AQ221">
        <v>0.24990350836204872</v>
      </c>
      <c r="AR221">
        <v>1.0865369928784727</v>
      </c>
    </row>
    <row r="222" spans="1:44" x14ac:dyDescent="0.3">
      <c r="B222">
        <v>20</v>
      </c>
      <c r="C222">
        <v>3</v>
      </c>
      <c r="D222">
        <v>12</v>
      </c>
      <c r="E222">
        <v>3.42</v>
      </c>
      <c r="F222">
        <v>25</v>
      </c>
      <c r="G222">
        <v>35</v>
      </c>
      <c r="H222">
        <v>0.13524934868327321</v>
      </c>
      <c r="I222">
        <v>395.80130163306495</v>
      </c>
      <c r="J222">
        <v>0.16683826006239832</v>
      </c>
      <c r="K222">
        <v>49.197695849258317</v>
      </c>
      <c r="L222">
        <v>387.59324365849562</v>
      </c>
      <c r="M222">
        <v>0.25</v>
      </c>
      <c r="N222">
        <v>0.16679853055467833</v>
      </c>
      <c r="O222">
        <v>0.66719412221871333</v>
      </c>
      <c r="P222">
        <v>0.22526539995602249</v>
      </c>
      <c r="Q222">
        <v>0.90106159982408995</v>
      </c>
      <c r="R222">
        <v>0.20170959078105782</v>
      </c>
      <c r="S222">
        <v>0.80683836312423129</v>
      </c>
      <c r="T222">
        <v>0.2449478971336489</v>
      </c>
      <c r="U222">
        <v>0.54285314007308849</v>
      </c>
      <c r="V222">
        <v>0.97979158853459558</v>
      </c>
      <c r="W222">
        <v>0.13817761436699733</v>
      </c>
      <c r="X222">
        <v>0.5527104574679893</v>
      </c>
      <c r="Y222">
        <v>0.32808366973427472</v>
      </c>
      <c r="Z222">
        <v>1.3123346789370989</v>
      </c>
      <c r="AA222">
        <v>0.25308733642788256</v>
      </c>
      <c r="AB222">
        <v>1.0123493457115302</v>
      </c>
      <c r="AC222">
        <v>0.22045518691223273</v>
      </c>
      <c r="AD222">
        <v>0.88182074764893092</v>
      </c>
      <c r="AE222">
        <v>0.20759773433002529</v>
      </c>
      <c r="AF222">
        <v>0.83039093732010116</v>
      </c>
      <c r="AG222">
        <v>0.28879115412443129</v>
      </c>
      <c r="AH222">
        <v>1.1551646164977252</v>
      </c>
      <c r="AI222">
        <v>0.2511644412161893</v>
      </c>
      <c r="AJ222">
        <v>1.0046577648647572</v>
      </c>
      <c r="AK222">
        <v>0.23958883317333285</v>
      </c>
      <c r="AL222">
        <v>0.9583553326933314</v>
      </c>
      <c r="AM222">
        <v>0.24763172210029666</v>
      </c>
      <c r="AN222">
        <v>0.99052688840118663</v>
      </c>
      <c r="AO222">
        <v>0.36771242280439664</v>
      </c>
      <c r="AP222">
        <v>1.4708496912175866</v>
      </c>
      <c r="AQ222">
        <v>0.2911481371537899</v>
      </c>
      <c r="AR222">
        <v>1.1645925486151596</v>
      </c>
    </row>
    <row r="223" spans="1:44" x14ac:dyDescent="0.3">
      <c r="B223">
        <v>20</v>
      </c>
      <c r="C223">
        <v>3</v>
      </c>
      <c r="D223">
        <v>12</v>
      </c>
      <c r="E223">
        <v>3.42</v>
      </c>
      <c r="F223">
        <v>25</v>
      </c>
      <c r="G223">
        <v>35</v>
      </c>
      <c r="H223">
        <v>0.13524934868327321</v>
      </c>
      <c r="I223">
        <v>432.11334765444701</v>
      </c>
      <c r="J223">
        <v>9.0401403187389096E-2</v>
      </c>
      <c r="K223">
        <v>49.197695849258317</v>
      </c>
      <c r="L223">
        <v>427.66580691608766</v>
      </c>
      <c r="M223">
        <v>0.28999999999999998</v>
      </c>
      <c r="N223">
        <v>0.18333438163454549</v>
      </c>
      <c r="O223">
        <v>0.63218752287774316</v>
      </c>
      <c r="P223">
        <v>0.24922318130041712</v>
      </c>
      <c r="Q223">
        <v>0.85939028034626597</v>
      </c>
      <c r="R223">
        <v>0.22170640815975243</v>
      </c>
      <c r="S223">
        <v>0.7645048557232843</v>
      </c>
      <c r="T223">
        <v>0.26742018127435052</v>
      </c>
      <c r="U223">
        <v>0.64702830709325831</v>
      </c>
      <c r="V223">
        <v>0.92213855611845019</v>
      </c>
      <c r="W223">
        <v>0.15137253300088171</v>
      </c>
      <c r="X223">
        <v>0.52197425172717837</v>
      </c>
      <c r="Y223">
        <v>0.35935244772409597</v>
      </c>
      <c r="Z223">
        <v>1.2391463714624</v>
      </c>
      <c r="AA223">
        <v>0.27630635811851401</v>
      </c>
      <c r="AB223">
        <v>0.95278054523625522</v>
      </c>
      <c r="AC223">
        <v>0.2429542021099485</v>
      </c>
      <c r="AD223">
        <v>0.83777311072396043</v>
      </c>
      <c r="AE223">
        <v>0.2276523490897675</v>
      </c>
      <c r="AF223">
        <v>0.78500810030954316</v>
      </c>
      <c r="AG223">
        <v>0.31528575542025067</v>
      </c>
      <c r="AH223">
        <v>1.0871922600698301</v>
      </c>
      <c r="AI223">
        <v>0.27969243531826776</v>
      </c>
      <c r="AJ223">
        <v>0.96445667351126818</v>
      </c>
      <c r="AK223">
        <v>0.26305244131259148</v>
      </c>
      <c r="AL223">
        <v>0.90707738383652237</v>
      </c>
      <c r="AM223">
        <v>0.27341569469427418</v>
      </c>
      <c r="AN223">
        <v>0.94281274032508344</v>
      </c>
      <c r="AO223">
        <v>0.41552623609276651</v>
      </c>
      <c r="AP223">
        <v>1.432849089975057</v>
      </c>
      <c r="AQ223">
        <v>0.33062716631042088</v>
      </c>
      <c r="AR223">
        <v>1.1400936769324859</v>
      </c>
    </row>
    <row r="224" spans="1:44" x14ac:dyDescent="0.3">
      <c r="B224">
        <v>20</v>
      </c>
      <c r="C224">
        <v>3</v>
      </c>
      <c r="D224">
        <v>12</v>
      </c>
      <c r="E224">
        <v>3.42</v>
      </c>
      <c r="F224">
        <v>25</v>
      </c>
      <c r="G224">
        <v>35</v>
      </c>
      <c r="H224">
        <v>0.13524934868327321</v>
      </c>
      <c r="I224">
        <v>468.42539367582907</v>
      </c>
      <c r="J224">
        <v>1.3964546312379866E-2</v>
      </c>
      <c r="K224">
        <v>49.197695849258317</v>
      </c>
      <c r="L224">
        <v>467.7383701736797</v>
      </c>
      <c r="M224">
        <v>0.31</v>
      </c>
      <c r="N224">
        <v>0.19987023271441262</v>
      </c>
      <c r="O224">
        <v>0.64474268617552455</v>
      </c>
      <c r="P224">
        <v>0.27318096264481179</v>
      </c>
      <c r="Q224">
        <v>0.88122891175745743</v>
      </c>
      <c r="R224">
        <v>0.24170322553844709</v>
      </c>
      <c r="S224">
        <v>0.77968782431757122</v>
      </c>
      <c r="T224">
        <v>0.28989246541505231</v>
      </c>
      <c r="U224">
        <v>0.76034164665905757</v>
      </c>
      <c r="V224">
        <v>0.93513698520984623</v>
      </c>
      <c r="W224">
        <v>0.16456745163476608</v>
      </c>
      <c r="X224">
        <v>0.53086274720892279</v>
      </c>
      <c r="Y224">
        <v>0.3905345535368821</v>
      </c>
      <c r="Z224">
        <v>1.2597888823770391</v>
      </c>
      <c r="AA224">
        <v>0.29952537980914534</v>
      </c>
      <c r="AB224">
        <v>0.9662109026101463</v>
      </c>
      <c r="AC224">
        <v>0.26545321730766425</v>
      </c>
      <c r="AD224">
        <v>0.85630070099246536</v>
      </c>
      <c r="AE224">
        <v>0.24770696384950966</v>
      </c>
      <c r="AF224">
        <v>0.79905472209519246</v>
      </c>
      <c r="AG224">
        <v>0.34178035671606999</v>
      </c>
      <c r="AH224">
        <v>1.1025172797292579</v>
      </c>
      <c r="AI224">
        <v>0.30822042942034616</v>
      </c>
      <c r="AJ224">
        <v>0.99425944974305214</v>
      </c>
      <c r="AK224">
        <v>0.28657100166404087</v>
      </c>
      <c r="AL224">
        <v>0.92442258601303506</v>
      </c>
      <c r="AM224">
        <v>0.2989527801742462</v>
      </c>
      <c r="AN224">
        <v>0.96436380701369739</v>
      </c>
      <c r="AO224">
        <v>0.46501391602421172</v>
      </c>
      <c r="AP224">
        <v>1.5000448904006829</v>
      </c>
      <c r="AQ224">
        <v>0.37251401721166527</v>
      </c>
      <c r="AR224">
        <v>1.20165812003763</v>
      </c>
    </row>
    <row r="225" spans="1:44" x14ac:dyDescent="0.3">
      <c r="B225">
        <v>20</v>
      </c>
      <c r="C225">
        <v>3</v>
      </c>
      <c r="D225">
        <v>12</v>
      </c>
      <c r="E225">
        <v>3.42</v>
      </c>
      <c r="F225">
        <v>25</v>
      </c>
      <c r="G225">
        <v>35</v>
      </c>
      <c r="H225">
        <v>0.13524934868327321</v>
      </c>
      <c r="I225">
        <v>501.10623509507292</v>
      </c>
      <c r="J225">
        <v>0</v>
      </c>
      <c r="K225">
        <v>49.197695849258317</v>
      </c>
      <c r="L225">
        <v>501.10623509507292</v>
      </c>
      <c r="M225">
        <v>0.37</v>
      </c>
      <c r="N225">
        <v>0.21475249868629306</v>
      </c>
      <c r="O225">
        <v>0.58041215861160289</v>
      </c>
      <c r="P225">
        <v>0.294742965854767</v>
      </c>
      <c r="Q225">
        <v>0.79660261041828917</v>
      </c>
      <c r="R225">
        <v>0.2597003611792722</v>
      </c>
      <c r="S225">
        <v>0.70189286805208706</v>
      </c>
      <c r="T225">
        <v>0.3100043368965783</v>
      </c>
      <c r="U225">
        <v>0.86950175438596489</v>
      </c>
      <c r="V225">
        <v>0.83784955917994142</v>
      </c>
      <c r="W225">
        <v>0.17644287840526202</v>
      </c>
      <c r="X225">
        <v>0.47687264433854598</v>
      </c>
      <c r="Y225">
        <v>0.41853991678622454</v>
      </c>
      <c r="Z225">
        <v>1.1311889642870934</v>
      </c>
      <c r="AA225">
        <v>0.32042249933071365</v>
      </c>
      <c r="AB225">
        <v>0.86600675494787471</v>
      </c>
      <c r="AC225">
        <v>0.28570233098560849</v>
      </c>
      <c r="AD225">
        <v>0.77216846212326617</v>
      </c>
      <c r="AE225">
        <v>0.26575611713327757</v>
      </c>
      <c r="AF225">
        <v>0.71825977603588531</v>
      </c>
      <c r="AG225">
        <v>0.36562549788230742</v>
      </c>
      <c r="AH225">
        <v>0.98817702130353358</v>
      </c>
      <c r="AI225">
        <v>0.33061738255264667</v>
      </c>
      <c r="AJ225">
        <v>0.89356049338553156</v>
      </c>
      <c r="AK225">
        <v>0.30777661698523834</v>
      </c>
      <c r="AL225">
        <v>0.83182869455469821</v>
      </c>
      <c r="AM225">
        <v>0.32175275107236845</v>
      </c>
      <c r="AN225">
        <v>0.8696020299253201</v>
      </c>
      <c r="AO225">
        <v>0.51098398394234201</v>
      </c>
      <c r="AP225">
        <v>1.3810377944387622</v>
      </c>
      <c r="AQ225">
        <v>0.41021218302278528</v>
      </c>
      <c r="AR225">
        <v>1.1086815757372575</v>
      </c>
    </row>
    <row r="226" spans="1:44" x14ac:dyDescent="0.3">
      <c r="A226" t="s">
        <v>52</v>
      </c>
      <c r="B226">
        <v>16</v>
      </c>
      <c r="C226">
        <v>2</v>
      </c>
      <c r="D226">
        <v>52</v>
      </c>
      <c r="E226">
        <v>2.98</v>
      </c>
      <c r="F226">
        <v>27</v>
      </c>
      <c r="G226">
        <v>35</v>
      </c>
      <c r="H226">
        <v>4.8026966994219954E-2</v>
      </c>
      <c r="I226">
        <v>370.74728404873275</v>
      </c>
      <c r="J226">
        <v>0.21957696707741747</v>
      </c>
      <c r="K226">
        <v>81.233434783322465</v>
      </c>
      <c r="L226">
        <v>352.9102928137296</v>
      </c>
      <c r="M226">
        <v>0.16</v>
      </c>
      <c r="N226">
        <v>0.23593566188489304</v>
      </c>
      <c r="O226">
        <v>1.4745978867805816</v>
      </c>
      <c r="P226">
        <v>0.2505652204437212</v>
      </c>
      <c r="Q226">
        <v>1.5660326277732575</v>
      </c>
      <c r="R226">
        <v>0.23898546695454101</v>
      </c>
      <c r="S226">
        <v>1.4936591684658813</v>
      </c>
      <c r="T226">
        <v>0.28536096598764171</v>
      </c>
      <c r="U226">
        <v>0.4337415561139179</v>
      </c>
      <c r="V226">
        <v>1.7835060374227607</v>
      </c>
      <c r="W226">
        <v>0.23059971471306279</v>
      </c>
      <c r="X226">
        <v>1.4412482169566423</v>
      </c>
      <c r="Y226">
        <v>0.38576330504641754</v>
      </c>
      <c r="Z226">
        <v>2.4110206565401096</v>
      </c>
      <c r="AA226">
        <v>0.30168752538416338</v>
      </c>
      <c r="AB226">
        <v>1.8855470336510212</v>
      </c>
      <c r="AC226">
        <v>0.24176316091598563</v>
      </c>
      <c r="AD226">
        <v>1.5110197557249101</v>
      </c>
      <c r="AE226">
        <v>0.19261684920443534</v>
      </c>
      <c r="AF226">
        <v>1.2038553075277207</v>
      </c>
      <c r="AG226">
        <v>0.29314095694596359</v>
      </c>
      <c r="AH226">
        <v>1.8321309809122723</v>
      </c>
      <c r="AI226">
        <v>0.3001831883229612</v>
      </c>
      <c r="AJ226">
        <v>1.8761449270185075</v>
      </c>
      <c r="AK226">
        <v>0.28525613273076944</v>
      </c>
      <c r="AL226">
        <v>1.7828508295673089</v>
      </c>
      <c r="AM226">
        <v>0.29685938412391488</v>
      </c>
      <c r="AN226">
        <v>1.8553711507744679</v>
      </c>
      <c r="AO226">
        <v>0.33004720078331229</v>
      </c>
      <c r="AP226">
        <v>2.0627950048957016</v>
      </c>
      <c r="AQ226">
        <v>0.28447122782612977</v>
      </c>
      <c r="AR226">
        <v>1.777945173913311</v>
      </c>
    </row>
    <row r="227" spans="1:44" x14ac:dyDescent="0.3">
      <c r="B227">
        <v>16</v>
      </c>
      <c r="C227">
        <v>2</v>
      </c>
      <c r="D227">
        <v>52</v>
      </c>
      <c r="E227">
        <v>2.98</v>
      </c>
      <c r="F227">
        <v>27</v>
      </c>
      <c r="G227">
        <v>35</v>
      </c>
      <c r="H227">
        <v>4.8026966994219954E-2</v>
      </c>
      <c r="I227">
        <v>443.28479614522388</v>
      </c>
      <c r="J227">
        <v>6.6885504114303718E-2</v>
      </c>
      <c r="K227">
        <v>81.233434783322465</v>
      </c>
      <c r="L227">
        <v>437.85145690880495</v>
      </c>
      <c r="M227">
        <v>0.2</v>
      </c>
      <c r="N227">
        <v>0.28908411538548223</v>
      </c>
      <c r="O227">
        <v>1.4454205769274111</v>
      </c>
      <c r="P227">
        <v>0.31490001064532835</v>
      </c>
      <c r="Q227">
        <v>1.5745000532266418</v>
      </c>
      <c r="R227">
        <v>0.2928209400503668</v>
      </c>
      <c r="S227">
        <v>1.4641047002518339</v>
      </c>
      <c r="T227">
        <v>0.34119245933304981</v>
      </c>
      <c r="U227">
        <v>0.62007004123090814</v>
      </c>
      <c r="V227">
        <v>1.705962296665249</v>
      </c>
      <c r="W227">
        <v>0.2800118348934188</v>
      </c>
      <c r="X227">
        <v>1.4000591744670938</v>
      </c>
      <c r="Y227">
        <v>0.46907891597074758</v>
      </c>
      <c r="Z227">
        <v>2.3453945798537377</v>
      </c>
      <c r="AA227">
        <v>0.36071334556802137</v>
      </c>
      <c r="AB227">
        <v>1.8035667278401069</v>
      </c>
      <c r="AC227">
        <v>0.29478520842838585</v>
      </c>
      <c r="AD227">
        <v>1.4739260421419291</v>
      </c>
      <c r="AE227">
        <v>0.23263380499637751</v>
      </c>
      <c r="AF227">
        <v>1.1631690249818876</v>
      </c>
      <c r="AG227">
        <v>0.3504946224353912</v>
      </c>
      <c r="AH227">
        <v>1.7524731121769559</v>
      </c>
      <c r="AI227">
        <v>0.3844332818818173</v>
      </c>
      <c r="AJ227">
        <v>1.9221664094090865</v>
      </c>
      <c r="AK227">
        <v>0.34719787288184356</v>
      </c>
      <c r="AL227">
        <v>1.7359893644092177</v>
      </c>
      <c r="AM227">
        <v>0.36924398331434888</v>
      </c>
      <c r="AN227">
        <v>1.8462199165717443</v>
      </c>
      <c r="AO227">
        <v>0.4263540547902881</v>
      </c>
      <c r="AP227">
        <v>2.1317702739514401</v>
      </c>
      <c r="AQ227">
        <v>0.37057616402825005</v>
      </c>
      <c r="AR227">
        <v>1.8528808201412501</v>
      </c>
    </row>
    <row r="228" spans="1:44" x14ac:dyDescent="0.3">
      <c r="B228">
        <v>16</v>
      </c>
      <c r="C228">
        <v>2</v>
      </c>
      <c r="D228">
        <v>52</v>
      </c>
      <c r="E228">
        <v>2.98</v>
      </c>
      <c r="F228">
        <v>27</v>
      </c>
      <c r="G228">
        <v>35</v>
      </c>
      <c r="H228">
        <v>4.8026966994219954E-2</v>
      </c>
      <c r="I228">
        <v>523.88203180799201</v>
      </c>
      <c r="J228">
        <v>0</v>
      </c>
      <c r="K228">
        <v>81.233434783322465</v>
      </c>
      <c r="L228">
        <v>523.88203180799201</v>
      </c>
      <c r="M228">
        <v>0.26</v>
      </c>
      <c r="N228">
        <v>0.34813795260835928</v>
      </c>
      <c r="O228">
        <v>1.3389921254167665</v>
      </c>
      <c r="P228">
        <v>0.38638311086933647</v>
      </c>
      <c r="Q228">
        <v>1.4860888879589864</v>
      </c>
      <c r="R228">
        <v>0.35263813237906227</v>
      </c>
      <c r="S228">
        <v>1.3563005091502394</v>
      </c>
      <c r="T228">
        <v>0.38713656797945217</v>
      </c>
      <c r="U228">
        <v>0.79830765100671142</v>
      </c>
      <c r="V228">
        <v>1.4889867999209698</v>
      </c>
      <c r="W228">
        <v>0.33491419064937011</v>
      </c>
      <c r="X228">
        <v>1.2881315024975772</v>
      </c>
      <c r="Y228">
        <v>0.5604920778448782</v>
      </c>
      <c r="Z228">
        <v>2.1557387609418392</v>
      </c>
      <c r="AA228">
        <v>0.42629759021675262</v>
      </c>
      <c r="AB228">
        <v>1.6396061162182793</v>
      </c>
      <c r="AC228">
        <v>0.35369859455327513</v>
      </c>
      <c r="AD228">
        <v>1.3603792098202889</v>
      </c>
      <c r="AE228">
        <v>0.27709708920964671</v>
      </c>
      <c r="AF228">
        <v>1.065758035421718</v>
      </c>
      <c r="AG228">
        <v>0.41422091742364425</v>
      </c>
      <c r="AH228">
        <v>1.5931573747063239</v>
      </c>
      <c r="AI228">
        <v>0.46464015145605214</v>
      </c>
      <c r="AJ228">
        <v>1.7870775056002004</v>
      </c>
      <c r="AK228">
        <v>0.39003540899802486</v>
      </c>
      <c r="AL228">
        <v>1.5001361884539417</v>
      </c>
      <c r="AM228">
        <v>0.4473171333818885</v>
      </c>
      <c r="AN228">
        <v>1.7204505130072634</v>
      </c>
      <c r="AO228">
        <v>0.53890363867607105</v>
      </c>
      <c r="AP228">
        <v>2.072706302600273</v>
      </c>
      <c r="AQ228">
        <v>0.47205823207103514</v>
      </c>
      <c r="AR228">
        <v>1.8156085848885966</v>
      </c>
    </row>
    <row r="229" spans="1:44" x14ac:dyDescent="0.3">
      <c r="A229" t="s">
        <v>53</v>
      </c>
      <c r="B229">
        <v>20</v>
      </c>
      <c r="C229">
        <v>2</v>
      </c>
      <c r="D229">
        <v>44</v>
      </c>
      <c r="E229">
        <v>2.98</v>
      </c>
      <c r="F229">
        <v>25</v>
      </c>
      <c r="G229">
        <v>35</v>
      </c>
      <c r="H229">
        <v>8.1200522425266847E-2</v>
      </c>
      <c r="I229">
        <v>264.28009430947355</v>
      </c>
      <c r="J229">
        <v>0.44369040147855821</v>
      </c>
      <c r="K229">
        <v>55.884232323737898</v>
      </c>
      <c r="L229">
        <v>239.48479683343328</v>
      </c>
      <c r="M229">
        <v>0.17</v>
      </c>
      <c r="N229">
        <v>0.13662419439598317</v>
      </c>
      <c r="O229">
        <v>0.80367173174107742</v>
      </c>
      <c r="P229">
        <v>0.15414349743096403</v>
      </c>
      <c r="Q229">
        <v>0.90672645547625896</v>
      </c>
      <c r="R229">
        <v>0.14637788590728448</v>
      </c>
      <c r="S229">
        <v>0.86104638768990871</v>
      </c>
      <c r="T229">
        <v>0.20117179661976903</v>
      </c>
      <c r="U229">
        <v>0.27855986364060603</v>
      </c>
      <c r="V229">
        <v>1.183363509528053</v>
      </c>
      <c r="W229">
        <v>0.13219403671847585</v>
      </c>
      <c r="X229">
        <v>0.77761198069691673</v>
      </c>
      <c r="Y229">
        <v>0.25805122845267203</v>
      </c>
      <c r="Z229">
        <v>1.5179484026627765</v>
      </c>
      <c r="AA229">
        <v>0.20111319768091604</v>
      </c>
      <c r="AB229">
        <v>1.1830188098877412</v>
      </c>
      <c r="AC229">
        <v>0.17846102513414572</v>
      </c>
      <c r="AD229">
        <v>1.04977073608321</v>
      </c>
      <c r="AE229">
        <v>0.13481319117710291</v>
      </c>
      <c r="AF229">
        <v>0.79301877163001711</v>
      </c>
      <c r="AG229">
        <v>0.21360585337041593</v>
      </c>
      <c r="AH229">
        <v>1.256505019825976</v>
      </c>
      <c r="AI229">
        <v>0.16693000107002398</v>
      </c>
      <c r="AJ229">
        <v>0.98194118276484688</v>
      </c>
      <c r="AK229">
        <v>0.17762658125548988</v>
      </c>
      <c r="AL229">
        <v>1.0448622426793521</v>
      </c>
      <c r="AM229">
        <v>0.17253527425289555</v>
      </c>
      <c r="AN229">
        <v>1.0149133779582091</v>
      </c>
      <c r="AO229">
        <v>0.22910743561581354</v>
      </c>
      <c r="AP229">
        <v>1.3476907977400796</v>
      </c>
      <c r="AQ229">
        <v>0.17471115343122245</v>
      </c>
      <c r="AR229">
        <v>1.027712667242485</v>
      </c>
    </row>
    <row r="230" spans="1:44" x14ac:dyDescent="0.3">
      <c r="B230">
        <v>20</v>
      </c>
      <c r="C230">
        <v>2</v>
      </c>
      <c r="D230">
        <v>44</v>
      </c>
      <c r="E230">
        <v>2.98</v>
      </c>
      <c r="F230">
        <v>25</v>
      </c>
      <c r="G230">
        <v>35</v>
      </c>
      <c r="H230">
        <v>8.1200522425266847E-2</v>
      </c>
      <c r="I230">
        <v>301.27930751279979</v>
      </c>
      <c r="J230">
        <v>0.36580705768555644</v>
      </c>
      <c r="K230">
        <v>55.884232323737898</v>
      </c>
      <c r="L230">
        <v>280.83646091543716</v>
      </c>
      <c r="M230">
        <v>0.19</v>
      </c>
      <c r="N230">
        <v>0.15853100890336841</v>
      </c>
      <c r="O230">
        <v>0.83437373107036006</v>
      </c>
      <c r="P230">
        <v>0.18259499046456978</v>
      </c>
      <c r="Q230">
        <v>0.96102626560299886</v>
      </c>
      <c r="R230">
        <v>0.16984864237710898</v>
      </c>
      <c r="S230">
        <v>0.8939402230374156</v>
      </c>
      <c r="T230">
        <v>0.22933584814653671</v>
      </c>
      <c r="U230">
        <v>0.36201639878733166</v>
      </c>
      <c r="V230">
        <v>1.2070307797186142</v>
      </c>
      <c r="W230">
        <v>0.15236096455207232</v>
      </c>
      <c r="X230">
        <v>0.8018998134319596</v>
      </c>
      <c r="Y230">
        <v>0.29877103473588551</v>
      </c>
      <c r="Z230">
        <v>1.572479130188871</v>
      </c>
      <c r="AA230">
        <v>0.22926904535624426</v>
      </c>
      <c r="AB230">
        <v>1.2066791860854962</v>
      </c>
      <c r="AC230">
        <v>0.20790152246295171</v>
      </c>
      <c r="AD230">
        <v>1.0942185392786932</v>
      </c>
      <c r="AE230">
        <v>0.15526153557389136</v>
      </c>
      <c r="AF230">
        <v>0.81716597670469138</v>
      </c>
      <c r="AG230">
        <v>0.2435106728422741</v>
      </c>
      <c r="AH230">
        <v>1.2816351202224951</v>
      </c>
      <c r="AI230">
        <v>0.201752540208612</v>
      </c>
      <c r="AJ230">
        <v>1.0618554747821685</v>
      </c>
      <c r="AK230">
        <v>0.20487899241592467</v>
      </c>
      <c r="AL230">
        <v>1.0783104863996036</v>
      </c>
      <c r="AM230">
        <v>0.20520862849581939</v>
      </c>
      <c r="AN230">
        <v>1.0800454131358914</v>
      </c>
      <c r="AO230">
        <v>0.27830255353844729</v>
      </c>
      <c r="AP230">
        <v>1.4647502817813016</v>
      </c>
      <c r="AQ230">
        <v>0.21239175481543382</v>
      </c>
      <c r="AR230">
        <v>1.1178513411338622</v>
      </c>
    </row>
    <row r="231" spans="1:44" x14ac:dyDescent="0.3">
      <c r="B231">
        <v>20</v>
      </c>
      <c r="C231">
        <v>2</v>
      </c>
      <c r="D231">
        <v>44</v>
      </c>
      <c r="E231">
        <v>2.98</v>
      </c>
      <c r="F231">
        <v>25</v>
      </c>
      <c r="G231">
        <v>35</v>
      </c>
      <c r="H231">
        <v>8.1200522425266847E-2</v>
      </c>
      <c r="I231">
        <v>348.84972448850499</v>
      </c>
      <c r="J231">
        <v>0.26567132995169696</v>
      </c>
      <c r="K231">
        <v>55.884232323737898</v>
      </c>
      <c r="L231">
        <v>334.00288616372791</v>
      </c>
      <c r="M231">
        <v>0.23</v>
      </c>
      <c r="N231">
        <v>0.18669691327000662</v>
      </c>
      <c r="O231">
        <v>0.81172570986959391</v>
      </c>
      <c r="P231">
        <v>0.21917548150777719</v>
      </c>
      <c r="Q231">
        <v>0.95293687612077038</v>
      </c>
      <c r="R231">
        <v>0.20002532926688341</v>
      </c>
      <c r="S231">
        <v>0.8696753446386235</v>
      </c>
      <c r="T231">
        <v>0.26554677153809503</v>
      </c>
      <c r="U231">
        <v>0.48536270640739188</v>
      </c>
      <c r="V231">
        <v>1.1545511806004132</v>
      </c>
      <c r="W231">
        <v>0.17828987176669633</v>
      </c>
      <c r="X231">
        <v>0.77517335550737532</v>
      </c>
      <c r="Y231">
        <v>0.35045615996932078</v>
      </c>
      <c r="Z231">
        <v>1.5237224346492206</v>
      </c>
      <c r="AA231">
        <v>0.2654694209388091</v>
      </c>
      <c r="AB231">
        <v>1.1542148736469959</v>
      </c>
      <c r="AC231">
        <v>0.24575359045713094</v>
      </c>
      <c r="AD231">
        <v>1.0684938715527432</v>
      </c>
      <c r="AE231">
        <v>0.18155226408404798</v>
      </c>
      <c r="AF231">
        <v>0.78935766993064338</v>
      </c>
      <c r="AG231">
        <v>0.28195972644894896</v>
      </c>
      <c r="AH231">
        <v>1.2259118541258649</v>
      </c>
      <c r="AI231">
        <v>0.24652437624393947</v>
      </c>
      <c r="AJ231">
        <v>1.0718451141040846</v>
      </c>
      <c r="AK231">
        <v>0.24019029576945952</v>
      </c>
      <c r="AL231">
        <v>1.0443056337802588</v>
      </c>
      <c r="AM231">
        <v>0.24637529735369357</v>
      </c>
      <c r="AN231">
        <v>1.071196945016059</v>
      </c>
      <c r="AO231">
        <v>0.34471619158652389</v>
      </c>
      <c r="AP231">
        <v>1.4987660503761908</v>
      </c>
      <c r="AQ231">
        <v>0.26312984044857274</v>
      </c>
      <c r="AR231">
        <v>1.1440427845590118</v>
      </c>
    </row>
    <row r="232" spans="1:44" x14ac:dyDescent="0.3">
      <c r="B232">
        <v>20</v>
      </c>
      <c r="C232">
        <v>2</v>
      </c>
      <c r="D232">
        <v>44</v>
      </c>
      <c r="E232">
        <v>2.98</v>
      </c>
      <c r="F232">
        <v>25</v>
      </c>
      <c r="G232">
        <v>35</v>
      </c>
      <c r="H232">
        <v>8.1200522425266847E-2</v>
      </c>
      <c r="I232">
        <v>369.99213203326286</v>
      </c>
      <c r="J232">
        <v>0.22116656206998175</v>
      </c>
      <c r="K232">
        <v>55.884232323737898</v>
      </c>
      <c r="L232">
        <v>357.63240849630159</v>
      </c>
      <c r="M232">
        <v>0.25</v>
      </c>
      <c r="N232">
        <v>0.1992150929885125</v>
      </c>
      <c r="O232">
        <v>0.79686037195405002</v>
      </c>
      <c r="P232">
        <v>0.23543347752698049</v>
      </c>
      <c r="Q232">
        <v>0.94173391010792196</v>
      </c>
      <c r="R232">
        <v>0.21343719010678314</v>
      </c>
      <c r="S232">
        <v>0.85374876042713255</v>
      </c>
      <c r="T232">
        <v>0.28164051526767664</v>
      </c>
      <c r="U232">
        <v>0.54597733273558791</v>
      </c>
      <c r="V232">
        <v>1.1265620610707066</v>
      </c>
      <c r="W232">
        <v>0.18981383052875145</v>
      </c>
      <c r="X232">
        <v>0.75925532211500579</v>
      </c>
      <c r="Y232">
        <v>0.37325479006486861</v>
      </c>
      <c r="Z232">
        <v>1.4930191602594745</v>
      </c>
      <c r="AA232">
        <v>0.28155847675328238</v>
      </c>
      <c r="AB232">
        <v>1.1262339070131295</v>
      </c>
      <c r="AC232">
        <v>0.26257673178787727</v>
      </c>
      <c r="AD232">
        <v>1.0503069271515091</v>
      </c>
      <c r="AE232">
        <v>0.19323703231078423</v>
      </c>
      <c r="AF232">
        <v>0.77294812924313694</v>
      </c>
      <c r="AG232">
        <v>0.29904819471858218</v>
      </c>
      <c r="AH232">
        <v>1.1961927788743287</v>
      </c>
      <c r="AI232">
        <v>0.26642297003741838</v>
      </c>
      <c r="AJ232">
        <v>1.0656918801496735</v>
      </c>
      <c r="AK232">
        <v>0.25595945812615623</v>
      </c>
      <c r="AL232">
        <v>1.0238378325046249</v>
      </c>
      <c r="AM232">
        <v>0.26440772631062776</v>
      </c>
      <c r="AN232">
        <v>1.057630905242511</v>
      </c>
      <c r="AO232">
        <v>0.3753754762167279</v>
      </c>
      <c r="AP232">
        <v>1.5015019048669116</v>
      </c>
      <c r="AQ232">
        <v>0.28650762228021748</v>
      </c>
      <c r="AR232">
        <v>1.1460304891208699</v>
      </c>
    </row>
    <row r="233" spans="1:44" x14ac:dyDescent="0.3">
      <c r="B233">
        <v>20</v>
      </c>
      <c r="C233">
        <v>2</v>
      </c>
      <c r="D233">
        <v>44</v>
      </c>
      <c r="E233">
        <v>2.98</v>
      </c>
      <c r="F233">
        <v>25</v>
      </c>
      <c r="G233">
        <v>35</v>
      </c>
      <c r="H233">
        <v>8.1200522425266847E-2</v>
      </c>
      <c r="I233">
        <v>401.7057433503997</v>
      </c>
      <c r="J233">
        <v>0.15440941024740862</v>
      </c>
      <c r="K233">
        <v>55.884232323737898</v>
      </c>
      <c r="L233">
        <v>393.07669199516215</v>
      </c>
      <c r="M233">
        <v>0.3</v>
      </c>
      <c r="N233">
        <v>0.21799236256627133</v>
      </c>
      <c r="O233">
        <v>0.72664120855423775</v>
      </c>
      <c r="P233">
        <v>0.25982047155578547</v>
      </c>
      <c r="Q233">
        <v>0.86606823851928494</v>
      </c>
      <c r="R233">
        <v>0.23355498136663277</v>
      </c>
      <c r="S233">
        <v>0.77851660455544258</v>
      </c>
      <c r="T233">
        <v>0.30578113086204883</v>
      </c>
      <c r="U233">
        <v>0.64358470895525621</v>
      </c>
      <c r="V233">
        <v>1.0192704362068294</v>
      </c>
      <c r="W233">
        <v>0.20709976867183416</v>
      </c>
      <c r="X233">
        <v>0.69033256223944728</v>
      </c>
      <c r="Y233">
        <v>0.40730342462417024</v>
      </c>
      <c r="Z233">
        <v>1.3576780820805676</v>
      </c>
      <c r="AA233">
        <v>0.30569206047499231</v>
      </c>
      <c r="AB233">
        <v>1.0189735349166411</v>
      </c>
      <c r="AC233">
        <v>0.28781144378399676</v>
      </c>
      <c r="AD233">
        <v>0.95937147927998923</v>
      </c>
      <c r="AE233">
        <v>0.2107641846508887</v>
      </c>
      <c r="AF233">
        <v>0.70254728216962903</v>
      </c>
      <c r="AG233">
        <v>0.32468089712303211</v>
      </c>
      <c r="AH233">
        <v>1.0822696570767738</v>
      </c>
      <c r="AI233">
        <v>0.2962708607276367</v>
      </c>
      <c r="AJ233">
        <v>0.98756953575878903</v>
      </c>
      <c r="AK233">
        <v>0.27968222988168767</v>
      </c>
      <c r="AL233">
        <v>0.93227409960562557</v>
      </c>
      <c r="AM233">
        <v>0.29119025488820333</v>
      </c>
      <c r="AN233">
        <v>0.97063418296067783</v>
      </c>
      <c r="AO233">
        <v>0.4226822248901787</v>
      </c>
      <c r="AP233">
        <v>1.408940749633929</v>
      </c>
      <c r="AQ233">
        <v>0.32252912758566499</v>
      </c>
      <c r="AR233">
        <v>1.0750970919522167</v>
      </c>
    </row>
    <row r="234" spans="1:44" x14ac:dyDescent="0.3">
      <c r="B234">
        <v>20</v>
      </c>
      <c r="C234">
        <v>2</v>
      </c>
      <c r="D234">
        <v>44</v>
      </c>
      <c r="E234">
        <v>2.98</v>
      </c>
      <c r="F234">
        <v>25</v>
      </c>
      <c r="G234">
        <v>35</v>
      </c>
      <c r="H234">
        <v>8.1200522425266847E-2</v>
      </c>
      <c r="I234">
        <v>422.84815089515763</v>
      </c>
      <c r="J234">
        <v>0.10990464236569319</v>
      </c>
      <c r="K234">
        <v>55.884232323737898</v>
      </c>
      <c r="L234">
        <v>416.70621432773589</v>
      </c>
      <c r="M234">
        <v>0.32</v>
      </c>
      <c r="N234">
        <v>0.23051054228477727</v>
      </c>
      <c r="O234">
        <v>0.720345444639929</v>
      </c>
      <c r="P234">
        <v>0.27607846757498877</v>
      </c>
      <c r="Q234">
        <v>0.86274521117183989</v>
      </c>
      <c r="R234">
        <v>0.24696684220653253</v>
      </c>
      <c r="S234">
        <v>0.77177138189541417</v>
      </c>
      <c r="T234">
        <v>0.32187487459163039</v>
      </c>
      <c r="U234">
        <v>0.71311325091995159</v>
      </c>
      <c r="V234">
        <v>1.0058589830988449</v>
      </c>
      <c r="W234">
        <v>0.2186237274338893</v>
      </c>
      <c r="X234">
        <v>0.68319914823090411</v>
      </c>
      <c r="Y234">
        <v>0.42992039350916023</v>
      </c>
      <c r="Z234">
        <v>1.3435012297161257</v>
      </c>
      <c r="AA234">
        <v>0.32178111628946565</v>
      </c>
      <c r="AB234">
        <v>1.0055659884045802</v>
      </c>
      <c r="AC234">
        <v>0.30463458511474312</v>
      </c>
      <c r="AD234">
        <v>0.95198307848357222</v>
      </c>
      <c r="AE234">
        <v>0.22244895287762498</v>
      </c>
      <c r="AF234">
        <v>0.695152977742578</v>
      </c>
      <c r="AG234">
        <v>0.34176936539266545</v>
      </c>
      <c r="AH234">
        <v>1.0680292668520794</v>
      </c>
      <c r="AI234">
        <v>0.31616945452111567</v>
      </c>
      <c r="AJ234">
        <v>0.98802954537848642</v>
      </c>
      <c r="AK234">
        <v>0.29553686795542161</v>
      </c>
      <c r="AL234">
        <v>0.92355271236069247</v>
      </c>
      <c r="AM234">
        <v>0.30888453146331285</v>
      </c>
      <c r="AN234">
        <v>0.9652641608228526</v>
      </c>
      <c r="AO234">
        <v>0.45509860515790912</v>
      </c>
      <c r="AP234">
        <v>1.422183141118466</v>
      </c>
      <c r="AQ234">
        <v>0.34718001949461685</v>
      </c>
      <c r="AR234">
        <v>1.0849375609206777</v>
      </c>
    </row>
    <row r="235" spans="1:44" x14ac:dyDescent="0.3">
      <c r="B235">
        <v>20</v>
      </c>
      <c r="C235">
        <v>2</v>
      </c>
      <c r="D235">
        <v>44</v>
      </c>
      <c r="E235">
        <v>2.98</v>
      </c>
      <c r="F235">
        <v>25</v>
      </c>
      <c r="G235">
        <v>35</v>
      </c>
      <c r="H235">
        <v>8.1200522425266847E-2</v>
      </c>
      <c r="I235">
        <v>474.64704937981429</v>
      </c>
      <c r="J235">
        <v>8.6796105549091784E-4</v>
      </c>
      <c r="K235">
        <v>55.884232323737898</v>
      </c>
      <c r="L235">
        <v>474.59854404254128</v>
      </c>
      <c r="M235">
        <v>0.36</v>
      </c>
      <c r="N235">
        <v>0.2611800825951166</v>
      </c>
      <c r="O235">
        <v>0.72550022943087944</v>
      </c>
      <c r="P235">
        <v>0.31591055782203681</v>
      </c>
      <c r="Q235">
        <v>0.87752932728343558</v>
      </c>
      <c r="R235">
        <v>0.27982590126428686</v>
      </c>
      <c r="S235">
        <v>0.77729417017857461</v>
      </c>
      <c r="T235">
        <v>0.36130454672910511</v>
      </c>
      <c r="U235">
        <v>0.89852715311695708</v>
      </c>
      <c r="V235">
        <v>1.0036237409141808</v>
      </c>
      <c r="W235">
        <v>0.24685742640092428</v>
      </c>
      <c r="X235">
        <v>0.68571507333590087</v>
      </c>
      <c r="Y235">
        <v>0.48511553593266332</v>
      </c>
      <c r="Z235">
        <v>1.3475431553685093</v>
      </c>
      <c r="AA235">
        <v>0.36119930303492503</v>
      </c>
      <c r="AB235">
        <v>1.0033313973192362</v>
      </c>
      <c r="AC235">
        <v>0.34585128137507148</v>
      </c>
      <c r="AD235">
        <v>0.9606980038196431</v>
      </c>
      <c r="AE235">
        <v>0.25107663503312877</v>
      </c>
      <c r="AF235">
        <v>0.69743509731424658</v>
      </c>
      <c r="AG235">
        <v>0.3836361126532668</v>
      </c>
      <c r="AH235">
        <v>1.0656558684812967</v>
      </c>
      <c r="AI235">
        <v>0.36492100931513882</v>
      </c>
      <c r="AJ235">
        <v>1.0136694703198301</v>
      </c>
      <c r="AK235">
        <v>0.33448999677676861</v>
      </c>
      <c r="AL235">
        <v>0.9291388799354684</v>
      </c>
      <c r="AM235">
        <v>0.35176238751452293</v>
      </c>
      <c r="AN235">
        <v>0.97711774309589705</v>
      </c>
      <c r="AO235">
        <v>0.53748910698908681</v>
      </c>
      <c r="AP235">
        <v>1.4930252971919078</v>
      </c>
      <c r="AQ235">
        <v>0.40972689725723666</v>
      </c>
      <c r="AR235">
        <v>1.1381302701589908</v>
      </c>
    </row>
    <row r="236" spans="1:44" x14ac:dyDescent="0.3">
      <c r="B236">
        <v>20</v>
      </c>
      <c r="C236">
        <v>2</v>
      </c>
      <c r="D236">
        <v>44</v>
      </c>
      <c r="E236">
        <v>2.98</v>
      </c>
      <c r="F236">
        <v>25</v>
      </c>
      <c r="G236">
        <v>35</v>
      </c>
      <c r="H236">
        <v>8.1200522425266847E-2</v>
      </c>
      <c r="I236">
        <v>526.44594786447112</v>
      </c>
      <c r="J236">
        <v>0</v>
      </c>
      <c r="K236">
        <v>55.884232323737898</v>
      </c>
      <c r="L236">
        <v>526.44594786447112</v>
      </c>
      <c r="M236">
        <v>0.47</v>
      </c>
      <c r="N236">
        <v>0.29184962290545596</v>
      </c>
      <c r="O236">
        <v>0.62095664447969356</v>
      </c>
      <c r="P236">
        <v>0.3557426480690849</v>
      </c>
      <c r="Q236">
        <v>0.75689925121081902</v>
      </c>
      <c r="R236">
        <v>0.31268496032204124</v>
      </c>
      <c r="S236">
        <v>0.66528714962136437</v>
      </c>
      <c r="T236">
        <v>0.38075707004060283</v>
      </c>
      <c r="U236">
        <v>0.9978845637583893</v>
      </c>
      <c r="V236">
        <v>0.81012142561830391</v>
      </c>
      <c r="W236">
        <v>0.27509112536795938</v>
      </c>
      <c r="X236">
        <v>0.58530026674033908</v>
      </c>
      <c r="Y236">
        <v>0.54007611973683578</v>
      </c>
      <c r="Z236">
        <v>1.1490981270996508</v>
      </c>
      <c r="AA236">
        <v>0.40061748978038464</v>
      </c>
      <c r="AB236">
        <v>0.85237763783060572</v>
      </c>
      <c r="AC236">
        <v>0.38706797763540002</v>
      </c>
      <c r="AD236">
        <v>0.82354888858595754</v>
      </c>
      <c r="AE236">
        <v>0.2797043171886327</v>
      </c>
      <c r="AF236">
        <v>0.59511556848645264</v>
      </c>
      <c r="AG236">
        <v>0.42550285991386838</v>
      </c>
      <c r="AH236">
        <v>0.90532523385929453</v>
      </c>
      <c r="AI236">
        <v>0.40482410087816229</v>
      </c>
      <c r="AJ236">
        <v>0.86132787420885593</v>
      </c>
      <c r="AK236">
        <v>0.35693767627860062</v>
      </c>
      <c r="AL236">
        <v>0.75944186442255457</v>
      </c>
      <c r="AM236">
        <v>0.39407026091407593</v>
      </c>
      <c r="AN236">
        <v>0.83844736364697015</v>
      </c>
      <c r="AO236">
        <v>0.62409839544596535</v>
      </c>
      <c r="AP236">
        <v>1.3278689264807775</v>
      </c>
      <c r="AQ236">
        <v>0.47564325256938234</v>
      </c>
      <c r="AR236">
        <v>1.0120069203603881</v>
      </c>
    </row>
    <row r="237" spans="1:44" x14ac:dyDescent="0.3">
      <c r="A237" t="s">
        <v>54</v>
      </c>
      <c r="B237">
        <v>20</v>
      </c>
      <c r="C237">
        <v>3</v>
      </c>
      <c r="D237">
        <v>12</v>
      </c>
      <c r="E237">
        <v>2.98</v>
      </c>
      <c r="F237">
        <v>25</v>
      </c>
      <c r="G237">
        <v>35</v>
      </c>
      <c r="H237">
        <v>0.1326866695196976</v>
      </c>
      <c r="I237">
        <v>303.4025683141906</v>
      </c>
      <c r="J237">
        <v>0.36133759369862872</v>
      </c>
      <c r="K237">
        <v>41.643886357836031</v>
      </c>
      <c r="L237">
        <v>288.35506662539098</v>
      </c>
      <c r="M237">
        <v>0.16</v>
      </c>
      <c r="N237">
        <v>0.12789012791537674</v>
      </c>
      <c r="O237">
        <v>0.79931329947110463</v>
      </c>
      <c r="P237">
        <v>0.16920059472353005</v>
      </c>
      <c r="Q237">
        <v>1.0575037170220627</v>
      </c>
      <c r="R237">
        <v>0.15399797461207157</v>
      </c>
      <c r="S237">
        <v>0.96248734132544733</v>
      </c>
      <c r="T237">
        <v>0.18876718678189455</v>
      </c>
      <c r="U237">
        <v>0.36999663347029554</v>
      </c>
      <c r="V237">
        <v>1.1797949173868409</v>
      </c>
      <c r="W237">
        <v>0.10460215108138089</v>
      </c>
      <c r="X237">
        <v>0.65376344425863053</v>
      </c>
      <c r="Y237">
        <v>0.23572619789928739</v>
      </c>
      <c r="Z237">
        <v>1.4732887368705461</v>
      </c>
      <c r="AA237">
        <v>0.1773928260722093</v>
      </c>
      <c r="AB237">
        <v>1.1087051629513081</v>
      </c>
      <c r="AC237">
        <v>0.16251339397692882</v>
      </c>
      <c r="AD237">
        <v>1.0157087123558051</v>
      </c>
      <c r="AE237">
        <v>0.15656725810990152</v>
      </c>
      <c r="AF237">
        <v>0.97854536318688445</v>
      </c>
      <c r="AG237">
        <v>0.21997495191530891</v>
      </c>
      <c r="AH237">
        <v>1.3748434494706807</v>
      </c>
      <c r="AI237">
        <v>0.18134808592282184</v>
      </c>
      <c r="AJ237">
        <v>1.1334255370176365</v>
      </c>
      <c r="AK237">
        <v>0.18188336534192345</v>
      </c>
      <c r="AL237">
        <v>1.1367710333870216</v>
      </c>
      <c r="AM237">
        <v>0.18341028360965259</v>
      </c>
      <c r="AN237">
        <v>1.1463142725603286</v>
      </c>
      <c r="AO237">
        <v>0.27674543193063106</v>
      </c>
      <c r="AP237">
        <v>1.7296589495664441</v>
      </c>
      <c r="AQ237">
        <v>0.20560198493052306</v>
      </c>
      <c r="AR237">
        <v>1.285012405815769</v>
      </c>
    </row>
    <row r="238" spans="1:44" x14ac:dyDescent="0.3">
      <c r="B238">
        <v>20</v>
      </c>
      <c r="C238">
        <v>3</v>
      </c>
      <c r="D238">
        <v>12</v>
      </c>
      <c r="E238">
        <v>2.98</v>
      </c>
      <c r="F238">
        <v>25</v>
      </c>
      <c r="G238">
        <v>35</v>
      </c>
      <c r="H238">
        <v>0.1326866695196976</v>
      </c>
      <c r="I238">
        <v>317.8503096624853</v>
      </c>
      <c r="J238">
        <v>0.33092509816046844</v>
      </c>
      <c r="K238">
        <v>41.643886357836031</v>
      </c>
      <c r="L238">
        <v>304.06930248173501</v>
      </c>
      <c r="M238">
        <v>0.18</v>
      </c>
      <c r="N238">
        <v>0.13452667868681525</v>
      </c>
      <c r="O238">
        <v>0.74737043714897367</v>
      </c>
      <c r="P238">
        <v>0.17871200070263188</v>
      </c>
      <c r="Q238">
        <v>0.99284444834795493</v>
      </c>
      <c r="R238">
        <v>0.16198932933092808</v>
      </c>
      <c r="S238">
        <v>0.899940718505156</v>
      </c>
      <c r="T238">
        <v>0.19775610043817518</v>
      </c>
      <c r="U238">
        <v>0.40607340272023357</v>
      </c>
      <c r="V238">
        <v>1.0986450024343066</v>
      </c>
      <c r="W238">
        <v>0.10985211059679627</v>
      </c>
      <c r="X238">
        <v>0.61028950331553489</v>
      </c>
      <c r="Y238">
        <v>0.24753953660852956</v>
      </c>
      <c r="Z238">
        <v>1.3752196478251644</v>
      </c>
      <c r="AA238">
        <v>0.1858401035042192</v>
      </c>
      <c r="AB238">
        <v>1.0324450194678845</v>
      </c>
      <c r="AC238">
        <v>0.17142732179790401</v>
      </c>
      <c r="AD238">
        <v>0.95237400998835564</v>
      </c>
      <c r="AE238">
        <v>0.16454653547471412</v>
      </c>
      <c r="AF238">
        <v>0.91414741930396737</v>
      </c>
      <c r="AG238">
        <v>0.23044994962556165</v>
      </c>
      <c r="AH238">
        <v>1.2802774979197871</v>
      </c>
      <c r="AI238">
        <v>0.19240743373165534</v>
      </c>
      <c r="AJ238">
        <v>1.0689301873980852</v>
      </c>
      <c r="AK238">
        <v>0.1911609524443641</v>
      </c>
      <c r="AL238">
        <v>1.0620052913575784</v>
      </c>
      <c r="AM238">
        <v>0.19383862186164463</v>
      </c>
      <c r="AN238">
        <v>1.0768812325646924</v>
      </c>
      <c r="AO238">
        <v>0.29538570883430298</v>
      </c>
      <c r="AP238">
        <v>1.6410317157461278</v>
      </c>
      <c r="AQ238">
        <v>0.21946262135852895</v>
      </c>
      <c r="AR238">
        <v>1.2192367853251609</v>
      </c>
    </row>
    <row r="239" spans="1:44" x14ac:dyDescent="0.3">
      <c r="B239">
        <v>20</v>
      </c>
      <c r="C239">
        <v>3</v>
      </c>
      <c r="D239">
        <v>12</v>
      </c>
      <c r="E239">
        <v>2.98</v>
      </c>
      <c r="F239">
        <v>25</v>
      </c>
      <c r="G239">
        <v>35</v>
      </c>
      <c r="H239">
        <v>0.1326866695196976</v>
      </c>
      <c r="I239">
        <v>353.96966303322239</v>
      </c>
      <c r="J239">
        <v>0.25489385931506681</v>
      </c>
      <c r="K239">
        <v>41.643886357836031</v>
      </c>
      <c r="L239">
        <v>343.35489212259552</v>
      </c>
      <c r="M239">
        <v>0.18</v>
      </c>
      <c r="N239">
        <v>0.15111805561541164</v>
      </c>
      <c r="O239">
        <v>0.83954475341895363</v>
      </c>
      <c r="P239">
        <v>0.20249051565038667</v>
      </c>
      <c r="Q239">
        <v>1.1249473091688149</v>
      </c>
      <c r="R239">
        <v>0.18196771612806956</v>
      </c>
      <c r="S239">
        <v>1.0109317562670532</v>
      </c>
      <c r="T239">
        <v>0.22022838457887689</v>
      </c>
      <c r="U239">
        <v>0.50360652889012436</v>
      </c>
      <c r="V239">
        <v>1.223491025438205</v>
      </c>
      <c r="W239">
        <v>0.1229770093853348</v>
      </c>
      <c r="X239">
        <v>0.68320560769630445</v>
      </c>
      <c r="Y239">
        <v>0.27697027611423669</v>
      </c>
      <c r="Z239">
        <v>1.5387237561902039</v>
      </c>
      <c r="AA239">
        <v>0.20695829708424418</v>
      </c>
      <c r="AB239">
        <v>1.14976831713469</v>
      </c>
      <c r="AC239">
        <v>0.19371214135034218</v>
      </c>
      <c r="AD239">
        <v>1.0761785630574565</v>
      </c>
      <c r="AE239">
        <v>0.18449472888674587</v>
      </c>
      <c r="AF239">
        <v>1.024970716037477</v>
      </c>
      <c r="AG239">
        <v>0.25663744390119375</v>
      </c>
      <c r="AH239">
        <v>1.4257635772288542</v>
      </c>
      <c r="AI239">
        <v>0.22005580325373927</v>
      </c>
      <c r="AJ239">
        <v>1.2225322402985517</v>
      </c>
      <c r="AK239">
        <v>0.21441488506665987</v>
      </c>
      <c r="AL239">
        <v>1.1911938059258882</v>
      </c>
      <c r="AM239">
        <v>0.21969048608792263</v>
      </c>
      <c r="AN239">
        <v>1.2205027004884592</v>
      </c>
      <c r="AO239">
        <v>0.34342230205085611</v>
      </c>
      <c r="AP239">
        <v>1.9079016780603117</v>
      </c>
      <c r="AQ239">
        <v>0.25515459972437726</v>
      </c>
      <c r="AR239">
        <v>1.4175255540243181</v>
      </c>
    </row>
    <row r="240" spans="1:44" x14ac:dyDescent="0.3">
      <c r="B240">
        <v>20</v>
      </c>
      <c r="C240">
        <v>3</v>
      </c>
      <c r="D240">
        <v>12</v>
      </c>
      <c r="E240">
        <v>2.98</v>
      </c>
      <c r="F240">
        <v>25</v>
      </c>
      <c r="G240">
        <v>35</v>
      </c>
      <c r="H240">
        <v>0.1326866695196976</v>
      </c>
      <c r="I240">
        <v>393.70095174103312</v>
      </c>
      <c r="J240">
        <v>0.17125949658512529</v>
      </c>
      <c r="K240">
        <v>41.643886357836031</v>
      </c>
      <c r="L240">
        <v>386.56904072754196</v>
      </c>
      <c r="M240">
        <v>0.2</v>
      </c>
      <c r="N240">
        <v>0.16936857023686763</v>
      </c>
      <c r="O240">
        <v>0.84684285118433811</v>
      </c>
      <c r="P240">
        <v>0.22864688209291692</v>
      </c>
      <c r="Q240">
        <v>1.1432344104645846</v>
      </c>
      <c r="R240">
        <v>0.20394394160492516</v>
      </c>
      <c r="S240">
        <v>1.0197197080246256</v>
      </c>
      <c r="T240">
        <v>0.2449478971336489</v>
      </c>
      <c r="U240">
        <v>0.62300595270132975</v>
      </c>
      <c r="V240">
        <v>1.2247394856682443</v>
      </c>
      <c r="W240">
        <v>0.13741439805272718</v>
      </c>
      <c r="X240">
        <v>0.68707199026363586</v>
      </c>
      <c r="Y240">
        <v>0.30921361831123506</v>
      </c>
      <c r="Z240">
        <v>1.5460680915561753</v>
      </c>
      <c r="AA240">
        <v>0.23018831002227164</v>
      </c>
      <c r="AB240">
        <v>1.150941550111358</v>
      </c>
      <c r="AC240">
        <v>0.21822544285802417</v>
      </c>
      <c r="AD240">
        <v>1.0911272142901207</v>
      </c>
      <c r="AE240">
        <v>0.20643774163998074</v>
      </c>
      <c r="AF240">
        <v>1.0321887081999037</v>
      </c>
      <c r="AG240">
        <v>0.28544368760438898</v>
      </c>
      <c r="AH240">
        <v>1.4272184380219448</v>
      </c>
      <c r="AI240">
        <v>0.2504690097280316</v>
      </c>
      <c r="AJ240">
        <v>1.2523450486401579</v>
      </c>
      <c r="AK240">
        <v>0.24007448795308822</v>
      </c>
      <c r="AL240">
        <v>1.2003724397654409</v>
      </c>
      <c r="AM240">
        <v>0.24780687665029455</v>
      </c>
      <c r="AN240">
        <v>1.2390343832514727</v>
      </c>
      <c r="AO240">
        <v>0.39863179116872971</v>
      </c>
      <c r="AP240">
        <v>1.9931589558436484</v>
      </c>
      <c r="AQ240">
        <v>0.29613241496493514</v>
      </c>
      <c r="AR240">
        <v>1.4806620748246757</v>
      </c>
    </row>
    <row r="241" spans="1:44" x14ac:dyDescent="0.3">
      <c r="B241">
        <v>20</v>
      </c>
      <c r="C241">
        <v>3</v>
      </c>
      <c r="D241">
        <v>12</v>
      </c>
      <c r="E241">
        <v>2.98</v>
      </c>
      <c r="F241">
        <v>25</v>
      </c>
      <c r="G241">
        <v>35</v>
      </c>
      <c r="H241">
        <v>0.1326866695196976</v>
      </c>
      <c r="I241">
        <v>429.82030511177004</v>
      </c>
      <c r="J241">
        <v>9.5228257739724098E-2</v>
      </c>
      <c r="K241">
        <v>41.643886357836031</v>
      </c>
      <c r="L241">
        <v>425.85463036840224</v>
      </c>
      <c r="M241">
        <v>0.2</v>
      </c>
      <c r="N241">
        <v>0.18595994716546396</v>
      </c>
      <c r="O241">
        <v>0.92979973582731978</v>
      </c>
      <c r="P241">
        <v>0.25242539704067157</v>
      </c>
      <c r="Q241">
        <v>1.2621269852033579</v>
      </c>
      <c r="R241">
        <v>0.22392232840206655</v>
      </c>
      <c r="S241">
        <v>1.1196116420103326</v>
      </c>
      <c r="T241">
        <v>0.26742018127435052</v>
      </c>
      <c r="U241">
        <v>0.74256268800635683</v>
      </c>
      <c r="V241">
        <v>1.3371009063717525</v>
      </c>
      <c r="W241">
        <v>0.15053929684126566</v>
      </c>
      <c r="X241">
        <v>0.75269648420632829</v>
      </c>
      <c r="Y241">
        <v>0.33843803581028936</v>
      </c>
      <c r="Z241">
        <v>1.6921901790514466</v>
      </c>
      <c r="AA241">
        <v>0.2513065036022965</v>
      </c>
      <c r="AB241">
        <v>1.2565325180114824</v>
      </c>
      <c r="AC241">
        <v>0.24051026241046222</v>
      </c>
      <c r="AD241">
        <v>1.202551312052311</v>
      </c>
      <c r="AE241">
        <v>0.2263859350520124</v>
      </c>
      <c r="AF241">
        <v>1.1319296752600621</v>
      </c>
      <c r="AG241">
        <v>0.31163118188002098</v>
      </c>
      <c r="AH241">
        <v>1.5581559094001047</v>
      </c>
      <c r="AI241">
        <v>0.27811737925011548</v>
      </c>
      <c r="AJ241">
        <v>1.3905868962505774</v>
      </c>
      <c r="AK241">
        <v>0.26345873872344394</v>
      </c>
      <c r="AL241">
        <v>1.3172936936172197</v>
      </c>
      <c r="AM241">
        <v>0.27311614914308763</v>
      </c>
      <c r="AN241">
        <v>1.3655807457154381</v>
      </c>
      <c r="AO241">
        <v>0.45097608725740118</v>
      </c>
      <c r="AP241">
        <v>2.2548804362870056</v>
      </c>
      <c r="AQ241">
        <v>0.33494555521828295</v>
      </c>
      <c r="AR241">
        <v>1.6747277760914148</v>
      </c>
    </row>
    <row r="242" spans="1:44" x14ac:dyDescent="0.3">
      <c r="B242">
        <v>20</v>
      </c>
      <c r="C242">
        <v>3</v>
      </c>
      <c r="D242">
        <v>12</v>
      </c>
      <c r="E242">
        <v>2.98</v>
      </c>
      <c r="F242">
        <v>25</v>
      </c>
      <c r="G242">
        <v>35</v>
      </c>
      <c r="H242">
        <v>0.1326866695196976</v>
      </c>
      <c r="I242">
        <v>462.32772314543331</v>
      </c>
      <c r="J242">
        <v>2.680014277886289E-2</v>
      </c>
      <c r="K242">
        <v>41.643886357836031</v>
      </c>
      <c r="L242">
        <v>461.21166104517658</v>
      </c>
      <c r="M242">
        <v>0.2</v>
      </c>
      <c r="N242">
        <v>0.20089218640120066</v>
      </c>
      <c r="O242">
        <v>1.0044609320060032</v>
      </c>
      <c r="P242">
        <v>0.27382606049365088</v>
      </c>
      <c r="Q242">
        <v>1.3691303024682544</v>
      </c>
      <c r="R242">
        <v>0.24190287651949383</v>
      </c>
      <c r="S242">
        <v>1.209514382597469</v>
      </c>
      <c r="T242">
        <v>0.28764523700098216</v>
      </c>
      <c r="U242">
        <v>0.85913050492875898</v>
      </c>
      <c r="V242">
        <v>1.4382261850049107</v>
      </c>
      <c r="W242">
        <v>0.16235170575095029</v>
      </c>
      <c r="X242">
        <v>0.81175852875475141</v>
      </c>
      <c r="Y242">
        <v>0.36468532875224025</v>
      </c>
      <c r="Z242">
        <v>1.8234266437612012</v>
      </c>
      <c r="AA242">
        <v>0.2703128778243189</v>
      </c>
      <c r="AB242">
        <v>1.3515643891215945</v>
      </c>
      <c r="AC242">
        <v>0.26056660000765652</v>
      </c>
      <c r="AD242">
        <v>1.3028330000382826</v>
      </c>
      <c r="AE242">
        <v>0.24433930912284094</v>
      </c>
      <c r="AF242">
        <v>1.2216965456142046</v>
      </c>
      <c r="AG242">
        <v>0.33519992672808979</v>
      </c>
      <c r="AH242">
        <v>1.6759996336404488</v>
      </c>
      <c r="AI242">
        <v>0.303000911819991</v>
      </c>
      <c r="AJ242">
        <v>1.515004559099955</v>
      </c>
      <c r="AK242">
        <v>0.2845422865013581</v>
      </c>
      <c r="AL242">
        <v>1.4227114325067904</v>
      </c>
      <c r="AM242">
        <v>0.29571760717115192</v>
      </c>
      <c r="AN242">
        <v>1.4785880358557595</v>
      </c>
      <c r="AO242">
        <v>0.49983980419228252</v>
      </c>
      <c r="AP242">
        <v>2.4991990209614126</v>
      </c>
      <c r="AQ242">
        <v>0.37216252705915842</v>
      </c>
      <c r="AR242">
        <v>1.8608126352957921</v>
      </c>
    </row>
    <row r="243" spans="1:44" x14ac:dyDescent="0.3">
      <c r="B243">
        <v>20</v>
      </c>
      <c r="C243">
        <v>3</v>
      </c>
      <c r="D243">
        <v>12</v>
      </c>
      <c r="E243">
        <v>2.98</v>
      </c>
      <c r="F243">
        <v>25</v>
      </c>
      <c r="G243">
        <v>35</v>
      </c>
      <c r="H243">
        <v>0.1326866695196976</v>
      </c>
      <c r="I243">
        <v>502.05901185324399</v>
      </c>
      <c r="J243">
        <v>0</v>
      </c>
      <c r="K243">
        <v>41.643886357836031</v>
      </c>
      <c r="L243">
        <v>502.05901185324399</v>
      </c>
      <c r="M243">
        <v>0.22</v>
      </c>
      <c r="N243">
        <v>0.21914270102265665</v>
      </c>
      <c r="O243">
        <v>0.9961031864666211</v>
      </c>
      <c r="P243">
        <v>0.29998242693618105</v>
      </c>
      <c r="Q243">
        <v>1.3635564860735503</v>
      </c>
      <c r="R243">
        <v>0.2638791019963494</v>
      </c>
      <c r="S243">
        <v>1.19945046361977</v>
      </c>
      <c r="T243">
        <v>0.3100043368965783</v>
      </c>
      <c r="U243">
        <v>0.9978845637583893</v>
      </c>
      <c r="V243">
        <v>1.4091106222571741</v>
      </c>
      <c r="W243">
        <v>0.17678909441834265</v>
      </c>
      <c r="X243">
        <v>0.80358679281064838</v>
      </c>
      <c r="Y243">
        <v>0.39671018522664003</v>
      </c>
      <c r="Z243">
        <v>1.8032281146665456</v>
      </c>
      <c r="AA243">
        <v>0.2935428907623463</v>
      </c>
      <c r="AB243">
        <v>1.334285867101574</v>
      </c>
      <c r="AC243">
        <v>0.28507990151533846</v>
      </c>
      <c r="AD243">
        <v>1.2958177341606294</v>
      </c>
      <c r="AE243">
        <v>0.26628232187607576</v>
      </c>
      <c r="AF243">
        <v>1.210374190345799</v>
      </c>
      <c r="AG243">
        <v>0.36400617043128497</v>
      </c>
      <c r="AH243">
        <v>1.6545735019603862</v>
      </c>
      <c r="AI243">
        <v>0.33052135777379082</v>
      </c>
      <c r="AJ243">
        <v>1.5023698080626855</v>
      </c>
      <c r="AK243">
        <v>0.31035102243774237</v>
      </c>
      <c r="AL243">
        <v>1.4106864656261018</v>
      </c>
      <c r="AM243">
        <v>0.32314461847797427</v>
      </c>
      <c r="AN243">
        <v>1.468839174899883</v>
      </c>
      <c r="AO243">
        <v>0.5618185406806282</v>
      </c>
      <c r="AP243">
        <v>2.553720639457401</v>
      </c>
      <c r="AQ243">
        <v>0.41801776094838083</v>
      </c>
      <c r="AR243">
        <v>1.9000807315835493</v>
      </c>
    </row>
    <row r="244" spans="1:44" x14ac:dyDescent="0.3">
      <c r="A244" t="s">
        <v>55</v>
      </c>
      <c r="B244">
        <v>28</v>
      </c>
      <c r="C244">
        <v>4</v>
      </c>
      <c r="D244">
        <v>16</v>
      </c>
      <c r="E244">
        <v>5.3084743571011064</v>
      </c>
      <c r="F244">
        <v>30</v>
      </c>
      <c r="G244">
        <v>44</v>
      </c>
      <c r="H244">
        <v>0.22188311816029316</v>
      </c>
      <c r="I244">
        <v>111.43533786909821</v>
      </c>
      <c r="J244">
        <v>0.6</v>
      </c>
      <c r="K244">
        <v>55.276666442213227</v>
      </c>
      <c r="L244">
        <v>78.269338003770272</v>
      </c>
      <c r="M244">
        <v>0.2</v>
      </c>
      <c r="N244">
        <v>3.7198868887620064E-2</v>
      </c>
      <c r="O244">
        <v>0.18599434443810031</v>
      </c>
      <c r="P244">
        <v>3.8596968092179766E-2</v>
      </c>
      <c r="Q244">
        <v>0.19298484046089881</v>
      </c>
      <c r="R244">
        <v>4.8312819683654099E-2</v>
      </c>
      <c r="S244">
        <v>0.24156409841827048</v>
      </c>
      <c r="T244">
        <v>8.1417298537433985E-2</v>
      </c>
      <c r="U244">
        <v>3.9863075291134975E-2</v>
      </c>
      <c r="V244">
        <v>0.19931537645567488</v>
      </c>
      <c r="W244">
        <v>3.2681120834482567E-2</v>
      </c>
      <c r="X244">
        <v>0.16340560417241282</v>
      </c>
      <c r="Y244">
        <v>8.7357863921345619E-2</v>
      </c>
      <c r="Z244">
        <v>0.43678931960672807</v>
      </c>
      <c r="AA244">
        <v>8.9874707166590059E-2</v>
      </c>
      <c r="AB244">
        <v>0.44937353583295025</v>
      </c>
      <c r="AC244">
        <v>4.9169776475293893E-2</v>
      </c>
      <c r="AD244">
        <v>0.24584888237646946</v>
      </c>
      <c r="AE244">
        <v>6.6998497358580017E-2</v>
      </c>
      <c r="AF244">
        <v>0.33499248679290006</v>
      </c>
      <c r="AG244">
        <v>9.6380546573143322E-2</v>
      </c>
      <c r="AH244">
        <v>0.48190273286571661</v>
      </c>
      <c r="AI244">
        <v>3.8596968092179766E-2</v>
      </c>
      <c r="AJ244">
        <v>0.19298484046089881</v>
      </c>
      <c r="AK244">
        <v>6.7819538029453494E-2</v>
      </c>
      <c r="AL244">
        <v>0.33909769014726743</v>
      </c>
      <c r="AM244">
        <v>3.8596968092179766E-2</v>
      </c>
      <c r="AN244">
        <v>0.19298484046089881</v>
      </c>
      <c r="AO244">
        <v>5.3022270472997311E-2</v>
      </c>
      <c r="AP244">
        <v>0.26511135236498656</v>
      </c>
      <c r="AQ244">
        <v>3.8112888131998889E-2</v>
      </c>
      <c r="AR244">
        <v>0.19056444065999442</v>
      </c>
    </row>
    <row r="245" spans="1:44" x14ac:dyDescent="0.3">
      <c r="B245">
        <v>28</v>
      </c>
      <c r="C245">
        <v>4</v>
      </c>
      <c r="D245">
        <v>16</v>
      </c>
      <c r="E245">
        <v>5.3084743571011064</v>
      </c>
      <c r="F245">
        <v>30</v>
      </c>
      <c r="G245">
        <v>44</v>
      </c>
      <c r="H245">
        <v>0.22188311816029316</v>
      </c>
      <c r="I245">
        <v>151.17196997745879</v>
      </c>
      <c r="J245">
        <v>0.6</v>
      </c>
      <c r="K245">
        <v>55.276666442213227</v>
      </c>
      <c r="L245">
        <v>118.00597011213085</v>
      </c>
      <c r="M245">
        <v>0.22</v>
      </c>
      <c r="N245">
        <v>5.6084396803587552E-2</v>
      </c>
      <c r="O245">
        <v>0.25492907637994344</v>
      </c>
      <c r="P245">
        <v>6.7647653042968173E-2</v>
      </c>
      <c r="Q245">
        <v>0.30748933201349171</v>
      </c>
      <c r="R245">
        <v>7.28407994883951E-2</v>
      </c>
      <c r="S245">
        <v>0.33109454312906861</v>
      </c>
      <c r="T245">
        <v>0.11044982359729417</v>
      </c>
      <c r="U245">
        <v>7.3361377368608163E-2</v>
      </c>
      <c r="V245">
        <v>0.3334608062209462</v>
      </c>
      <c r="W245">
        <v>4.5640522399196387E-2</v>
      </c>
      <c r="X245">
        <v>0.20745691999634722</v>
      </c>
      <c r="Y245">
        <v>0.13890415290354707</v>
      </c>
      <c r="Z245">
        <v>0.63138251319794125</v>
      </c>
      <c r="AA245">
        <v>0.12192305235777719</v>
      </c>
      <c r="AB245">
        <v>0.55419569253535084</v>
      </c>
      <c r="AC245">
        <v>7.6520963953813206E-2</v>
      </c>
      <c r="AD245">
        <v>0.34782256342642365</v>
      </c>
      <c r="AE245">
        <v>9.59824202295676E-2</v>
      </c>
      <c r="AF245">
        <v>0.43628372831621637</v>
      </c>
      <c r="AG245">
        <v>0.13074880349069828</v>
      </c>
      <c r="AH245">
        <v>0.59431274313953764</v>
      </c>
      <c r="AI245">
        <v>6.7647653042968173E-2</v>
      </c>
      <c r="AJ245">
        <v>0.30748933201349171</v>
      </c>
      <c r="AK245">
        <v>9.3514236611009313E-2</v>
      </c>
      <c r="AL245">
        <v>0.42506471186822414</v>
      </c>
      <c r="AM245">
        <v>6.7647653042968173E-2</v>
      </c>
      <c r="AN245">
        <v>0.30748933201349171</v>
      </c>
      <c r="AO245">
        <v>9.4967994331934966E-2</v>
      </c>
      <c r="AP245">
        <v>0.43167270150879528</v>
      </c>
      <c r="AQ245">
        <v>7.1454274505946769E-2</v>
      </c>
      <c r="AR245">
        <v>0.32479215684521257</v>
      </c>
    </row>
    <row r="246" spans="1:44" x14ac:dyDescent="0.3">
      <c r="B246">
        <v>28</v>
      </c>
      <c r="C246">
        <v>4</v>
      </c>
      <c r="D246">
        <v>16</v>
      </c>
      <c r="E246">
        <v>5.3084743571011064</v>
      </c>
      <c r="F246">
        <v>30</v>
      </c>
      <c r="G246">
        <v>44</v>
      </c>
      <c r="H246">
        <v>0.22188311816029316</v>
      </c>
      <c r="I246">
        <v>201.70659994135215</v>
      </c>
      <c r="J246">
        <v>0.57540760712345373</v>
      </c>
      <c r="K246">
        <v>55.276666442213227</v>
      </c>
      <c r="L246">
        <v>169.89998557407694</v>
      </c>
      <c r="M246">
        <v>0.25</v>
      </c>
      <c r="N246">
        <v>8.0101861653241874E-2</v>
      </c>
      <c r="O246">
        <v>0.32040744661296749</v>
      </c>
      <c r="P246">
        <v>0.10459254586081865</v>
      </c>
      <c r="Q246">
        <v>0.41837018344327459</v>
      </c>
      <c r="R246">
        <v>0.10403399119659834</v>
      </c>
      <c r="S246">
        <v>0.41613596478639336</v>
      </c>
      <c r="T246">
        <v>0.14737162177124677</v>
      </c>
      <c r="U246">
        <v>0.13060660758320314</v>
      </c>
      <c r="V246">
        <v>0.52242643033281255</v>
      </c>
      <c r="W246">
        <v>6.2121500476060715E-2</v>
      </c>
      <c r="X246">
        <v>0.24848600190424286</v>
      </c>
      <c r="Y246">
        <v>0.19953179125099435</v>
      </c>
      <c r="Z246">
        <v>0.7981271650039774</v>
      </c>
      <c r="AA246">
        <v>0.16268018700309125</v>
      </c>
      <c r="AB246">
        <v>0.65072074801236501</v>
      </c>
      <c r="AC246">
        <v>0.11130453933410413</v>
      </c>
      <c r="AD246">
        <v>0.44521815733641651</v>
      </c>
      <c r="AE246">
        <v>0.13284240909810618</v>
      </c>
      <c r="AF246">
        <v>0.53136963639242474</v>
      </c>
      <c r="AG246">
        <v>0.17445626065758885</v>
      </c>
      <c r="AH246">
        <v>0.69782504263035539</v>
      </c>
      <c r="AI246">
        <v>0.10634972385684166</v>
      </c>
      <c r="AJ246">
        <v>0.42539889542736664</v>
      </c>
      <c r="AK246">
        <v>0.12764087975693433</v>
      </c>
      <c r="AL246">
        <v>0.51056351902773733</v>
      </c>
      <c r="AM246">
        <v>0.1113162620356371</v>
      </c>
      <c r="AN246">
        <v>0.44526504814254841</v>
      </c>
      <c r="AO246">
        <v>0.15084000211537066</v>
      </c>
      <c r="AP246">
        <v>0.60336000846148263</v>
      </c>
      <c r="AQ246">
        <v>0.11724530908852544</v>
      </c>
      <c r="AR246">
        <v>0.46898123635410177</v>
      </c>
    </row>
    <row r="247" spans="1:44" x14ac:dyDescent="0.3">
      <c r="B247">
        <v>28</v>
      </c>
      <c r="C247">
        <v>4</v>
      </c>
      <c r="D247">
        <v>16</v>
      </c>
      <c r="E247">
        <v>5.3084743571011064</v>
      </c>
      <c r="F247">
        <v>30</v>
      </c>
      <c r="G247">
        <v>44</v>
      </c>
      <c r="H247">
        <v>0.22188311816029316</v>
      </c>
      <c r="I247">
        <v>230.64523419418001</v>
      </c>
      <c r="J247">
        <v>0.51449178202125112</v>
      </c>
      <c r="K247">
        <v>55.276666442213227</v>
      </c>
      <c r="L247">
        <v>202.20584357213144</v>
      </c>
      <c r="M247">
        <v>0.28999999999999998</v>
      </c>
      <c r="N247">
        <v>9.3855452635522557E-2</v>
      </c>
      <c r="O247">
        <v>0.32363949184662955</v>
      </c>
      <c r="P247">
        <v>0.12574902294454501</v>
      </c>
      <c r="Q247">
        <v>0.4336173204984311</v>
      </c>
      <c r="R247">
        <v>0.12189675909787713</v>
      </c>
      <c r="S247">
        <v>0.4203336520616453</v>
      </c>
      <c r="T247">
        <v>0.16851487371701451</v>
      </c>
      <c r="U247">
        <v>0.17077091367283942</v>
      </c>
      <c r="V247">
        <v>0.58108577143798112</v>
      </c>
      <c r="W247">
        <v>7.1559325528624054E-2</v>
      </c>
      <c r="X247">
        <v>0.24675629492628987</v>
      </c>
      <c r="Y247">
        <v>0.23305036490381525</v>
      </c>
      <c r="Z247">
        <v>0.80362194794419062</v>
      </c>
      <c r="AA247">
        <v>0.18601974274015148</v>
      </c>
      <c r="AB247">
        <v>0.64144738875914309</v>
      </c>
      <c r="AC247">
        <v>0.13122333891085189</v>
      </c>
      <c r="AD247">
        <v>0.45249427210638588</v>
      </c>
      <c r="AE247">
        <v>0.15395026597154279</v>
      </c>
      <c r="AF247">
        <v>0.53086298610876825</v>
      </c>
      <c r="AG247">
        <v>0.19948531732580826</v>
      </c>
      <c r="AH247">
        <v>0.6878804045717527</v>
      </c>
      <c r="AI247">
        <v>0.13185876427251048</v>
      </c>
      <c r="AJ247">
        <v>0.45468539404313962</v>
      </c>
      <c r="AK247">
        <v>0.14759390912684464</v>
      </c>
      <c r="AL247">
        <v>0.5089445142304988</v>
      </c>
      <c r="AM247">
        <v>0.13642388841444739</v>
      </c>
      <c r="AN247">
        <v>0.47042720142912897</v>
      </c>
      <c r="AO247">
        <v>0.18410957142323559</v>
      </c>
      <c r="AP247">
        <v>0.63486059111460547</v>
      </c>
      <c r="AQ247">
        <v>0.14517633906534322</v>
      </c>
      <c r="AR247">
        <v>0.50060806574256289</v>
      </c>
    </row>
    <row r="248" spans="1:44" x14ac:dyDescent="0.3">
      <c r="B248">
        <v>28</v>
      </c>
      <c r="C248">
        <v>4</v>
      </c>
      <c r="D248">
        <v>16</v>
      </c>
      <c r="E248">
        <v>5.3084743571011064</v>
      </c>
      <c r="F248">
        <v>30</v>
      </c>
      <c r="G248">
        <v>44</v>
      </c>
      <c r="H248">
        <v>0.22188311816029316</v>
      </c>
      <c r="I248">
        <v>263.90306758922088</v>
      </c>
      <c r="J248">
        <v>0.44448404272469011</v>
      </c>
      <c r="K248">
        <v>55.276666442213227</v>
      </c>
      <c r="L248">
        <v>239.33347142064173</v>
      </c>
      <c r="M248">
        <v>0.31</v>
      </c>
      <c r="N248">
        <v>0.10966181839127793</v>
      </c>
      <c r="O248">
        <v>0.35374780126218691</v>
      </c>
      <c r="P248">
        <v>0.15006318317509615</v>
      </c>
      <c r="Q248">
        <v>0.48407478443579405</v>
      </c>
      <c r="R248">
        <v>0.14242561176054078</v>
      </c>
      <c r="S248">
        <v>0.45943745729206703</v>
      </c>
      <c r="T248">
        <v>0.19281383490841922</v>
      </c>
      <c r="U248">
        <v>0.22357014498470335</v>
      </c>
      <c r="V248">
        <v>0.62198011260780395</v>
      </c>
      <c r="W248">
        <v>8.2405781186047578E-2</v>
      </c>
      <c r="X248">
        <v>0.26582510060015346</v>
      </c>
      <c r="Y248">
        <v>0.27095354827819368</v>
      </c>
      <c r="Z248">
        <v>0.87404370412320542</v>
      </c>
      <c r="AA248">
        <v>0.21284281425886242</v>
      </c>
      <c r="AB248">
        <v>0.68658972341568525</v>
      </c>
      <c r="AC248">
        <v>0.15411509364830822</v>
      </c>
      <c r="AD248">
        <v>0.49714546338163945</v>
      </c>
      <c r="AE248">
        <v>0.17820854924399976</v>
      </c>
      <c r="AF248">
        <v>0.57486628788387018</v>
      </c>
      <c r="AG248">
        <v>0.22825005409376184</v>
      </c>
      <c r="AH248">
        <v>0.73629049707665106</v>
      </c>
      <c r="AI248">
        <v>0.16117512415320437</v>
      </c>
      <c r="AJ248">
        <v>0.51991975533291734</v>
      </c>
      <c r="AK248">
        <v>0.1707622041667754</v>
      </c>
      <c r="AL248">
        <v>0.55084581989282388</v>
      </c>
      <c r="AM248">
        <v>0.16474850649062428</v>
      </c>
      <c r="AN248">
        <v>0.53144679513104609</v>
      </c>
      <c r="AO248">
        <v>0.22349104287806479</v>
      </c>
      <c r="AP248">
        <v>0.7209388479937574</v>
      </c>
      <c r="AQ248">
        <v>0.17881311370995601</v>
      </c>
      <c r="AR248">
        <v>0.57681649583856776</v>
      </c>
    </row>
    <row r="249" spans="1:44" x14ac:dyDescent="0.3">
      <c r="B249">
        <v>28</v>
      </c>
      <c r="C249">
        <v>4</v>
      </c>
      <c r="D249">
        <v>16</v>
      </c>
      <c r="E249">
        <v>5.3084743571011064</v>
      </c>
      <c r="F249">
        <v>30</v>
      </c>
      <c r="G249">
        <v>44</v>
      </c>
      <c r="H249">
        <v>0.22188311816029316</v>
      </c>
      <c r="I249">
        <v>315.73345729577818</v>
      </c>
      <c r="J249">
        <v>0.33538107239238701</v>
      </c>
      <c r="K249">
        <v>55.276666442213227</v>
      </c>
      <c r="L249">
        <v>297.19470962611246</v>
      </c>
      <c r="M249">
        <v>0.33</v>
      </c>
      <c r="N249">
        <v>0.13429511567297467</v>
      </c>
      <c r="O249">
        <v>0.4069548959787111</v>
      </c>
      <c r="P249">
        <v>0.18795538093699407</v>
      </c>
      <c r="Q249">
        <v>0.56956176041513351</v>
      </c>
      <c r="R249">
        <v>0.17441862889715948</v>
      </c>
      <c r="S249">
        <v>0.52854129968836205</v>
      </c>
      <c r="T249">
        <v>0.23068234585606295</v>
      </c>
      <c r="U249">
        <v>0.32001190997605566</v>
      </c>
      <c r="V249">
        <v>0.69903741168503919</v>
      </c>
      <c r="W249">
        <v>9.9309348444369963E-2</v>
      </c>
      <c r="X249">
        <v>0.30093741952839381</v>
      </c>
      <c r="Y249">
        <v>0.32918147488740823</v>
      </c>
      <c r="Z249">
        <v>0.99751962087093404</v>
      </c>
      <c r="AA249">
        <v>0.25464500363867176</v>
      </c>
      <c r="AB249">
        <v>0.7716515261777932</v>
      </c>
      <c r="AC249">
        <v>0.18979055557681171</v>
      </c>
      <c r="AD249">
        <v>0.57512289568730823</v>
      </c>
      <c r="AE249">
        <v>0.21601366603224445</v>
      </c>
      <c r="AF249">
        <v>0.65458686676437705</v>
      </c>
      <c r="AG249">
        <v>0.27307821529057269</v>
      </c>
      <c r="AH249">
        <v>0.82750974330476568</v>
      </c>
      <c r="AI249">
        <v>0.20686295773350663</v>
      </c>
      <c r="AJ249">
        <v>0.62685744767729279</v>
      </c>
      <c r="AK249">
        <v>0.20722172617713994</v>
      </c>
      <c r="AL249">
        <v>0.62794462477921187</v>
      </c>
      <c r="AM249">
        <v>0.20791828758297451</v>
      </c>
      <c r="AN249">
        <v>0.63005541691810452</v>
      </c>
      <c r="AO249">
        <v>0.28730870481149517</v>
      </c>
      <c r="AP249">
        <v>0.87063243882271257</v>
      </c>
      <c r="AQ249">
        <v>0.23451085819970247</v>
      </c>
      <c r="AR249">
        <v>0.71063896424152262</v>
      </c>
    </row>
    <row r="250" spans="1:44" x14ac:dyDescent="0.3">
      <c r="B250">
        <v>28</v>
      </c>
      <c r="C250">
        <v>4</v>
      </c>
      <c r="D250">
        <v>16</v>
      </c>
      <c r="E250">
        <v>5.3084743571011064</v>
      </c>
      <c r="F250">
        <v>30</v>
      </c>
      <c r="G250">
        <v>44</v>
      </c>
      <c r="H250">
        <v>0.22188311816029316</v>
      </c>
      <c r="I250">
        <v>342.08057206327823</v>
      </c>
      <c r="J250">
        <v>0.27992039580679939</v>
      </c>
      <c r="K250">
        <v>55.276666442213227</v>
      </c>
      <c r="L250">
        <v>326.60750571389349</v>
      </c>
      <c r="M250">
        <v>0.34</v>
      </c>
      <c r="N250">
        <v>0.14681704179117055</v>
      </c>
      <c r="O250">
        <v>0.43181482879756045</v>
      </c>
      <c r="P250">
        <v>0.20721724813262554</v>
      </c>
      <c r="Q250">
        <v>0.60946249450772216</v>
      </c>
      <c r="R250">
        <v>0.19068174594160736</v>
      </c>
      <c r="S250">
        <v>0.56082866453413927</v>
      </c>
      <c r="T250">
        <v>0.24993217225444855</v>
      </c>
      <c r="U250">
        <v>0.3756485797040216</v>
      </c>
      <c r="V250">
        <v>0.73509462427778982</v>
      </c>
      <c r="W250">
        <v>0.10790199513401721</v>
      </c>
      <c r="X250">
        <v>0.31735880921769766</v>
      </c>
      <c r="Y250">
        <v>0.35851553204254821</v>
      </c>
      <c r="Z250">
        <v>1.0544574471839652</v>
      </c>
      <c r="AA250">
        <v>0.27589444990674156</v>
      </c>
      <c r="AB250">
        <v>0.81145426443159274</v>
      </c>
      <c r="AC250">
        <v>0.20792558205713438</v>
      </c>
      <c r="AD250">
        <v>0.61154582957980697</v>
      </c>
      <c r="AE250">
        <v>0.2352312670662689</v>
      </c>
      <c r="AF250">
        <v>0.69185666784196731</v>
      </c>
      <c r="AG250">
        <v>0.29586586389895159</v>
      </c>
      <c r="AH250">
        <v>0.87019371734985751</v>
      </c>
      <c r="AI250">
        <v>0.23008760647016038</v>
      </c>
      <c r="AJ250">
        <v>0.67672825432400108</v>
      </c>
      <c r="AK250">
        <v>0.22587572620277718</v>
      </c>
      <c r="AL250">
        <v>0.66434037118463873</v>
      </c>
      <c r="AM250">
        <v>0.22947156593927964</v>
      </c>
      <c r="AN250">
        <v>0.67491637040964592</v>
      </c>
      <c r="AO250">
        <v>0.32089078548170397</v>
      </c>
      <c r="AP250">
        <v>0.94379642788736451</v>
      </c>
      <c r="AQ250">
        <v>0.26435429775630459</v>
      </c>
      <c r="AR250">
        <v>0.77751264045971935</v>
      </c>
    </row>
    <row r="251" spans="1:44" x14ac:dyDescent="0.3">
      <c r="B251">
        <v>28</v>
      </c>
      <c r="C251">
        <v>4</v>
      </c>
      <c r="D251">
        <v>16</v>
      </c>
      <c r="E251">
        <v>5.3084743571011064</v>
      </c>
      <c r="F251">
        <v>30</v>
      </c>
      <c r="G251">
        <v>44</v>
      </c>
      <c r="H251">
        <v>0.22188311816029316</v>
      </c>
      <c r="I251">
        <v>380.5214444289748</v>
      </c>
      <c r="J251">
        <v>0.19900235947700795</v>
      </c>
      <c r="K251">
        <v>55.276666442213227</v>
      </c>
      <c r="L251">
        <v>369.52125738295081</v>
      </c>
      <c r="M251">
        <v>0.37</v>
      </c>
      <c r="N251">
        <v>0.1650867372750956</v>
      </c>
      <c r="O251">
        <v>0.44618037101377189</v>
      </c>
      <c r="P251">
        <v>0.23532062813936647</v>
      </c>
      <c r="Q251">
        <v>0.63600169767396342</v>
      </c>
      <c r="R251">
        <v>0.21440990031793289</v>
      </c>
      <c r="S251">
        <v>0.5794862170754943</v>
      </c>
      <c r="T251">
        <v>0.27358028479302049</v>
      </c>
      <c r="U251">
        <v>0.45009793258907616</v>
      </c>
      <c r="V251">
        <v>0.7394061751162716</v>
      </c>
      <c r="W251">
        <v>0.12043880751727296</v>
      </c>
      <c r="X251">
        <v>0.32551029058722419</v>
      </c>
      <c r="Y251">
        <v>0.40109206541061937</v>
      </c>
      <c r="Z251">
        <v>1.0840326092178902</v>
      </c>
      <c r="AA251">
        <v>0.30689774036343337</v>
      </c>
      <c r="AB251">
        <v>0.82945335233360373</v>
      </c>
      <c r="AC251">
        <v>0.23438488298744109</v>
      </c>
      <c r="AD251">
        <v>0.63347265672281372</v>
      </c>
      <c r="AE251">
        <v>0.26327006201755027</v>
      </c>
      <c r="AF251">
        <v>0.71154070815554127</v>
      </c>
      <c r="AG251">
        <v>0.32911341678658623</v>
      </c>
      <c r="AH251">
        <v>0.88949572104482766</v>
      </c>
      <c r="AI251">
        <v>0.26397274970888446</v>
      </c>
      <c r="AJ251">
        <v>0.71343986407806614</v>
      </c>
      <c r="AK251">
        <v>0.24956102424659518</v>
      </c>
      <c r="AL251">
        <v>0.67448925472052756</v>
      </c>
      <c r="AM251">
        <v>0.26051337936518815</v>
      </c>
      <c r="AN251">
        <v>0.70409021450050846</v>
      </c>
      <c r="AO251">
        <v>0.37126773559201431</v>
      </c>
      <c r="AP251">
        <v>1.0034263124108496</v>
      </c>
      <c r="AQ251">
        <v>0.31110805096063587</v>
      </c>
      <c r="AR251">
        <v>0.8408325701638808</v>
      </c>
    </row>
    <row r="252" spans="1:44" x14ac:dyDescent="0.3">
      <c r="A252" t="s">
        <v>56</v>
      </c>
      <c r="B252">
        <v>15.9</v>
      </c>
      <c r="C252">
        <v>2</v>
      </c>
      <c r="D252">
        <v>46</v>
      </c>
      <c r="E252">
        <v>2.8258773978663156</v>
      </c>
      <c r="F252">
        <v>30</v>
      </c>
      <c r="G252">
        <v>38</v>
      </c>
      <c r="H252">
        <v>4.4148388230368388E-2</v>
      </c>
      <c r="I252">
        <v>361.66957450902817</v>
      </c>
      <c r="J252">
        <v>0.23868554565849565</v>
      </c>
      <c r="K252">
        <v>82.461414706622364</v>
      </c>
      <c r="L252">
        <v>341.98722674400653</v>
      </c>
      <c r="M252">
        <v>0.2</v>
      </c>
      <c r="N252">
        <v>0.24981880799060688</v>
      </c>
      <c r="O252">
        <v>1.2490940399530344</v>
      </c>
      <c r="P252">
        <v>0.26728929873091839</v>
      </c>
      <c r="Q252">
        <v>1.3364464936545919</v>
      </c>
      <c r="R252">
        <v>0.25478881615385329</v>
      </c>
      <c r="S252">
        <v>1.2739440807692664</v>
      </c>
      <c r="T252">
        <v>0.28199361842550319</v>
      </c>
      <c r="U252">
        <v>0.43113366848373058</v>
      </c>
      <c r="V252">
        <v>1.4099680921275159</v>
      </c>
      <c r="W252">
        <v>0.24347863384105645</v>
      </c>
      <c r="X252">
        <v>1.2173931692052822</v>
      </c>
      <c r="Y252">
        <v>0.38622010388926009</v>
      </c>
      <c r="Z252">
        <v>1.9311005194463005</v>
      </c>
      <c r="AA252">
        <v>0.27246081076315715</v>
      </c>
      <c r="AB252">
        <v>1.3623040538157856</v>
      </c>
      <c r="AC252">
        <v>0.24138283874457872</v>
      </c>
      <c r="AD252">
        <v>1.2069141937228935</v>
      </c>
      <c r="AE252">
        <v>0.19708565182586593</v>
      </c>
      <c r="AF252">
        <v>0.98542825912932963</v>
      </c>
      <c r="AG252">
        <v>0.30288745462493416</v>
      </c>
      <c r="AH252">
        <v>1.5144372731246707</v>
      </c>
      <c r="AI252">
        <v>0.31773914093066064</v>
      </c>
      <c r="AJ252">
        <v>1.588695704653303</v>
      </c>
      <c r="AK252">
        <v>0.29702172941567545</v>
      </c>
      <c r="AL252">
        <v>1.4851086470783772</v>
      </c>
      <c r="AM252">
        <v>0.31568745144897464</v>
      </c>
      <c r="AN252">
        <v>1.578437257244873</v>
      </c>
      <c r="AO252">
        <v>0.33535424363244737</v>
      </c>
      <c r="AP252">
        <v>1.6767712181622367</v>
      </c>
      <c r="AQ252">
        <v>0.31439514627007392</v>
      </c>
      <c r="AR252">
        <v>1.5719757313503695</v>
      </c>
    </row>
    <row r="253" spans="1:44" x14ac:dyDescent="0.3">
      <c r="B253">
        <v>15.9</v>
      </c>
      <c r="C253">
        <v>2</v>
      </c>
      <c r="D253">
        <v>46</v>
      </c>
      <c r="E253">
        <v>2.8258773978663156</v>
      </c>
      <c r="F253">
        <v>30</v>
      </c>
      <c r="G253">
        <v>38</v>
      </c>
      <c r="H253">
        <v>4.4148388230368388E-2</v>
      </c>
      <c r="I253">
        <v>392.3</v>
      </c>
      <c r="J253">
        <v>0.17420849999999988</v>
      </c>
      <c r="K253">
        <v>82.461414706622364</v>
      </c>
      <c r="L253">
        <v>377.9345206360814</v>
      </c>
      <c r="M253">
        <v>0.35</v>
      </c>
      <c r="N253">
        <v>0.27432948922960282</v>
      </c>
      <c r="O253">
        <v>0.78379854065600807</v>
      </c>
      <c r="P253">
        <v>0.29702172941567545</v>
      </c>
      <c r="Q253">
        <v>0.84863351261621567</v>
      </c>
      <c r="R253">
        <v>0.27978712395237204</v>
      </c>
      <c r="S253">
        <v>0.79939178272106304</v>
      </c>
      <c r="T253">
        <v>0.29185886340253192</v>
      </c>
      <c r="U253">
        <v>0.46182682241819578</v>
      </c>
      <c r="V253">
        <v>0.83388246686437695</v>
      </c>
      <c r="W253">
        <v>0.26626281210622382</v>
      </c>
      <c r="X253">
        <v>0.76075089173206811</v>
      </c>
      <c r="Y253">
        <v>0.42262897836105034</v>
      </c>
      <c r="Z253">
        <v>1.2075113667458581</v>
      </c>
      <c r="AA253">
        <v>0.29553599084879173</v>
      </c>
      <c r="AB253">
        <v>0.84438854528226215</v>
      </c>
      <c r="AC253">
        <v>0.26436809953043394</v>
      </c>
      <c r="AD253">
        <v>0.75533742722981134</v>
      </c>
      <c r="AE253">
        <v>0.21484833224410843</v>
      </c>
      <c r="AF253">
        <v>0.61385237784030988</v>
      </c>
      <c r="AG253">
        <v>0.32853952011491516</v>
      </c>
      <c r="AH253">
        <v>0.938684343185472</v>
      </c>
      <c r="AI253">
        <v>0.35647441315660378</v>
      </c>
      <c r="AJ253">
        <v>1.0184983233045823</v>
      </c>
      <c r="AK253">
        <v>0.29702172941567545</v>
      </c>
      <c r="AL253">
        <v>0.84863351261621567</v>
      </c>
      <c r="AM253">
        <v>0.34949955409107247</v>
      </c>
      <c r="AN253">
        <v>0.99857015454592146</v>
      </c>
      <c r="AO253">
        <v>0.37632763568334249</v>
      </c>
      <c r="AP253">
        <v>1.0752218162381215</v>
      </c>
      <c r="AQ253">
        <v>0.35639546092797952</v>
      </c>
      <c r="AR253">
        <v>1.018272745508513</v>
      </c>
    </row>
    <row r="254" spans="1:44" x14ac:dyDescent="0.3">
      <c r="A254" t="s">
        <v>57</v>
      </c>
      <c r="B254">
        <v>15.9</v>
      </c>
      <c r="C254">
        <v>2</v>
      </c>
      <c r="D254">
        <v>46</v>
      </c>
      <c r="E254">
        <v>2.8258773978663156</v>
      </c>
      <c r="F254">
        <v>30</v>
      </c>
      <c r="G254">
        <v>38</v>
      </c>
      <c r="H254">
        <v>4.4148388230368388E-2</v>
      </c>
      <c r="I254">
        <v>363.0041485847072</v>
      </c>
      <c r="J254">
        <v>0.23587626722919131</v>
      </c>
      <c r="K254">
        <v>82.461414706622364</v>
      </c>
      <c r="L254">
        <v>343.55345789327077</v>
      </c>
      <c r="M254">
        <v>0.2</v>
      </c>
      <c r="N254">
        <v>0.25088674352315238</v>
      </c>
      <c r="O254">
        <v>1.2544337176157618</v>
      </c>
      <c r="P254">
        <v>0.26858474698417545</v>
      </c>
      <c r="Q254">
        <v>1.3429237349208771</v>
      </c>
      <c r="R254">
        <v>0.25587799767807279</v>
      </c>
      <c r="S254">
        <v>1.2793899883903639</v>
      </c>
      <c r="T254">
        <v>0.28303418528316193</v>
      </c>
      <c r="U254">
        <v>0.43432133725167588</v>
      </c>
      <c r="V254">
        <v>1.4151709264158097</v>
      </c>
      <c r="W254">
        <v>0.24447134527620462</v>
      </c>
      <c r="X254">
        <v>1.2223567263810231</v>
      </c>
      <c r="Y254">
        <v>0.3878126857436745</v>
      </c>
      <c r="Z254">
        <v>1.9390634287183723</v>
      </c>
      <c r="AA254">
        <v>0.27346620120877757</v>
      </c>
      <c r="AB254">
        <v>1.3673310060438877</v>
      </c>
      <c r="AC254">
        <v>0.24238431138741112</v>
      </c>
      <c r="AD254">
        <v>1.2119215569370556</v>
      </c>
      <c r="AE254">
        <v>0.19785957554454706</v>
      </c>
      <c r="AF254">
        <v>0.98929787772273525</v>
      </c>
      <c r="AG254">
        <v>0.30400512050915895</v>
      </c>
      <c r="AH254">
        <v>1.5200256025457948</v>
      </c>
      <c r="AI254">
        <v>0.31942684488182999</v>
      </c>
      <c r="AJ254">
        <v>1.5971342244091498</v>
      </c>
      <c r="AK254">
        <v>0.29702172941567545</v>
      </c>
      <c r="AL254">
        <v>1.4851086470783772</v>
      </c>
      <c r="AM254">
        <v>0.31717126021214148</v>
      </c>
      <c r="AN254">
        <v>1.5858563010607074</v>
      </c>
      <c r="AO254">
        <v>0.33712415533702877</v>
      </c>
      <c r="AP254">
        <v>1.6856207766851439</v>
      </c>
      <c r="AQ254">
        <v>0.3161981733529915</v>
      </c>
      <c r="AR254">
        <v>1.5809908667649575</v>
      </c>
    </row>
    <row r="255" spans="1:44" x14ac:dyDescent="0.3">
      <c r="B255">
        <v>15.9</v>
      </c>
      <c r="C255">
        <v>2</v>
      </c>
      <c r="D255">
        <v>46</v>
      </c>
      <c r="E255">
        <v>2.8258773978663156</v>
      </c>
      <c r="F255">
        <v>30</v>
      </c>
      <c r="G255">
        <v>38</v>
      </c>
      <c r="H255">
        <v>4.4148388230368388E-2</v>
      </c>
      <c r="I255">
        <v>392.3</v>
      </c>
      <c r="J255">
        <v>0.17420849999999988</v>
      </c>
      <c r="K255">
        <v>82.461414706622364</v>
      </c>
      <c r="L255">
        <v>377.9345206360814</v>
      </c>
      <c r="M255">
        <v>0.25</v>
      </c>
      <c r="N255">
        <v>0.27432948922960282</v>
      </c>
      <c r="O255">
        <v>1.0973179569184113</v>
      </c>
      <c r="P255">
        <v>0.29702172941567545</v>
      </c>
      <c r="Q255">
        <v>1.1880869176627018</v>
      </c>
      <c r="R255">
        <v>0.27978712395237204</v>
      </c>
      <c r="S255">
        <v>1.1191484958094882</v>
      </c>
      <c r="T255">
        <v>0.29185886340253192</v>
      </c>
      <c r="U255">
        <v>0.46182682241819578</v>
      </c>
      <c r="V255">
        <v>1.1674354536101277</v>
      </c>
      <c r="W255">
        <v>0.26626281210622382</v>
      </c>
      <c r="X255">
        <v>1.0650512484248953</v>
      </c>
      <c r="Y255">
        <v>0.42262897836105034</v>
      </c>
      <c r="Z255">
        <v>1.6905159134442014</v>
      </c>
      <c r="AA255">
        <v>0.29553599084879173</v>
      </c>
      <c r="AB255">
        <v>1.1821439633951669</v>
      </c>
      <c r="AC255">
        <v>0.26436809953043394</v>
      </c>
      <c r="AD255">
        <v>1.0574723981217358</v>
      </c>
      <c r="AE255">
        <v>0.21484833224410843</v>
      </c>
      <c r="AF255">
        <v>0.85939332897643372</v>
      </c>
      <c r="AG255">
        <v>0.32853952011491516</v>
      </c>
      <c r="AH255">
        <v>1.3141580804596606</v>
      </c>
      <c r="AI255">
        <v>0.35647441315660378</v>
      </c>
      <c r="AJ255">
        <v>1.4258976526264151</v>
      </c>
      <c r="AK255">
        <v>0.29702172941567545</v>
      </c>
      <c r="AL255">
        <v>1.1880869176627018</v>
      </c>
      <c r="AM255">
        <v>0.34949955409107247</v>
      </c>
      <c r="AN255">
        <v>1.3979982163642899</v>
      </c>
      <c r="AO255">
        <v>0.37632763568334249</v>
      </c>
      <c r="AP255">
        <v>1.5053105427333699</v>
      </c>
      <c r="AQ255">
        <v>0.35639546092797952</v>
      </c>
      <c r="AR255">
        <v>1.4255818437119181</v>
      </c>
    </row>
    <row r="256" spans="1:44" x14ac:dyDescent="0.3">
      <c r="A256" t="s">
        <v>58</v>
      </c>
      <c r="B256">
        <v>15.9</v>
      </c>
      <c r="C256">
        <v>2</v>
      </c>
      <c r="D256">
        <v>46</v>
      </c>
      <c r="E256">
        <v>2.8258773978663156</v>
      </c>
      <c r="F256">
        <v>30</v>
      </c>
      <c r="G256">
        <v>38</v>
      </c>
      <c r="H256">
        <v>4.4148388230368388E-2</v>
      </c>
      <c r="I256">
        <v>363.0041485847072</v>
      </c>
      <c r="J256">
        <v>0.23587626722919131</v>
      </c>
      <c r="K256">
        <v>82.461414706622364</v>
      </c>
      <c r="L256">
        <v>343.55345789327077</v>
      </c>
      <c r="M256">
        <v>0.2</v>
      </c>
      <c r="N256">
        <v>0.25088674352315238</v>
      </c>
      <c r="O256">
        <v>1.2544337176157618</v>
      </c>
      <c r="P256">
        <v>0.26858474698417545</v>
      </c>
      <c r="Q256">
        <v>1.3429237349208771</v>
      </c>
      <c r="R256">
        <v>0.25587799767807279</v>
      </c>
      <c r="S256">
        <v>1.2793899883903639</v>
      </c>
      <c r="T256">
        <v>0.28303418528316193</v>
      </c>
      <c r="U256">
        <v>0.43432133725167588</v>
      </c>
      <c r="V256">
        <v>1.4151709264158097</v>
      </c>
      <c r="W256">
        <v>0.24447134527620462</v>
      </c>
      <c r="X256">
        <v>1.2223567263810231</v>
      </c>
      <c r="Y256">
        <v>0.3878126857436745</v>
      </c>
      <c r="Z256">
        <v>1.9390634287183723</v>
      </c>
      <c r="AA256">
        <v>0.27346620120877757</v>
      </c>
      <c r="AB256">
        <v>1.3673310060438877</v>
      </c>
      <c r="AC256">
        <v>0.24238431138741112</v>
      </c>
      <c r="AD256">
        <v>1.2119215569370556</v>
      </c>
      <c r="AE256">
        <v>0.19785957554454706</v>
      </c>
      <c r="AF256">
        <v>0.98929787772273525</v>
      </c>
      <c r="AG256">
        <v>0.30400512050915895</v>
      </c>
      <c r="AH256">
        <v>1.5200256025457948</v>
      </c>
      <c r="AI256">
        <v>0.31942684488182999</v>
      </c>
      <c r="AJ256">
        <v>1.5971342244091498</v>
      </c>
      <c r="AK256">
        <v>0.29702172941567545</v>
      </c>
      <c r="AL256">
        <v>1.4851086470783772</v>
      </c>
      <c r="AM256">
        <v>0.31717126021214148</v>
      </c>
      <c r="AN256">
        <v>1.5858563010607074</v>
      </c>
      <c r="AO256">
        <v>0.33712415533702877</v>
      </c>
      <c r="AP256">
        <v>1.6856207766851439</v>
      </c>
      <c r="AQ256">
        <v>0.3161981733529915</v>
      </c>
      <c r="AR256">
        <v>1.5809908667649575</v>
      </c>
    </row>
    <row r="257" spans="1:44" x14ac:dyDescent="0.3">
      <c r="B257">
        <v>15.9</v>
      </c>
      <c r="C257">
        <v>2</v>
      </c>
      <c r="D257">
        <v>46</v>
      </c>
      <c r="E257">
        <v>2.8258773978663156</v>
      </c>
      <c r="F257">
        <v>30</v>
      </c>
      <c r="G257">
        <v>38</v>
      </c>
      <c r="H257">
        <v>4.4148388230368388E-2</v>
      </c>
      <c r="I257">
        <v>392.3</v>
      </c>
      <c r="J257">
        <v>0.17420849999999988</v>
      </c>
      <c r="K257">
        <v>82.461414706622364</v>
      </c>
      <c r="L257">
        <v>377.9345206360814</v>
      </c>
      <c r="M257">
        <v>0.25</v>
      </c>
      <c r="N257">
        <v>0.27432948922960282</v>
      </c>
      <c r="O257">
        <v>1.0973179569184113</v>
      </c>
      <c r="P257">
        <v>0.29702172941567545</v>
      </c>
      <c r="Q257">
        <v>1.1880869176627018</v>
      </c>
      <c r="R257">
        <v>0.27978712395237204</v>
      </c>
      <c r="S257">
        <v>1.1191484958094882</v>
      </c>
      <c r="T257">
        <v>0.29185886340253192</v>
      </c>
      <c r="U257">
        <v>0.46182682241819578</v>
      </c>
      <c r="V257">
        <v>1.1674354536101277</v>
      </c>
      <c r="W257">
        <v>0.26626281210622382</v>
      </c>
      <c r="X257">
        <v>1.0650512484248953</v>
      </c>
      <c r="Y257">
        <v>0.42262897836105034</v>
      </c>
      <c r="Z257">
        <v>1.6905159134442014</v>
      </c>
      <c r="AA257">
        <v>0.29553599084879173</v>
      </c>
      <c r="AB257">
        <v>1.1821439633951669</v>
      </c>
      <c r="AC257">
        <v>0.26436809953043394</v>
      </c>
      <c r="AD257">
        <v>1.0574723981217358</v>
      </c>
      <c r="AE257">
        <v>0.21484833224410843</v>
      </c>
      <c r="AF257">
        <v>0.85939332897643372</v>
      </c>
      <c r="AG257">
        <v>0.32853952011491516</v>
      </c>
      <c r="AH257">
        <v>1.3141580804596606</v>
      </c>
      <c r="AI257">
        <v>0.35647441315660378</v>
      </c>
      <c r="AJ257">
        <v>1.4258976526264151</v>
      </c>
      <c r="AK257">
        <v>0.29702172941567545</v>
      </c>
      <c r="AL257">
        <v>1.1880869176627018</v>
      </c>
      <c r="AM257">
        <v>0.34949955409107247</v>
      </c>
      <c r="AN257">
        <v>1.3979982163642899</v>
      </c>
      <c r="AO257">
        <v>0.37632763568334249</v>
      </c>
      <c r="AP257">
        <v>1.5053105427333699</v>
      </c>
      <c r="AQ257">
        <v>0.35639546092797952</v>
      </c>
      <c r="AR257">
        <v>1.4255818437119181</v>
      </c>
    </row>
    <row r="258" spans="1:44" x14ac:dyDescent="0.3">
      <c r="A258" t="s">
        <v>59</v>
      </c>
      <c r="B258">
        <v>15.9</v>
      </c>
      <c r="C258">
        <v>2</v>
      </c>
      <c r="D258">
        <v>46</v>
      </c>
      <c r="E258">
        <v>2.8258773978663156</v>
      </c>
      <c r="F258">
        <v>30</v>
      </c>
      <c r="G258">
        <v>38</v>
      </c>
      <c r="H258">
        <v>4.4148388230368388E-2</v>
      </c>
      <c r="I258">
        <v>364.33872266038628</v>
      </c>
      <c r="J258">
        <v>0.23306698879988685</v>
      </c>
      <c r="K258">
        <v>82.461414706622364</v>
      </c>
      <c r="L258">
        <v>345.11968904253513</v>
      </c>
      <c r="M258">
        <v>0.2</v>
      </c>
      <c r="N258">
        <v>0.25195467905569791</v>
      </c>
      <c r="O258">
        <v>1.2597733952784895</v>
      </c>
      <c r="P258">
        <v>0.26988019523743262</v>
      </c>
      <c r="Q258">
        <v>1.349400976187163</v>
      </c>
      <c r="R258">
        <v>0.25696717920229234</v>
      </c>
      <c r="S258">
        <v>1.2848358960114616</v>
      </c>
      <c r="T258">
        <v>0.28407475214082062</v>
      </c>
      <c r="U258">
        <v>0.4375207469727258</v>
      </c>
      <c r="V258">
        <v>1.4203737607041029</v>
      </c>
      <c r="W258">
        <v>0.24546405671135285</v>
      </c>
      <c r="X258">
        <v>1.2273202835567643</v>
      </c>
      <c r="Y258">
        <v>0.38940465548415598</v>
      </c>
      <c r="Z258">
        <v>1.9470232774207799</v>
      </c>
      <c r="AA258">
        <v>0.27447159165439811</v>
      </c>
      <c r="AB258">
        <v>1.3723579582719905</v>
      </c>
      <c r="AC258">
        <v>0.24338578403024358</v>
      </c>
      <c r="AD258">
        <v>1.2169289201512179</v>
      </c>
      <c r="AE258">
        <v>0.19863349926322821</v>
      </c>
      <c r="AF258">
        <v>0.99316749631614099</v>
      </c>
      <c r="AG258">
        <v>0.3051227863933838</v>
      </c>
      <c r="AH258">
        <v>1.5256139319669189</v>
      </c>
      <c r="AI258">
        <v>0.3211145488329995</v>
      </c>
      <c r="AJ258">
        <v>1.6055727441649974</v>
      </c>
      <c r="AK258">
        <v>0.29702172941567545</v>
      </c>
      <c r="AL258">
        <v>1.4851086470783772</v>
      </c>
      <c r="AM258">
        <v>0.31865406613021841</v>
      </c>
      <c r="AN258">
        <v>1.593270330651092</v>
      </c>
      <c r="AO258">
        <v>0.33889546171847229</v>
      </c>
      <c r="AP258">
        <v>1.6944773085923615</v>
      </c>
      <c r="AQ258">
        <v>0.31800365452792406</v>
      </c>
      <c r="AR258">
        <v>1.5900182726396201</v>
      </c>
    </row>
    <row r="259" spans="1:44" x14ac:dyDescent="0.3">
      <c r="B259">
        <v>15.9</v>
      </c>
      <c r="C259">
        <v>2</v>
      </c>
      <c r="D259">
        <v>46</v>
      </c>
      <c r="E259">
        <v>2.8258773978663156</v>
      </c>
      <c r="F259">
        <v>30</v>
      </c>
      <c r="G259">
        <v>38</v>
      </c>
      <c r="H259">
        <v>4.4148388230368388E-2</v>
      </c>
      <c r="I259">
        <v>392.3</v>
      </c>
      <c r="J259">
        <v>0.17420849999999988</v>
      </c>
      <c r="K259">
        <v>82.461414706622364</v>
      </c>
      <c r="L259">
        <v>377.9345206360814</v>
      </c>
      <c r="M259">
        <v>0.3</v>
      </c>
      <c r="N259">
        <v>0.27432948922960282</v>
      </c>
      <c r="O259">
        <v>0.91443163076534273</v>
      </c>
      <c r="P259">
        <v>0.29702172941567545</v>
      </c>
      <c r="Q259">
        <v>0.99007243138558487</v>
      </c>
      <c r="R259">
        <v>0.27978712395237204</v>
      </c>
      <c r="S259">
        <v>0.9326237465079068</v>
      </c>
      <c r="T259">
        <v>0.29185886340253192</v>
      </c>
      <c r="U259">
        <v>0.46182682241819578</v>
      </c>
      <c r="V259">
        <v>0.97286287800843974</v>
      </c>
      <c r="W259">
        <v>0.26626281210622382</v>
      </c>
      <c r="X259">
        <v>0.88754270702074611</v>
      </c>
      <c r="Y259">
        <v>0.42262897836105034</v>
      </c>
      <c r="Z259">
        <v>1.4087632612035013</v>
      </c>
      <c r="AA259">
        <v>0.29553599084879173</v>
      </c>
      <c r="AB259">
        <v>0.98511996949597247</v>
      </c>
      <c r="AC259">
        <v>0.26436809953043394</v>
      </c>
      <c r="AD259">
        <v>0.88122699843477981</v>
      </c>
      <c r="AE259">
        <v>0.21484833224410843</v>
      </c>
      <c r="AF259">
        <v>0.71616110748036144</v>
      </c>
      <c r="AG259">
        <v>0.32853952011491516</v>
      </c>
      <c r="AH259">
        <v>1.0951317337163839</v>
      </c>
      <c r="AI259">
        <v>0.35647441315660378</v>
      </c>
      <c r="AJ259">
        <v>1.188248043855346</v>
      </c>
      <c r="AK259">
        <v>0.29702172941567545</v>
      </c>
      <c r="AL259">
        <v>0.99007243138558487</v>
      </c>
      <c r="AM259">
        <v>0.34949955409107247</v>
      </c>
      <c r="AN259">
        <v>1.1649985136369083</v>
      </c>
      <c r="AO259">
        <v>0.37632763568334249</v>
      </c>
      <c r="AP259">
        <v>1.2544254522778084</v>
      </c>
      <c r="AQ259">
        <v>0.35639546092797952</v>
      </c>
      <c r="AR259">
        <v>1.1879848697599318</v>
      </c>
    </row>
    <row r="260" spans="1:44" x14ac:dyDescent="0.3">
      <c r="A260" t="s">
        <v>60</v>
      </c>
      <c r="B260">
        <v>12.7</v>
      </c>
      <c r="C260">
        <v>2</v>
      </c>
      <c r="D260">
        <v>52</v>
      </c>
      <c r="E260">
        <v>2.9208758709847928</v>
      </c>
      <c r="F260">
        <v>30</v>
      </c>
      <c r="G260">
        <v>36.5</v>
      </c>
      <c r="H260">
        <v>2.6406277928437891E-2</v>
      </c>
      <c r="I260">
        <v>317.10269794078823</v>
      </c>
      <c r="J260">
        <v>0.33249882083464077</v>
      </c>
      <c r="K260">
        <v>129.37333171699146</v>
      </c>
      <c r="L260">
        <v>274.08621769743974</v>
      </c>
      <c r="M260">
        <v>0.15</v>
      </c>
      <c r="N260">
        <v>0.23181080280759936</v>
      </c>
      <c r="O260">
        <v>1.5454053520506625</v>
      </c>
      <c r="P260">
        <v>0.21302068526037121</v>
      </c>
      <c r="Q260">
        <v>1.4201379017358082</v>
      </c>
      <c r="R260">
        <v>0.22003405864266853</v>
      </c>
      <c r="S260">
        <v>1.4668937242844569</v>
      </c>
      <c r="T260">
        <v>0.24661873508292353</v>
      </c>
      <c r="U260">
        <v>0.2533316241930651</v>
      </c>
      <c r="V260">
        <v>1.6441249005528236</v>
      </c>
      <c r="W260">
        <v>0.23677888448534648</v>
      </c>
      <c r="X260">
        <v>1.5785258965689766</v>
      </c>
      <c r="Y260">
        <v>0.32848004590109303</v>
      </c>
      <c r="Z260">
        <v>2.1898669726739537</v>
      </c>
      <c r="AA260">
        <v>0.25140813378365084</v>
      </c>
      <c r="AB260">
        <v>1.6760542252243391</v>
      </c>
      <c r="AC260">
        <v>0.18866261416535396</v>
      </c>
      <c r="AD260">
        <v>1.2577507611023597</v>
      </c>
      <c r="AE260">
        <v>0.16697779297207394</v>
      </c>
      <c r="AF260">
        <v>1.113185286480493</v>
      </c>
      <c r="AG260">
        <v>0.25182342460354623</v>
      </c>
      <c r="AH260">
        <v>1.6788228306903084</v>
      </c>
      <c r="AI260">
        <v>0.26705922088184081</v>
      </c>
      <c r="AJ260">
        <v>1.7803948058789387</v>
      </c>
      <c r="AK260">
        <v>0.27183155367374284</v>
      </c>
      <c r="AL260">
        <v>1.8122103578249524</v>
      </c>
      <c r="AM260">
        <v>0.27297834654866521</v>
      </c>
      <c r="AN260">
        <v>1.8198556436577682</v>
      </c>
      <c r="AO260">
        <v>0.24327202135404954</v>
      </c>
      <c r="AP260">
        <v>1.6218134756936637</v>
      </c>
      <c r="AQ260">
        <v>0.22811907506435558</v>
      </c>
      <c r="AR260">
        <v>1.5207938337623705</v>
      </c>
    </row>
    <row r="261" spans="1:44" x14ac:dyDescent="0.3">
      <c r="B261">
        <v>12.7</v>
      </c>
      <c r="C261">
        <v>2</v>
      </c>
      <c r="D261">
        <v>52</v>
      </c>
      <c r="E261">
        <v>2.9208758709847928</v>
      </c>
      <c r="F261">
        <v>30</v>
      </c>
      <c r="G261">
        <v>36.5</v>
      </c>
      <c r="H261">
        <v>2.6406277928437891E-2</v>
      </c>
      <c r="I261">
        <v>392.3</v>
      </c>
      <c r="J261">
        <v>0.17420849999999988</v>
      </c>
      <c r="K261">
        <v>129.37333171699146</v>
      </c>
      <c r="L261">
        <v>369.76206594158054</v>
      </c>
      <c r="M261">
        <v>0.2</v>
      </c>
      <c r="N261">
        <v>0.30460035377229411</v>
      </c>
      <c r="O261">
        <v>1.5230017688614705</v>
      </c>
      <c r="P261">
        <v>0.2922790774211681</v>
      </c>
      <c r="Q261">
        <v>1.4613953871058405</v>
      </c>
      <c r="R261">
        <v>0.28912566322518846</v>
      </c>
      <c r="S261">
        <v>1.4456283161259422</v>
      </c>
      <c r="T261">
        <v>0.29271457269954582</v>
      </c>
      <c r="U261">
        <v>0.35688308472413011</v>
      </c>
      <c r="V261">
        <v>1.463572863497729</v>
      </c>
      <c r="W261">
        <v>0.30404573484725961</v>
      </c>
      <c r="X261">
        <v>1.520228674236298</v>
      </c>
      <c r="Y261">
        <v>0.42697819075524601</v>
      </c>
      <c r="Z261">
        <v>2.1348909537762299</v>
      </c>
      <c r="AA261">
        <v>0.31102671634078205</v>
      </c>
      <c r="AB261">
        <v>1.5551335817039103</v>
      </c>
      <c r="AC261">
        <v>0.23985994890838896</v>
      </c>
      <c r="AD261">
        <v>1.1992997445419447</v>
      </c>
      <c r="AE261">
        <v>0.20988664557260006</v>
      </c>
      <c r="AF261">
        <v>1.0494332278630003</v>
      </c>
      <c r="AG261">
        <v>0.31154048866029532</v>
      </c>
      <c r="AH261">
        <v>1.5577024433014766</v>
      </c>
      <c r="AI261">
        <v>0.37829420906230976</v>
      </c>
      <c r="AJ261">
        <v>1.8914710453115486</v>
      </c>
      <c r="AK261">
        <v>0.2922790774211681</v>
      </c>
      <c r="AL261">
        <v>1.4613953871058405</v>
      </c>
      <c r="AM261">
        <v>0.36814735008662069</v>
      </c>
      <c r="AN261">
        <v>1.8407367504331034</v>
      </c>
      <c r="AO261">
        <v>0.33863759947357835</v>
      </c>
      <c r="AP261">
        <v>1.6931879973678916</v>
      </c>
      <c r="AQ261">
        <v>0.32708247015811487</v>
      </c>
      <c r="AR261">
        <v>1.6354123507905742</v>
      </c>
    </row>
    <row r="262" spans="1:44" x14ac:dyDescent="0.3">
      <c r="A262" t="s">
        <v>61</v>
      </c>
      <c r="B262">
        <v>12.7</v>
      </c>
      <c r="C262">
        <v>2</v>
      </c>
      <c r="D262">
        <v>52</v>
      </c>
      <c r="E262">
        <v>2.9208758709847928</v>
      </c>
      <c r="F262">
        <v>30</v>
      </c>
      <c r="G262">
        <v>36.5</v>
      </c>
      <c r="H262">
        <v>2.6406277928437891E-2</v>
      </c>
      <c r="I262">
        <v>319.13540754297276</v>
      </c>
      <c r="J262">
        <v>0.32821996712204227</v>
      </c>
      <c r="K262">
        <v>129.37333171699146</v>
      </c>
      <c r="L262">
        <v>276.67249686035274</v>
      </c>
      <c r="M262">
        <v>0.15</v>
      </c>
      <c r="N262">
        <v>0.23377842684639971</v>
      </c>
      <c r="O262">
        <v>1.5585228456426647</v>
      </c>
      <c r="P262">
        <v>0.21516317296122117</v>
      </c>
      <c r="Q262">
        <v>1.4344211530748079</v>
      </c>
      <c r="R262">
        <v>0.22190172096856739</v>
      </c>
      <c r="S262">
        <v>1.479344806457116</v>
      </c>
      <c r="T262">
        <v>0.24819962441037818</v>
      </c>
      <c r="U262">
        <v>0.25658987527674482</v>
      </c>
      <c r="V262">
        <v>1.6546641627358547</v>
      </c>
      <c r="W262">
        <v>0.23859722063431765</v>
      </c>
      <c r="X262">
        <v>1.5906481375621178</v>
      </c>
      <c r="Y262">
        <v>0.33119968980678799</v>
      </c>
      <c r="Z262">
        <v>2.2079979320452532</v>
      </c>
      <c r="AA262">
        <v>0.25301972438482806</v>
      </c>
      <c r="AB262">
        <v>1.6867981625655204</v>
      </c>
      <c r="AC262">
        <v>0.19004656426846372</v>
      </c>
      <c r="AD262">
        <v>1.2669770951230916</v>
      </c>
      <c r="AE262">
        <v>0.16813769145661173</v>
      </c>
      <c r="AF262">
        <v>1.1209179430440783</v>
      </c>
      <c r="AG262">
        <v>0.25343767732536382</v>
      </c>
      <c r="AH262">
        <v>1.6895845155024256</v>
      </c>
      <c r="AI262">
        <v>0.27006608977715413</v>
      </c>
      <c r="AJ262">
        <v>1.800440598514361</v>
      </c>
      <c r="AK262">
        <v>0.27382391747852652</v>
      </c>
      <c r="AL262">
        <v>1.8254927831901768</v>
      </c>
      <c r="AM262">
        <v>0.27561682679547511</v>
      </c>
      <c r="AN262">
        <v>1.8374455119698341</v>
      </c>
      <c r="AO262">
        <v>0.24581531113439106</v>
      </c>
      <c r="AP262">
        <v>1.6387687408959404</v>
      </c>
      <c r="AQ262">
        <v>0.23071293077971217</v>
      </c>
      <c r="AR262">
        <v>1.5380862051980813</v>
      </c>
    </row>
    <row r="263" spans="1:44" x14ac:dyDescent="0.3">
      <c r="B263">
        <v>12.7</v>
      </c>
      <c r="C263">
        <v>2</v>
      </c>
      <c r="D263">
        <v>52</v>
      </c>
      <c r="E263">
        <v>2.9208758709847928</v>
      </c>
      <c r="F263">
        <v>30</v>
      </c>
      <c r="G263">
        <v>36.5</v>
      </c>
      <c r="H263">
        <v>2.6406277928437891E-2</v>
      </c>
      <c r="I263">
        <v>392.3</v>
      </c>
      <c r="J263">
        <v>0.17420849999999988</v>
      </c>
      <c r="K263">
        <v>129.37333171699146</v>
      </c>
      <c r="L263">
        <v>369.76206594158054</v>
      </c>
      <c r="M263">
        <v>0.2</v>
      </c>
      <c r="N263">
        <v>0.30460035377229411</v>
      </c>
      <c r="O263">
        <v>1.5230017688614705</v>
      </c>
      <c r="P263">
        <v>0.2922790774211681</v>
      </c>
      <c r="Q263">
        <v>1.4613953871058405</v>
      </c>
      <c r="R263">
        <v>0.28912566322518846</v>
      </c>
      <c r="S263">
        <v>1.4456283161259422</v>
      </c>
      <c r="T263">
        <v>0.29271457269954582</v>
      </c>
      <c r="U263">
        <v>0.35688308472413011</v>
      </c>
      <c r="V263">
        <v>1.463572863497729</v>
      </c>
      <c r="W263">
        <v>0.30404573484725961</v>
      </c>
      <c r="X263">
        <v>1.520228674236298</v>
      </c>
      <c r="Y263">
        <v>0.42697819075524601</v>
      </c>
      <c r="Z263">
        <v>2.1348909537762299</v>
      </c>
      <c r="AA263">
        <v>0.31102671634078205</v>
      </c>
      <c r="AB263">
        <v>1.5551335817039103</v>
      </c>
      <c r="AC263">
        <v>0.23985994890838896</v>
      </c>
      <c r="AD263">
        <v>1.1992997445419447</v>
      </c>
      <c r="AE263">
        <v>0.20988664557260006</v>
      </c>
      <c r="AF263">
        <v>1.0494332278630003</v>
      </c>
      <c r="AG263">
        <v>0.31154048866029532</v>
      </c>
      <c r="AH263">
        <v>1.5577024433014766</v>
      </c>
      <c r="AI263">
        <v>0.37829420906230976</v>
      </c>
      <c r="AJ263">
        <v>1.8914710453115486</v>
      </c>
      <c r="AK263">
        <v>0.2922790774211681</v>
      </c>
      <c r="AL263">
        <v>1.4613953871058405</v>
      </c>
      <c r="AM263">
        <v>0.36814735008662069</v>
      </c>
      <c r="AN263">
        <v>1.8407367504331034</v>
      </c>
      <c r="AO263">
        <v>0.33863759947357835</v>
      </c>
      <c r="AP263">
        <v>1.6931879973678916</v>
      </c>
      <c r="AQ263">
        <v>0.32708247015811487</v>
      </c>
      <c r="AR263">
        <v>1.6354123507905742</v>
      </c>
    </row>
    <row r="264" spans="1:44" x14ac:dyDescent="0.3">
      <c r="A264" t="s">
        <v>62</v>
      </c>
      <c r="B264">
        <v>15.9</v>
      </c>
      <c r="C264">
        <v>2</v>
      </c>
      <c r="D264">
        <v>46</v>
      </c>
      <c r="E264">
        <v>2.9208758709847928</v>
      </c>
      <c r="F264">
        <v>30</v>
      </c>
      <c r="G264">
        <v>38</v>
      </c>
      <c r="H264">
        <v>4.4034980538332921E-2</v>
      </c>
      <c r="I264">
        <v>260.02902224680844</v>
      </c>
      <c r="J264">
        <v>0.45263890817046826</v>
      </c>
      <c r="K264">
        <v>85.091206688591512</v>
      </c>
      <c r="L264">
        <v>221.51343135637671</v>
      </c>
      <c r="M264">
        <v>0.15</v>
      </c>
      <c r="N264">
        <v>0.1674919062651099</v>
      </c>
      <c r="O264">
        <v>1.116612708434066</v>
      </c>
      <c r="P264">
        <v>0.16593842049260554</v>
      </c>
      <c r="Q264">
        <v>1.1062561366173704</v>
      </c>
      <c r="R264">
        <v>0.17071425757771175</v>
      </c>
      <c r="S264">
        <v>1.1380950505180785</v>
      </c>
      <c r="T264">
        <v>0.20291053724344324</v>
      </c>
      <c r="U264">
        <v>0.2159647123648005</v>
      </c>
      <c r="V264">
        <v>1.3527369149562882</v>
      </c>
      <c r="W264">
        <v>0.1678741841935957</v>
      </c>
      <c r="X264">
        <v>1.1191612279573047</v>
      </c>
      <c r="Y264">
        <v>0.26351316056177404</v>
      </c>
      <c r="Z264">
        <v>1.7567544037451603</v>
      </c>
      <c r="AA264">
        <v>0.20014638609567872</v>
      </c>
      <c r="AB264">
        <v>1.3343092406378583</v>
      </c>
      <c r="AC264">
        <v>0.16506313820449167</v>
      </c>
      <c r="AD264">
        <v>1.1004209213632778</v>
      </c>
      <c r="AE264">
        <v>0.1381439747701679</v>
      </c>
      <c r="AF264">
        <v>0.9209598318011194</v>
      </c>
      <c r="AG264">
        <v>0.21761687204786706</v>
      </c>
      <c r="AH264">
        <v>1.4507791469857805</v>
      </c>
      <c r="AI264">
        <v>0.18715407179110796</v>
      </c>
      <c r="AJ264">
        <v>1.2476938119407197</v>
      </c>
      <c r="AK264">
        <v>0.20987762380954911</v>
      </c>
      <c r="AL264">
        <v>1.3991841587303275</v>
      </c>
      <c r="AM264">
        <v>0.19747446659823453</v>
      </c>
      <c r="AN264">
        <v>1.3164964439882303</v>
      </c>
      <c r="AO264">
        <v>0.20057815088324205</v>
      </c>
      <c r="AP264">
        <v>1.337187672554947</v>
      </c>
      <c r="AQ264">
        <v>0.18028201987962764</v>
      </c>
      <c r="AR264">
        <v>1.201880132530851</v>
      </c>
    </row>
    <row r="265" spans="1:44" x14ac:dyDescent="0.3">
      <c r="B265">
        <v>15.9</v>
      </c>
      <c r="C265">
        <v>2</v>
      </c>
      <c r="D265">
        <v>46</v>
      </c>
      <c r="E265">
        <v>2.9208758709847928</v>
      </c>
      <c r="F265">
        <v>30</v>
      </c>
      <c r="G265">
        <v>38</v>
      </c>
      <c r="H265">
        <v>4.4034980538332921E-2</v>
      </c>
      <c r="I265">
        <v>365.37411331090004</v>
      </c>
      <c r="J265">
        <v>0.23088749148055543</v>
      </c>
      <c r="K265">
        <v>85.091206688591512</v>
      </c>
      <c r="L265">
        <v>345.72761805151771</v>
      </c>
      <c r="M265">
        <v>0.25</v>
      </c>
      <c r="N265">
        <v>0.251925495788488</v>
      </c>
      <c r="O265">
        <v>1.007701983153952</v>
      </c>
      <c r="P265">
        <v>0.26816066312683373</v>
      </c>
      <c r="Q265">
        <v>1.0726426525073349</v>
      </c>
      <c r="R265">
        <v>0.25677225208933863</v>
      </c>
      <c r="S265">
        <v>1.0270890083573545</v>
      </c>
      <c r="T265">
        <v>0.28511531899847925</v>
      </c>
      <c r="U265">
        <v>0.42639754754765979</v>
      </c>
      <c r="V265">
        <v>1.140461275993917</v>
      </c>
      <c r="W265">
        <v>0.24623422313174248</v>
      </c>
      <c r="X265">
        <v>0.98493689252696992</v>
      </c>
      <c r="Y265">
        <v>0.39358361903775879</v>
      </c>
      <c r="Z265">
        <v>1.5743344761510352</v>
      </c>
      <c r="AA265">
        <v>0.28123133225751779</v>
      </c>
      <c r="AB265">
        <v>1.1249253290300711</v>
      </c>
      <c r="AC265">
        <v>0.24409176428260956</v>
      </c>
      <c r="AD265">
        <v>0.97636705713043825</v>
      </c>
      <c r="AE265">
        <v>0.19923392556937053</v>
      </c>
      <c r="AF265">
        <v>0.79693570227748212</v>
      </c>
      <c r="AG265">
        <v>0.30577960482623368</v>
      </c>
      <c r="AH265">
        <v>1.2231184193049347</v>
      </c>
      <c r="AI265">
        <v>0.3213019786086907</v>
      </c>
      <c r="AJ265">
        <v>1.2852079144347628</v>
      </c>
      <c r="AK265">
        <v>0.2942883592014458</v>
      </c>
      <c r="AL265">
        <v>1.1771534368057832</v>
      </c>
      <c r="AM265">
        <v>0.31855611740347167</v>
      </c>
      <c r="AN265">
        <v>1.2742244696138867</v>
      </c>
      <c r="AO265">
        <v>0.3350811442969881</v>
      </c>
      <c r="AP265">
        <v>1.3403245771879524</v>
      </c>
      <c r="AQ265">
        <v>0.3142120490957539</v>
      </c>
      <c r="AR265">
        <v>1.2568481963830156</v>
      </c>
    </row>
    <row r="266" spans="1:44" x14ac:dyDescent="0.3">
      <c r="B266">
        <v>15.9</v>
      </c>
      <c r="C266">
        <v>2</v>
      </c>
      <c r="D266">
        <v>46</v>
      </c>
      <c r="E266">
        <v>2.9208758709847928</v>
      </c>
      <c r="F266">
        <v>30</v>
      </c>
      <c r="G266">
        <v>38</v>
      </c>
      <c r="H266">
        <v>4.4034980538332921E-2</v>
      </c>
      <c r="I266">
        <v>392.3</v>
      </c>
      <c r="J266">
        <v>0.17420849999999988</v>
      </c>
      <c r="K266">
        <v>85.091206688591512</v>
      </c>
      <c r="L266">
        <v>377.4763885195905</v>
      </c>
      <c r="M266">
        <v>0.3</v>
      </c>
      <c r="N266">
        <v>0.27350646592479266</v>
      </c>
      <c r="O266">
        <v>0.91168821974930891</v>
      </c>
      <c r="P266">
        <v>0.2942883592014458</v>
      </c>
      <c r="Q266">
        <v>0.98096119733815268</v>
      </c>
      <c r="R266">
        <v>0.27876841522807938</v>
      </c>
      <c r="S266">
        <v>0.9292280507602646</v>
      </c>
      <c r="T266">
        <v>0.29185886340253192</v>
      </c>
      <c r="U266">
        <v>0.4468063816624937</v>
      </c>
      <c r="V266">
        <v>0.97286287800843974</v>
      </c>
      <c r="W266">
        <v>0.26626281210622382</v>
      </c>
      <c r="X266">
        <v>0.88754270702074611</v>
      </c>
      <c r="Y266">
        <v>0.42599386724750998</v>
      </c>
      <c r="Z266">
        <v>1.4199795574917</v>
      </c>
      <c r="AA266">
        <v>0.30195639927765211</v>
      </c>
      <c r="AB266">
        <v>1.006521330925507</v>
      </c>
      <c r="AC266">
        <v>0.26429124210811206</v>
      </c>
      <c r="AD266">
        <v>0.88097080702704023</v>
      </c>
      <c r="AE266">
        <v>0.21484833224410843</v>
      </c>
      <c r="AF266">
        <v>0.71616110748036144</v>
      </c>
      <c r="AG266">
        <v>0.32831373270075848</v>
      </c>
      <c r="AH266">
        <v>1.0943791090025283</v>
      </c>
      <c r="AI266">
        <v>0.35558977789829044</v>
      </c>
      <c r="AJ266">
        <v>1.1852992596609682</v>
      </c>
      <c r="AK266">
        <v>0.2942883592014458</v>
      </c>
      <c r="AL266">
        <v>0.98096119733815268</v>
      </c>
      <c r="AM266">
        <v>0.34835829619665643</v>
      </c>
      <c r="AN266">
        <v>1.1611943206555215</v>
      </c>
      <c r="AO266">
        <v>0.37079828558216965</v>
      </c>
      <c r="AP266">
        <v>1.235994285273899</v>
      </c>
      <c r="AQ266">
        <v>0.35084038915868532</v>
      </c>
      <c r="AR266">
        <v>1.1694679638622845</v>
      </c>
    </row>
    <row r="267" spans="1:44" x14ac:dyDescent="0.3">
      <c r="A267" t="s">
        <v>63</v>
      </c>
      <c r="B267">
        <v>15.9</v>
      </c>
      <c r="C267">
        <v>2</v>
      </c>
      <c r="D267">
        <v>46</v>
      </c>
      <c r="E267">
        <v>2.9208758709847928</v>
      </c>
      <c r="F267">
        <v>30</v>
      </c>
      <c r="G267">
        <v>38</v>
      </c>
      <c r="H267">
        <v>4.4034980538332921E-2</v>
      </c>
      <c r="I267">
        <v>261.36250441217675</v>
      </c>
      <c r="J267">
        <v>0.44983192821236795</v>
      </c>
      <c r="K267">
        <v>85.091206688591512</v>
      </c>
      <c r="L267">
        <v>223.08576283353048</v>
      </c>
      <c r="M267">
        <v>0.15</v>
      </c>
      <c r="N267">
        <v>0.16856068587932993</v>
      </c>
      <c r="O267">
        <v>1.1237379058621997</v>
      </c>
      <c r="P267">
        <v>0.16723237293101356</v>
      </c>
      <c r="Q267">
        <v>1.1148824862067572</v>
      </c>
      <c r="R267">
        <v>0.17180359928039066</v>
      </c>
      <c r="S267">
        <v>1.1453573285359377</v>
      </c>
      <c r="T267">
        <v>0.20395110410110193</v>
      </c>
      <c r="U267">
        <v>0.21818541460108287</v>
      </c>
      <c r="V267">
        <v>1.3596740273406795</v>
      </c>
      <c r="W267">
        <v>0.1688660834206609</v>
      </c>
      <c r="X267">
        <v>1.1257738894710727</v>
      </c>
      <c r="Y267">
        <v>0.26520845210462046</v>
      </c>
      <c r="Z267">
        <v>1.7680563473641364</v>
      </c>
      <c r="AA267">
        <v>0.20117277781924639</v>
      </c>
      <c r="AB267">
        <v>1.3411518521283092</v>
      </c>
      <c r="AC267">
        <v>0.16606350055991093</v>
      </c>
      <c r="AD267">
        <v>1.1070900037327396</v>
      </c>
      <c r="AE267">
        <v>0.13891726528661352</v>
      </c>
      <c r="AF267">
        <v>0.92611510191075685</v>
      </c>
      <c r="AG267">
        <v>0.21873285600708692</v>
      </c>
      <c r="AH267">
        <v>1.4582190400472461</v>
      </c>
      <c r="AI267">
        <v>0.18885214656095087</v>
      </c>
      <c r="AJ267">
        <v>1.2590143104063392</v>
      </c>
      <c r="AK267">
        <v>0.21108176677691129</v>
      </c>
      <c r="AL267">
        <v>1.407211778512742</v>
      </c>
      <c r="AM267">
        <v>0.19906018624443106</v>
      </c>
      <c r="AN267">
        <v>1.3270679082962071</v>
      </c>
      <c r="AO267">
        <v>0.20222859137948968</v>
      </c>
      <c r="AP267">
        <v>1.3481906091965978</v>
      </c>
      <c r="AQ267">
        <v>0.18188401925098782</v>
      </c>
      <c r="AR267">
        <v>1.2125601283399188</v>
      </c>
    </row>
    <row r="268" spans="1:44" x14ac:dyDescent="0.3">
      <c r="B268">
        <v>15.9</v>
      </c>
      <c r="C268">
        <v>2</v>
      </c>
      <c r="D268">
        <v>46</v>
      </c>
      <c r="E268">
        <v>2.9208758709847928</v>
      </c>
      <c r="F268">
        <v>30</v>
      </c>
      <c r="G268">
        <v>38</v>
      </c>
      <c r="H268">
        <v>4.4034980538332921E-2</v>
      </c>
      <c r="I268">
        <v>366.70759547626835</v>
      </c>
      <c r="J268">
        <v>0.22808051152245501</v>
      </c>
      <c r="K268">
        <v>85.091206688591512</v>
      </c>
      <c r="L268">
        <v>347.29994952867145</v>
      </c>
      <c r="M268">
        <v>0.25</v>
      </c>
      <c r="N268">
        <v>0.25299427540270802</v>
      </c>
      <c r="O268">
        <v>1.0119771016108321</v>
      </c>
      <c r="P268">
        <v>0.26945461556524175</v>
      </c>
      <c r="Q268">
        <v>1.077818462260967</v>
      </c>
      <c r="R268">
        <v>0.25786159379201756</v>
      </c>
      <c r="S268">
        <v>1.0314463751680703</v>
      </c>
      <c r="T268">
        <v>0.28615588585613794</v>
      </c>
      <c r="U268">
        <v>0.42951561795103321</v>
      </c>
      <c r="V268">
        <v>1.1446235434245517</v>
      </c>
      <c r="W268">
        <v>0.24722612235880767</v>
      </c>
      <c r="X268">
        <v>0.98890448943523068</v>
      </c>
      <c r="Y268">
        <v>0.39519438566208898</v>
      </c>
      <c r="Z268">
        <v>1.5807775426483559</v>
      </c>
      <c r="AA268">
        <v>0.28225772398108545</v>
      </c>
      <c r="AB268">
        <v>1.1290308959243418</v>
      </c>
      <c r="AC268">
        <v>0.24509212663802887</v>
      </c>
      <c r="AD268">
        <v>0.98036850655211549</v>
      </c>
      <c r="AE268">
        <v>0.20000721608581618</v>
      </c>
      <c r="AF268">
        <v>0.8000288643432647</v>
      </c>
      <c r="AG268">
        <v>0.30689558878545359</v>
      </c>
      <c r="AH268">
        <v>1.2275823551418144</v>
      </c>
      <c r="AI268">
        <v>0.3230000533785336</v>
      </c>
      <c r="AJ268">
        <v>1.2920002135141344</v>
      </c>
      <c r="AK268">
        <v>0.2942883592014458</v>
      </c>
      <c r="AL268">
        <v>1.1771534368057832</v>
      </c>
      <c r="AM268">
        <v>0.32004151011809934</v>
      </c>
      <c r="AN268">
        <v>1.2801660404723973</v>
      </c>
      <c r="AO268">
        <v>0.33683717951657394</v>
      </c>
      <c r="AP268">
        <v>1.3473487180662957</v>
      </c>
      <c r="AQ268">
        <v>0.31600307613066997</v>
      </c>
      <c r="AR268">
        <v>1.2640123045226799</v>
      </c>
    </row>
    <row r="269" spans="1:44" x14ac:dyDescent="0.3">
      <c r="A269" t="s">
        <v>64</v>
      </c>
      <c r="B269">
        <v>19.100000000000001</v>
      </c>
      <c r="C269">
        <v>2</v>
      </c>
      <c r="D269">
        <v>40</v>
      </c>
      <c r="E269">
        <v>2.9208758709847928</v>
      </c>
      <c r="F269">
        <v>30</v>
      </c>
      <c r="G269">
        <v>39.5</v>
      </c>
      <c r="H269">
        <v>6.7418833961836511E-2</v>
      </c>
      <c r="I269">
        <v>187.02573904138569</v>
      </c>
      <c r="J269">
        <v>0.6</v>
      </c>
      <c r="K269">
        <v>62.084728863716464</v>
      </c>
      <c r="L269">
        <v>149.77490172315581</v>
      </c>
      <c r="M269">
        <v>0.15</v>
      </c>
      <c r="N269">
        <v>0.10386548783744019</v>
      </c>
      <c r="O269">
        <v>0.69243658558293464</v>
      </c>
      <c r="P269">
        <v>0.10247434514056784</v>
      </c>
      <c r="Q269">
        <v>0.68316230093711894</v>
      </c>
      <c r="R269">
        <v>0.11245220647895145</v>
      </c>
      <c r="S269">
        <v>0.74968137652634304</v>
      </c>
      <c r="T269">
        <v>0.14814917423039506</v>
      </c>
      <c r="U269">
        <v>0.1355080739737812</v>
      </c>
      <c r="V269">
        <v>0.90338715982520801</v>
      </c>
      <c r="W269">
        <v>0.10457083423101082</v>
      </c>
      <c r="X269">
        <v>0.69713889487340552</v>
      </c>
      <c r="Y269">
        <v>0.17816304051344647</v>
      </c>
      <c r="Z269">
        <v>1.1877536034229765</v>
      </c>
      <c r="AA269">
        <v>0.14126225441748413</v>
      </c>
      <c r="AB269">
        <v>0.9417483627832276</v>
      </c>
      <c r="AC269">
        <v>0.12045195342623187</v>
      </c>
      <c r="AD269">
        <v>0.80301302284154585</v>
      </c>
      <c r="AE269">
        <v>9.7961980084099287E-2</v>
      </c>
      <c r="AF269">
        <v>0.65307986722732858</v>
      </c>
      <c r="AG269">
        <v>0.16516121781174603</v>
      </c>
      <c r="AH269">
        <v>1.1010747854116403</v>
      </c>
      <c r="AI269">
        <v>0.10247434514056784</v>
      </c>
      <c r="AJ269">
        <v>0.68316230093711894</v>
      </c>
      <c r="AK269">
        <v>0.13951343158948509</v>
      </c>
      <c r="AL269">
        <v>0.93008954392990062</v>
      </c>
      <c r="AM269">
        <v>0.11234150332191416</v>
      </c>
      <c r="AN269">
        <v>0.7489433554794277</v>
      </c>
      <c r="AO269">
        <v>0.12979335424481711</v>
      </c>
      <c r="AP269">
        <v>0.86528902829878074</v>
      </c>
      <c r="AQ269">
        <v>0.108510124180053</v>
      </c>
      <c r="AR269">
        <v>0.72340082786701998</v>
      </c>
    </row>
    <row r="270" spans="1:44" x14ac:dyDescent="0.3">
      <c r="B270">
        <v>19.100000000000001</v>
      </c>
      <c r="C270">
        <v>2</v>
      </c>
      <c r="D270">
        <v>40</v>
      </c>
      <c r="E270">
        <v>2.9208758709847928</v>
      </c>
      <c r="F270">
        <v>30</v>
      </c>
      <c r="G270">
        <v>39.5</v>
      </c>
      <c r="H270">
        <v>6.7418833961836511E-2</v>
      </c>
      <c r="I270">
        <v>261.07653927096982</v>
      </c>
      <c r="J270">
        <v>0.45043388483460856</v>
      </c>
      <c r="K270">
        <v>62.084728863716464</v>
      </c>
      <c r="L270">
        <v>233.11147365998266</v>
      </c>
      <c r="M270">
        <v>0.2</v>
      </c>
      <c r="N270">
        <v>0.15521803357180655</v>
      </c>
      <c r="O270">
        <v>0.77609016785903273</v>
      </c>
      <c r="P270">
        <v>0.16913510332806375</v>
      </c>
      <c r="Q270">
        <v>0.8456755166403187</v>
      </c>
      <c r="R270">
        <v>0.16805014566331994</v>
      </c>
      <c r="S270">
        <v>0.84025072831659964</v>
      </c>
      <c r="T270">
        <v>0.20680722291045003</v>
      </c>
      <c r="U270">
        <v>0.2640572571894973</v>
      </c>
      <c r="V270">
        <v>1.0340361145522501</v>
      </c>
      <c r="W270">
        <v>0.15224844195882856</v>
      </c>
      <c r="X270">
        <v>0.7612422097941427</v>
      </c>
      <c r="Y270">
        <v>0.26957165351417106</v>
      </c>
      <c r="Z270">
        <v>1.3478582675708553</v>
      </c>
      <c r="AA270">
        <v>0.19719350235943212</v>
      </c>
      <c r="AB270">
        <v>0.98596751179716058</v>
      </c>
      <c r="AC270">
        <v>0.18111863395839592</v>
      </c>
      <c r="AD270">
        <v>0.90559316979197957</v>
      </c>
      <c r="AE270">
        <v>0.14156003614041548</v>
      </c>
      <c r="AF270">
        <v>0.7078001807020774</v>
      </c>
      <c r="AG270">
        <v>0.2305549994834018</v>
      </c>
      <c r="AH270">
        <v>1.152774997417009</v>
      </c>
      <c r="AI270">
        <v>0.18555915799000014</v>
      </c>
      <c r="AJ270">
        <v>0.92779578995000067</v>
      </c>
      <c r="AK270">
        <v>0.20154768912832646</v>
      </c>
      <c r="AL270">
        <v>1.0077384456416323</v>
      </c>
      <c r="AM270">
        <v>0.19336366401172569</v>
      </c>
      <c r="AN270">
        <v>0.96681832005862844</v>
      </c>
      <c r="AO270">
        <v>0.22193590105589109</v>
      </c>
      <c r="AP270">
        <v>1.1096795052794555</v>
      </c>
      <c r="AQ270">
        <v>0.19291168718523324</v>
      </c>
      <c r="AR270">
        <v>0.96455843592616619</v>
      </c>
    </row>
    <row r="271" spans="1:44" x14ac:dyDescent="0.3">
      <c r="B271">
        <v>19.100000000000001</v>
      </c>
      <c r="C271">
        <v>2</v>
      </c>
      <c r="D271">
        <v>40</v>
      </c>
      <c r="E271">
        <v>2.9208758709847928</v>
      </c>
      <c r="F271">
        <v>30</v>
      </c>
      <c r="G271">
        <v>39.5</v>
      </c>
      <c r="H271">
        <v>6.7418833961836511E-2</v>
      </c>
      <c r="I271">
        <v>336.07670873426662</v>
      </c>
      <c r="J271">
        <v>0.29255852811436878</v>
      </c>
      <c r="K271">
        <v>62.084728863716464</v>
      </c>
      <c r="L271">
        <v>317.91329183951808</v>
      </c>
      <c r="M271">
        <v>0.3</v>
      </c>
      <c r="N271">
        <v>0.20722894527712638</v>
      </c>
      <c r="O271">
        <v>0.69076315092375462</v>
      </c>
      <c r="P271">
        <v>0.23665048662052759</v>
      </c>
      <c r="Q271">
        <v>0.78883495540175863</v>
      </c>
      <c r="R271">
        <v>0.22436087893979573</v>
      </c>
      <c r="S271">
        <v>0.74786959646598583</v>
      </c>
      <c r="T271">
        <v>0.26621729785563381</v>
      </c>
      <c r="U271">
        <v>0.43756164286888011</v>
      </c>
      <c r="V271">
        <v>0.88739099285211276</v>
      </c>
      <c r="W271">
        <v>0.20053730106777218</v>
      </c>
      <c r="X271">
        <v>0.6684576702259073</v>
      </c>
      <c r="Y271">
        <v>0.35824006167094863</v>
      </c>
      <c r="Z271">
        <v>1.1941335389031622</v>
      </c>
      <c r="AA271">
        <v>0.2538418175826872</v>
      </c>
      <c r="AB271">
        <v>0.84613939194229071</v>
      </c>
      <c r="AC271">
        <v>0.24256309244610058</v>
      </c>
      <c r="AD271">
        <v>0.80854364148700197</v>
      </c>
      <c r="AE271">
        <v>0.18571704163335118</v>
      </c>
      <c r="AF271">
        <v>0.61905680544450392</v>
      </c>
      <c r="AG271">
        <v>0.29678716297136087</v>
      </c>
      <c r="AH271">
        <v>0.98929054323786958</v>
      </c>
      <c r="AI271">
        <v>0.27041104484597911</v>
      </c>
      <c r="AJ271">
        <v>0.90137014948659711</v>
      </c>
      <c r="AK271">
        <v>0.2659489910632381</v>
      </c>
      <c r="AL271">
        <v>0.88649663687746039</v>
      </c>
      <c r="AM271">
        <v>0.27167612495227689</v>
      </c>
      <c r="AN271">
        <v>0.90558708317425629</v>
      </c>
      <c r="AO271">
        <v>0.32145494350216169</v>
      </c>
      <c r="AP271">
        <v>1.0715164783405391</v>
      </c>
      <c r="AQ271">
        <v>0.28727170856742229</v>
      </c>
      <c r="AR271">
        <v>0.95757236189140771</v>
      </c>
    </row>
    <row r="272" spans="1:44" x14ac:dyDescent="0.3">
      <c r="B272">
        <v>19.100000000000001</v>
      </c>
      <c r="C272">
        <v>2</v>
      </c>
      <c r="D272">
        <v>40</v>
      </c>
      <c r="E272">
        <v>2.9208758709847928</v>
      </c>
      <c r="F272">
        <v>30</v>
      </c>
      <c r="G272">
        <v>39.5</v>
      </c>
      <c r="H272">
        <v>6.7418833961836511E-2</v>
      </c>
      <c r="I272">
        <v>392.3</v>
      </c>
      <c r="J272">
        <v>0.17420849999999988</v>
      </c>
      <c r="K272">
        <v>62.084728863716464</v>
      </c>
      <c r="L272">
        <v>381.48431251174526</v>
      </c>
      <c r="M272">
        <v>0.33</v>
      </c>
      <c r="N272">
        <v>0.24621851901716416</v>
      </c>
      <c r="O272">
        <v>0.74611672429443676</v>
      </c>
      <c r="P272">
        <v>0.28726286639158216</v>
      </c>
      <c r="Q272">
        <v>0.87049353451994593</v>
      </c>
      <c r="R272">
        <v>0.26657378033783419</v>
      </c>
      <c r="S272">
        <v>0.8077993343570733</v>
      </c>
      <c r="T272">
        <v>0.29484546616440754</v>
      </c>
      <c r="U272">
        <v>0.5367296786008573</v>
      </c>
      <c r="V272">
        <v>0.89347110958911369</v>
      </c>
      <c r="W272">
        <v>0.23673666714921462</v>
      </c>
      <c r="X272">
        <v>0.71738383984610488</v>
      </c>
      <c r="Y272">
        <v>0.42347873544006226</v>
      </c>
      <c r="Z272">
        <v>1.2832688952729159</v>
      </c>
      <c r="AA272">
        <v>0.29630778465051877</v>
      </c>
      <c r="AB272">
        <v>0.89790237772884474</v>
      </c>
      <c r="AC272">
        <v>0.28862445085289834</v>
      </c>
      <c r="AD272">
        <v>0.87461954803908581</v>
      </c>
      <c r="AE272">
        <v>0.21881899592249263</v>
      </c>
      <c r="AF272">
        <v>0.66308786643179585</v>
      </c>
      <c r="AG272">
        <v>0.34643758703827615</v>
      </c>
      <c r="AH272">
        <v>1.049810869812958</v>
      </c>
      <c r="AI272">
        <v>0.33401959911045176</v>
      </c>
      <c r="AJ272">
        <v>1.0121806033650054</v>
      </c>
      <c r="AK272">
        <v>0.28726286639158216</v>
      </c>
      <c r="AL272">
        <v>0.87049353451994593</v>
      </c>
      <c r="AM272">
        <v>0.32850389548935283</v>
      </c>
      <c r="AN272">
        <v>0.99546634996773575</v>
      </c>
      <c r="AO272">
        <v>0.40014731122486474</v>
      </c>
      <c r="AP272">
        <v>1.2125676097723173</v>
      </c>
      <c r="AQ272">
        <v>0.36386619856308811</v>
      </c>
      <c r="AR272">
        <v>1.1026248441305699</v>
      </c>
    </row>
    <row r="273" spans="1:44" x14ac:dyDescent="0.3">
      <c r="A273" t="s">
        <v>65</v>
      </c>
      <c r="B273">
        <v>19.100000000000001</v>
      </c>
      <c r="C273">
        <v>2</v>
      </c>
      <c r="D273">
        <v>40</v>
      </c>
      <c r="E273">
        <v>2.9208758709847928</v>
      </c>
      <c r="F273">
        <v>30</v>
      </c>
      <c r="G273">
        <v>39.5</v>
      </c>
      <c r="H273">
        <v>6.7418833961836511E-2</v>
      </c>
      <c r="I273">
        <v>186.07636980767307</v>
      </c>
      <c r="J273">
        <v>0.6</v>
      </c>
      <c r="K273">
        <v>62.084728863716464</v>
      </c>
      <c r="L273">
        <v>148.82553248944319</v>
      </c>
      <c r="M273">
        <v>0.15</v>
      </c>
      <c r="N273">
        <v>0.1032071218664868</v>
      </c>
      <c r="O273">
        <v>0.68804747910991204</v>
      </c>
      <c r="P273">
        <v>0.10161972003559995</v>
      </c>
      <c r="Q273">
        <v>0.67746480023733302</v>
      </c>
      <c r="R273">
        <v>0.11173941238684416</v>
      </c>
      <c r="S273">
        <v>0.74492941591229445</v>
      </c>
      <c r="T273">
        <v>0.14739714796526618</v>
      </c>
      <c r="U273">
        <v>0.13413584915294852</v>
      </c>
      <c r="V273">
        <v>0.89423899435299015</v>
      </c>
      <c r="W273">
        <v>0.10395958284988495</v>
      </c>
      <c r="X273">
        <v>0.69306388566589971</v>
      </c>
      <c r="Y273">
        <v>0.17694613044184809</v>
      </c>
      <c r="Z273">
        <v>1.1796408696123206</v>
      </c>
      <c r="AA273">
        <v>0.14054518713617711</v>
      </c>
      <c r="AB273">
        <v>0.93696791424118075</v>
      </c>
      <c r="AC273">
        <v>0.1196741754706913</v>
      </c>
      <c r="AD273">
        <v>0.79782783647127531</v>
      </c>
      <c r="AE273">
        <v>9.7403030647479835E-2</v>
      </c>
      <c r="AF273">
        <v>0.64935353764986559</v>
      </c>
      <c r="AG273">
        <v>0.16432283599544276</v>
      </c>
      <c r="AH273">
        <v>1.0954855733029518</v>
      </c>
      <c r="AI273">
        <v>0.10161972003559995</v>
      </c>
      <c r="AJ273">
        <v>0.67746480023733302</v>
      </c>
      <c r="AK273">
        <v>0.1387342810717114</v>
      </c>
      <c r="AL273">
        <v>0.92489520714474271</v>
      </c>
      <c r="AM273">
        <v>0.11127374048051408</v>
      </c>
      <c r="AN273">
        <v>0.74182493653676063</v>
      </c>
      <c r="AO273">
        <v>0.12865149929327341</v>
      </c>
      <c r="AP273">
        <v>0.85767666195515613</v>
      </c>
      <c r="AQ273">
        <v>0.10748459035664847</v>
      </c>
      <c r="AR273">
        <v>0.71656393571098975</v>
      </c>
    </row>
    <row r="274" spans="1:44" x14ac:dyDescent="0.3">
      <c r="B274">
        <v>19.100000000000001</v>
      </c>
      <c r="C274">
        <v>2</v>
      </c>
      <c r="D274">
        <v>40</v>
      </c>
      <c r="E274">
        <v>2.9208758709847928</v>
      </c>
      <c r="F274">
        <v>30</v>
      </c>
      <c r="G274">
        <v>39.5</v>
      </c>
      <c r="H274">
        <v>6.7418833961836511E-2</v>
      </c>
      <c r="I274">
        <v>259.17780080354459</v>
      </c>
      <c r="J274">
        <v>0.45443072930853867</v>
      </c>
      <c r="K274">
        <v>62.084728863716464</v>
      </c>
      <c r="L274">
        <v>230.96459218708304</v>
      </c>
      <c r="M274">
        <v>0.25</v>
      </c>
      <c r="N274">
        <v>0.15390130162989973</v>
      </c>
      <c r="O274">
        <v>0.61560520651959894</v>
      </c>
      <c r="P274">
        <v>0.16742585311812797</v>
      </c>
      <c r="Q274">
        <v>0.66970341247251186</v>
      </c>
      <c r="R274">
        <v>0.16662455747910535</v>
      </c>
      <c r="S274">
        <v>0.66649822991642138</v>
      </c>
      <c r="T274">
        <v>0.20530317038019216</v>
      </c>
      <c r="U274">
        <v>0.26023039102249323</v>
      </c>
      <c r="V274">
        <v>0.82121268152076865</v>
      </c>
      <c r="W274">
        <v>0.15102593919657681</v>
      </c>
      <c r="X274">
        <v>0.60410375678630723</v>
      </c>
      <c r="Y274">
        <v>0.26729001115865386</v>
      </c>
      <c r="Z274">
        <v>1.0691600446346154</v>
      </c>
      <c r="AA274">
        <v>0.19575936779681807</v>
      </c>
      <c r="AB274">
        <v>0.78303747118727229</v>
      </c>
      <c r="AC274">
        <v>0.17956307804731475</v>
      </c>
      <c r="AD274">
        <v>0.718252312189259</v>
      </c>
      <c r="AE274">
        <v>0.14044213726717661</v>
      </c>
      <c r="AF274">
        <v>0.56176854906870644</v>
      </c>
      <c r="AG274">
        <v>0.22887823585079523</v>
      </c>
      <c r="AH274">
        <v>0.9155129434031809</v>
      </c>
      <c r="AI274">
        <v>0.18341100895567153</v>
      </c>
      <c r="AJ274">
        <v>0.73364403582268611</v>
      </c>
      <c r="AK274">
        <v>0.19993321291506422</v>
      </c>
      <c r="AL274">
        <v>0.79973285166025687</v>
      </c>
      <c r="AM274">
        <v>0.19133681685137791</v>
      </c>
      <c r="AN274">
        <v>0.76534726740551162</v>
      </c>
      <c r="AO274">
        <v>0.21949734909128049</v>
      </c>
      <c r="AP274">
        <v>0.87798939636512197</v>
      </c>
      <c r="AQ274">
        <v>0.19063876353685255</v>
      </c>
      <c r="AR274">
        <v>0.76255505414741021</v>
      </c>
    </row>
    <row r="275" spans="1:44" x14ac:dyDescent="0.3">
      <c r="B275">
        <v>19.100000000000001</v>
      </c>
      <c r="C275">
        <v>2</v>
      </c>
      <c r="D275">
        <v>40</v>
      </c>
      <c r="E275">
        <v>2.9208758709847928</v>
      </c>
      <c r="F275">
        <v>30</v>
      </c>
      <c r="G275">
        <v>39.5</v>
      </c>
      <c r="H275">
        <v>6.7418833961836511E-2</v>
      </c>
      <c r="I275">
        <v>333.22860103312883</v>
      </c>
      <c r="J275">
        <v>0.29855379482526379</v>
      </c>
      <c r="K275">
        <v>62.084728863716464</v>
      </c>
      <c r="L275">
        <v>314.6929696301687</v>
      </c>
      <c r="M275">
        <v>0.28000000000000003</v>
      </c>
      <c r="N275">
        <v>0.20525384736426619</v>
      </c>
      <c r="O275">
        <v>0.73304945487237916</v>
      </c>
      <c r="P275">
        <v>0.23408661130562394</v>
      </c>
      <c r="Q275">
        <v>0.83602361180579976</v>
      </c>
      <c r="R275">
        <v>0.22222249666347391</v>
      </c>
      <c r="S275">
        <v>0.79365177379812102</v>
      </c>
      <c r="T275">
        <v>0.26396121906024711</v>
      </c>
      <c r="U275">
        <v>0.43017676883310102</v>
      </c>
      <c r="V275">
        <v>0.94271863950088242</v>
      </c>
      <c r="W275">
        <v>0.19870354692439463</v>
      </c>
      <c r="X275">
        <v>0.70965552472998072</v>
      </c>
      <c r="Y275">
        <v>0.35491326945201562</v>
      </c>
      <c r="Z275">
        <v>1.2675473909000556</v>
      </c>
      <c r="AA275">
        <v>0.25169061573876617</v>
      </c>
      <c r="AB275">
        <v>0.89889505620987908</v>
      </c>
      <c r="AC275">
        <v>0.24022975857947892</v>
      </c>
      <c r="AD275">
        <v>0.85796342349813892</v>
      </c>
      <c r="AE275">
        <v>0.18404019332349289</v>
      </c>
      <c r="AF275">
        <v>0.65728640472676025</v>
      </c>
      <c r="AG275">
        <v>0.29427201752245108</v>
      </c>
      <c r="AH275">
        <v>1.0509714911516108</v>
      </c>
      <c r="AI275">
        <v>0.26718882129448629</v>
      </c>
      <c r="AJ275">
        <v>0.95424579033745094</v>
      </c>
      <c r="AK275">
        <v>0.26348502590433021</v>
      </c>
      <c r="AL275">
        <v>0.94101794965832208</v>
      </c>
      <c r="AM275">
        <v>0.26875865565925594</v>
      </c>
      <c r="AN275">
        <v>0.95985234164019972</v>
      </c>
      <c r="AO275">
        <v>0.31756185551983479</v>
      </c>
      <c r="AP275">
        <v>1.13414948399941</v>
      </c>
      <c r="AQ275">
        <v>0.28352524510536659</v>
      </c>
      <c r="AR275">
        <v>1.0125901610905947</v>
      </c>
    </row>
    <row r="276" spans="1:44" x14ac:dyDescent="0.3">
      <c r="A276" t="s">
        <v>66</v>
      </c>
      <c r="B276">
        <v>15.9</v>
      </c>
      <c r="C276">
        <v>2</v>
      </c>
      <c r="D276">
        <v>46</v>
      </c>
      <c r="E276">
        <v>3.3538794827423906</v>
      </c>
      <c r="F276">
        <v>30</v>
      </c>
      <c r="G276">
        <v>38</v>
      </c>
      <c r="H276">
        <v>4.3572731080932514E-2</v>
      </c>
      <c r="I276">
        <v>365.47269151625068</v>
      </c>
      <c r="J276">
        <v>0.23067998435829229</v>
      </c>
      <c r="K276">
        <v>97.074905867079053</v>
      </c>
      <c r="L276">
        <v>343.07945374925021</v>
      </c>
      <c r="M276">
        <v>0.2</v>
      </c>
      <c r="N276">
        <v>0.24787609391279472</v>
      </c>
      <c r="O276">
        <v>1.2393804695639736</v>
      </c>
      <c r="P276">
        <v>0.2559318537568821</v>
      </c>
      <c r="Q276">
        <v>1.2796592687844104</v>
      </c>
      <c r="R276">
        <v>0.25197930642052585</v>
      </c>
      <c r="S276">
        <v>1.2598965321026292</v>
      </c>
      <c r="T276">
        <v>0.28615588585613794</v>
      </c>
      <c r="U276">
        <v>0.37406287588439796</v>
      </c>
      <c r="V276">
        <v>1.4307794292806897</v>
      </c>
      <c r="W276">
        <v>0.2463075496810074</v>
      </c>
      <c r="X276">
        <v>1.2315377484050369</v>
      </c>
      <c r="Y276">
        <v>0.40653331382420199</v>
      </c>
      <c r="Z276">
        <v>2.0326665691210097</v>
      </c>
      <c r="AA276">
        <v>0.30775363409033601</v>
      </c>
      <c r="AB276">
        <v>1.53876817045168</v>
      </c>
      <c r="AC276">
        <v>0.24388415917646628</v>
      </c>
      <c r="AD276">
        <v>1.2194207958823313</v>
      </c>
      <c r="AE276">
        <v>0.1992910913817868</v>
      </c>
      <c r="AF276">
        <v>0.996455456908934</v>
      </c>
      <c r="AG276">
        <v>0.30500771306213503</v>
      </c>
      <c r="AH276">
        <v>1.5250385653106751</v>
      </c>
      <c r="AI276">
        <v>0.31638565265359381</v>
      </c>
      <c r="AJ276">
        <v>1.581928263267969</v>
      </c>
      <c r="AK276">
        <v>0.28192769917035537</v>
      </c>
      <c r="AL276">
        <v>1.4096384958517767</v>
      </c>
      <c r="AM276">
        <v>0.31302564121596371</v>
      </c>
      <c r="AN276">
        <v>1.5651282060798184</v>
      </c>
      <c r="AO276">
        <v>0.3133100829802854</v>
      </c>
      <c r="AP276">
        <v>1.5665504149014269</v>
      </c>
      <c r="AQ276">
        <v>0.29217612216028621</v>
      </c>
      <c r="AR276">
        <v>1.4608806108014309</v>
      </c>
    </row>
    <row r="277" spans="1:44" x14ac:dyDescent="0.3">
      <c r="B277">
        <v>15.9</v>
      </c>
      <c r="C277">
        <v>2</v>
      </c>
      <c r="D277">
        <v>46</v>
      </c>
      <c r="E277">
        <v>3.3538794827423906</v>
      </c>
      <c r="F277">
        <v>30</v>
      </c>
      <c r="G277">
        <v>38</v>
      </c>
      <c r="H277">
        <v>4.3572731080932514E-2</v>
      </c>
      <c r="I277">
        <v>392.3</v>
      </c>
      <c r="J277">
        <v>0.17420849999999988</v>
      </c>
      <c r="K277">
        <v>97.074905867079053</v>
      </c>
      <c r="L277">
        <v>375.38872626125499</v>
      </c>
      <c r="M277">
        <v>0.22</v>
      </c>
      <c r="N277">
        <v>0.26952078089345077</v>
      </c>
      <c r="O277">
        <v>1.2250944586065944</v>
      </c>
      <c r="P277">
        <v>0.28192769917035537</v>
      </c>
      <c r="Q277">
        <v>1.2814895416834335</v>
      </c>
      <c r="R277">
        <v>0.27398228834178312</v>
      </c>
      <c r="S277">
        <v>1.245374037917196</v>
      </c>
      <c r="T277">
        <v>0.29185886340253192</v>
      </c>
      <c r="U277">
        <v>0.38912131038557102</v>
      </c>
      <c r="V277">
        <v>1.326631197284236</v>
      </c>
      <c r="W277">
        <v>0.26626281210622382</v>
      </c>
      <c r="X277">
        <v>1.2102855095737446</v>
      </c>
      <c r="Y277">
        <v>0.44076646673889397</v>
      </c>
      <c r="Z277">
        <v>2.0034839397222455</v>
      </c>
      <c r="AA277">
        <v>0.33034410902974537</v>
      </c>
      <c r="AB277">
        <v>1.5015641319533881</v>
      </c>
      <c r="AC277">
        <v>0.26398647726050195</v>
      </c>
      <c r="AD277">
        <v>1.1999385330022816</v>
      </c>
      <c r="AE277">
        <v>0.21484833224410843</v>
      </c>
      <c r="AF277">
        <v>0.9765833283823111</v>
      </c>
      <c r="AG277">
        <v>0.32739662527960767</v>
      </c>
      <c r="AH277">
        <v>1.4881664785436712</v>
      </c>
      <c r="AI277">
        <v>0.35162528560688727</v>
      </c>
      <c r="AJ277">
        <v>1.5982967527585785</v>
      </c>
      <c r="AK277">
        <v>0.28192769917035537</v>
      </c>
      <c r="AL277">
        <v>1.2814895416834335</v>
      </c>
      <c r="AM277">
        <v>0.34320552405230015</v>
      </c>
      <c r="AN277">
        <v>1.560025109328637</v>
      </c>
      <c r="AO277">
        <v>0.34760364977130015</v>
      </c>
      <c r="AP277">
        <v>1.5800165898695462</v>
      </c>
      <c r="AQ277">
        <v>0.327244920707776</v>
      </c>
      <c r="AR277">
        <v>1.4874769123080727</v>
      </c>
    </row>
    <row r="278" spans="1:44" x14ac:dyDescent="0.3">
      <c r="A278" t="s">
        <v>67</v>
      </c>
      <c r="B278">
        <v>15.9</v>
      </c>
      <c r="C278">
        <v>2</v>
      </c>
      <c r="D278">
        <v>46</v>
      </c>
      <c r="E278">
        <v>3.3538794827423906</v>
      </c>
      <c r="F278">
        <v>30</v>
      </c>
      <c r="G278">
        <v>38</v>
      </c>
      <c r="H278">
        <v>4.3572731080932514E-2</v>
      </c>
      <c r="I278">
        <v>365.47269151625068</v>
      </c>
      <c r="J278">
        <v>0.23067998435829229</v>
      </c>
      <c r="K278">
        <v>97.074905867079053</v>
      </c>
      <c r="L278">
        <v>343.07945374925021</v>
      </c>
      <c r="M278">
        <v>0.17</v>
      </c>
      <c r="N278">
        <v>0.24787609391279472</v>
      </c>
      <c r="O278">
        <v>1.4580946700752631</v>
      </c>
      <c r="P278">
        <v>0.2559318537568821</v>
      </c>
      <c r="Q278">
        <v>1.5054814926875417</v>
      </c>
      <c r="R278">
        <v>0.25197930642052585</v>
      </c>
      <c r="S278">
        <v>1.4822312142383873</v>
      </c>
      <c r="T278">
        <v>0.28615588585613794</v>
      </c>
      <c r="U278">
        <v>0.37406287588439796</v>
      </c>
      <c r="V278">
        <v>1.6832699168008112</v>
      </c>
      <c r="W278">
        <v>0.2463075496810074</v>
      </c>
      <c r="X278">
        <v>1.4488679393000434</v>
      </c>
      <c r="Y278">
        <v>0.40653331382420199</v>
      </c>
      <c r="Z278">
        <v>2.3913724342600116</v>
      </c>
      <c r="AA278">
        <v>0.30775363409033601</v>
      </c>
      <c r="AB278">
        <v>1.8103154946490352</v>
      </c>
      <c r="AC278">
        <v>0.24388415917646628</v>
      </c>
      <c r="AD278">
        <v>1.4346127010380367</v>
      </c>
      <c r="AE278">
        <v>0.1992910913817868</v>
      </c>
      <c r="AF278">
        <v>1.1723005375399222</v>
      </c>
      <c r="AG278">
        <v>0.30500771306213503</v>
      </c>
      <c r="AH278">
        <v>1.794163018012559</v>
      </c>
      <c r="AI278">
        <v>0.31638565265359381</v>
      </c>
      <c r="AJ278">
        <v>1.8610920744329047</v>
      </c>
      <c r="AK278">
        <v>0.28192769917035537</v>
      </c>
      <c r="AL278">
        <v>1.6583982304138549</v>
      </c>
      <c r="AM278">
        <v>0.31302564121596371</v>
      </c>
      <c r="AN278">
        <v>1.8413273012703746</v>
      </c>
      <c r="AO278">
        <v>0.3133100829802854</v>
      </c>
      <c r="AP278">
        <v>1.8430004881193258</v>
      </c>
      <c r="AQ278">
        <v>0.29217612216028621</v>
      </c>
      <c r="AR278">
        <v>1.7186830715310952</v>
      </c>
    </row>
    <row r="279" spans="1:44" x14ac:dyDescent="0.3">
      <c r="B279">
        <v>15.9</v>
      </c>
      <c r="C279">
        <v>2</v>
      </c>
      <c r="D279">
        <v>46</v>
      </c>
      <c r="E279">
        <v>3.3538794827423906</v>
      </c>
      <c r="F279">
        <v>30</v>
      </c>
      <c r="G279">
        <v>38</v>
      </c>
      <c r="H279">
        <v>4.3572731080932514E-2</v>
      </c>
      <c r="I279">
        <v>392.3</v>
      </c>
      <c r="J279">
        <v>0.17420849999999988</v>
      </c>
      <c r="K279">
        <v>97.074905867079053</v>
      </c>
      <c r="L279">
        <v>375.38872626125499</v>
      </c>
      <c r="M279">
        <v>0.21</v>
      </c>
      <c r="N279">
        <v>0.26952078089345077</v>
      </c>
      <c r="O279">
        <v>1.2834322899688133</v>
      </c>
      <c r="P279">
        <v>0.28192769917035537</v>
      </c>
      <c r="Q279">
        <v>1.3425128531921684</v>
      </c>
      <c r="R279">
        <v>0.27398228834178312</v>
      </c>
      <c r="S279">
        <v>1.3046775635323007</v>
      </c>
      <c r="T279">
        <v>0.29185886340253192</v>
      </c>
      <c r="U279">
        <v>0.38912131038557102</v>
      </c>
      <c r="V279">
        <v>1.3898041114406283</v>
      </c>
      <c r="W279">
        <v>0.26626281210622382</v>
      </c>
      <c r="X279">
        <v>1.2679181528867802</v>
      </c>
      <c r="Y279">
        <v>0.44076646673889397</v>
      </c>
      <c r="Z279">
        <v>2.098887936851876</v>
      </c>
      <c r="AA279">
        <v>0.33034410902974537</v>
      </c>
      <c r="AB279">
        <v>1.5730671858559304</v>
      </c>
      <c r="AC279">
        <v>0.26398647726050195</v>
      </c>
      <c r="AD279">
        <v>1.2570784631452474</v>
      </c>
      <c r="AE279">
        <v>0.21484833224410843</v>
      </c>
      <c r="AF279">
        <v>1.0230872964005164</v>
      </c>
      <c r="AG279">
        <v>0.32739662527960767</v>
      </c>
      <c r="AH279">
        <v>1.5590315489505127</v>
      </c>
      <c r="AI279">
        <v>0.35162528560688727</v>
      </c>
      <c r="AJ279">
        <v>1.6744061219375586</v>
      </c>
      <c r="AK279">
        <v>0.28192769917035537</v>
      </c>
      <c r="AL279">
        <v>1.3425128531921684</v>
      </c>
      <c r="AM279">
        <v>0.34320552405230015</v>
      </c>
      <c r="AN279">
        <v>1.6343120192966674</v>
      </c>
      <c r="AO279">
        <v>0.34760364977130015</v>
      </c>
      <c r="AP279">
        <v>1.6552554751014295</v>
      </c>
      <c r="AQ279">
        <v>0.327244920707776</v>
      </c>
      <c r="AR279">
        <v>1.5583091462275047</v>
      </c>
    </row>
    <row r="280" spans="1:44" x14ac:dyDescent="0.3">
      <c r="A280" t="s">
        <v>68</v>
      </c>
      <c r="B280">
        <v>19.100000000000001</v>
      </c>
      <c r="C280">
        <v>2</v>
      </c>
      <c r="D280">
        <v>40</v>
      </c>
      <c r="E280">
        <v>3.3538794827423906</v>
      </c>
      <c r="F280">
        <v>30</v>
      </c>
      <c r="G280">
        <v>39.5</v>
      </c>
      <c r="H280">
        <v>6.6596536025101183E-2</v>
      </c>
      <c r="I280">
        <v>221.31013180149799</v>
      </c>
      <c r="J280">
        <v>0.53414217255784679</v>
      </c>
      <c r="K280">
        <v>70.464093789656062</v>
      </c>
      <c r="L280">
        <v>183.67228765737121</v>
      </c>
      <c r="M280">
        <v>0.17</v>
      </c>
      <c r="N280">
        <v>0.1250242104051538</v>
      </c>
      <c r="O280">
        <v>0.73543653179502233</v>
      </c>
      <c r="P280">
        <v>0.12418568445184547</v>
      </c>
      <c r="Q280">
        <v>0.73050402618732624</v>
      </c>
      <c r="R280">
        <v>0.13495075566019682</v>
      </c>
      <c r="S280">
        <v>0.79382797447174591</v>
      </c>
      <c r="T280">
        <v>0.17597414604016473</v>
      </c>
      <c r="U280">
        <v>0.16650607497088082</v>
      </c>
      <c r="V280">
        <v>0.97944749982871071</v>
      </c>
      <c r="W280">
        <v>0.12664484050960911</v>
      </c>
      <c r="X280">
        <v>0.74496965005652416</v>
      </c>
      <c r="Y280">
        <v>0.22538674781496504</v>
      </c>
      <c r="Z280">
        <v>1.3258043989115589</v>
      </c>
      <c r="AA280">
        <v>0.18287249019815305</v>
      </c>
      <c r="AB280">
        <v>1.0757205305773707</v>
      </c>
      <c r="AC280">
        <v>0.14823245470779992</v>
      </c>
      <c r="AD280">
        <v>0.87195561592823478</v>
      </c>
      <c r="AE280">
        <v>0.11814721606774738</v>
      </c>
      <c r="AF280">
        <v>0.69498362392792568</v>
      </c>
      <c r="AG280">
        <v>0.19471858851908505</v>
      </c>
      <c r="AH280">
        <v>1.1454034618769708</v>
      </c>
      <c r="AI280">
        <v>0.13239376928063259</v>
      </c>
      <c r="AJ280">
        <v>0.77878687812136815</v>
      </c>
      <c r="AK280">
        <v>0.16500803399256275</v>
      </c>
      <c r="AL280">
        <v>0.97063549407389849</v>
      </c>
      <c r="AM280">
        <v>0.14323409716608182</v>
      </c>
      <c r="AN280">
        <v>0.84255351274165768</v>
      </c>
      <c r="AO280">
        <v>0.15661585133166256</v>
      </c>
      <c r="AP280">
        <v>0.92126971371566202</v>
      </c>
      <c r="AQ280">
        <v>0.13294030374443333</v>
      </c>
      <c r="AR280">
        <v>0.78200178673196075</v>
      </c>
    </row>
    <row r="281" spans="1:44" x14ac:dyDescent="0.3">
      <c r="B281">
        <v>19.100000000000001</v>
      </c>
      <c r="C281">
        <v>2</v>
      </c>
      <c r="D281">
        <v>40</v>
      </c>
      <c r="E281">
        <v>3.3538794827423906</v>
      </c>
      <c r="F281">
        <v>30</v>
      </c>
      <c r="G281">
        <v>39.5</v>
      </c>
      <c r="H281">
        <v>6.6596536025101183E-2</v>
      </c>
      <c r="I281">
        <v>259.14092356243782</v>
      </c>
      <c r="J281">
        <v>0.45450835590106842</v>
      </c>
      <c r="K281">
        <v>70.464093789656062</v>
      </c>
      <c r="L281">
        <v>227.11440414404257</v>
      </c>
      <c r="M281">
        <v>0.18</v>
      </c>
      <c r="N281">
        <v>0.15144280284122463</v>
      </c>
      <c r="O281">
        <v>0.84134890467347023</v>
      </c>
      <c r="P281">
        <v>0.15819691921097215</v>
      </c>
      <c r="Q281">
        <v>0.87887177339428979</v>
      </c>
      <c r="R281">
        <v>0.16346690466184294</v>
      </c>
      <c r="S281">
        <v>0.90814947034357196</v>
      </c>
      <c r="T281">
        <v>0.20605519664532107</v>
      </c>
      <c r="U281">
        <v>0.228296626570857</v>
      </c>
      <c r="V281">
        <v>1.1447510924740061</v>
      </c>
      <c r="W281">
        <v>0.15100219578489021</v>
      </c>
      <c r="X281">
        <v>0.83890108769383454</v>
      </c>
      <c r="Y281">
        <v>0.27452178182149056</v>
      </c>
      <c r="Z281">
        <v>1.5251210101193922</v>
      </c>
      <c r="AA281">
        <v>0.21413274493288006</v>
      </c>
      <c r="AB281">
        <v>1.1896263607382227</v>
      </c>
      <c r="AC281">
        <v>0.17916151019160051</v>
      </c>
      <c r="AD281">
        <v>0.99534172328666948</v>
      </c>
      <c r="AE281">
        <v>0.14042042546905978</v>
      </c>
      <c r="AF281">
        <v>0.78011347482810989</v>
      </c>
      <c r="AG281">
        <v>0.22800381732576627</v>
      </c>
      <c r="AH281">
        <v>1.2666878740320349</v>
      </c>
      <c r="AI281">
        <v>0.17633003721722093</v>
      </c>
      <c r="AJ281">
        <v>0.97961131787344968</v>
      </c>
      <c r="AK281">
        <v>0.19652209141028049</v>
      </c>
      <c r="AL281">
        <v>1.0917893967237806</v>
      </c>
      <c r="AM281">
        <v>0.18507173148334624</v>
      </c>
      <c r="AN281">
        <v>1.0281762860185903</v>
      </c>
      <c r="AO281">
        <v>0.20260570750494111</v>
      </c>
      <c r="AP281">
        <v>1.1255872639163396</v>
      </c>
      <c r="AQ281">
        <v>0.1755050168180472</v>
      </c>
      <c r="AR281">
        <v>0.97502787121137335</v>
      </c>
    </row>
    <row r="282" spans="1:44" x14ac:dyDescent="0.3">
      <c r="B282">
        <v>19.100000000000001</v>
      </c>
      <c r="C282">
        <v>2</v>
      </c>
      <c r="D282">
        <v>40</v>
      </c>
      <c r="E282">
        <v>3.3538794827423906</v>
      </c>
      <c r="F282">
        <v>30</v>
      </c>
      <c r="G282">
        <v>39.5</v>
      </c>
      <c r="H282">
        <v>6.6596536025101183E-2</v>
      </c>
      <c r="I282">
        <v>296.0259455293542</v>
      </c>
      <c r="J282">
        <v>0.3768653846607094</v>
      </c>
      <c r="K282">
        <v>70.464093789656062</v>
      </c>
      <c r="L282">
        <v>269.47046771854718</v>
      </c>
      <c r="M282">
        <v>0.2</v>
      </c>
      <c r="N282">
        <v>0.17720093046639374</v>
      </c>
      <c r="O282">
        <v>0.88600465233196868</v>
      </c>
      <c r="P282">
        <v>0.19135787310112068</v>
      </c>
      <c r="Q282">
        <v>0.95678936550560334</v>
      </c>
      <c r="R282">
        <v>0.19127014993844793</v>
      </c>
      <c r="S282">
        <v>0.95635074969223965</v>
      </c>
      <c r="T282">
        <v>0.23538422098534853</v>
      </c>
      <c r="U282">
        <v>0.2979113459497082</v>
      </c>
      <c r="V282">
        <v>1.1769211049267425</v>
      </c>
      <c r="W282">
        <v>0.17475061717828932</v>
      </c>
      <c r="X282">
        <v>0.87375308589144662</v>
      </c>
      <c r="Y282">
        <v>0.32122604310317937</v>
      </c>
      <c r="Z282">
        <v>1.6061302155158967</v>
      </c>
      <c r="AA282">
        <v>0.24461149329923895</v>
      </c>
      <c r="AB282">
        <v>1.2230574664961946</v>
      </c>
      <c r="AC282">
        <v>0.20931733928830606</v>
      </c>
      <c r="AD282">
        <v>1.0465866964415302</v>
      </c>
      <c r="AE282">
        <v>0.16213680463533942</v>
      </c>
      <c r="AF282">
        <v>0.81068402317669708</v>
      </c>
      <c r="AG282">
        <v>0.2604569154122805</v>
      </c>
      <c r="AH282">
        <v>1.3022845770614024</v>
      </c>
      <c r="AI282">
        <v>0.21916789845539458</v>
      </c>
      <c r="AJ282">
        <v>1.0958394922769727</v>
      </c>
      <c r="AK282">
        <v>0.22769634035772729</v>
      </c>
      <c r="AL282">
        <v>1.1384817017886364</v>
      </c>
      <c r="AM282">
        <v>0.2248039483670439</v>
      </c>
      <c r="AN282">
        <v>1.1240197418352194</v>
      </c>
      <c r="AO282">
        <v>0.2487278967766974</v>
      </c>
      <c r="AP282">
        <v>1.243639483883487</v>
      </c>
      <c r="AQ282">
        <v>0.21898941685735462</v>
      </c>
      <c r="AR282">
        <v>1.094947084286773</v>
      </c>
    </row>
    <row r="283" spans="1:44" x14ac:dyDescent="0.3">
      <c r="B283">
        <v>19.100000000000001</v>
      </c>
      <c r="C283">
        <v>2</v>
      </c>
      <c r="D283">
        <v>40</v>
      </c>
      <c r="E283">
        <v>3.3538794827423906</v>
      </c>
      <c r="F283">
        <v>30</v>
      </c>
      <c r="G283">
        <v>39.5</v>
      </c>
      <c r="H283">
        <v>6.6596536025101183E-2</v>
      </c>
      <c r="I283">
        <v>333.85673729029395</v>
      </c>
      <c r="J283">
        <v>0.29723156800393113</v>
      </c>
      <c r="K283">
        <v>70.464093789656062</v>
      </c>
      <c r="L283">
        <v>312.91258420521842</v>
      </c>
      <c r="M283">
        <v>0.2</v>
      </c>
      <c r="N283">
        <v>0.20361952290246452</v>
      </c>
      <c r="O283">
        <v>1.0180976145123226</v>
      </c>
      <c r="P283">
        <v>0.22536910786024728</v>
      </c>
      <c r="Q283">
        <v>1.1268455393012362</v>
      </c>
      <c r="R283">
        <v>0.21978629894009402</v>
      </c>
      <c r="S283">
        <v>1.09893149470047</v>
      </c>
      <c r="T283">
        <v>0.26546527159050493</v>
      </c>
      <c r="U283">
        <v>0.37892021871660619</v>
      </c>
      <c r="V283">
        <v>1.3273263579525245</v>
      </c>
      <c r="W283">
        <v>0.19910797245357037</v>
      </c>
      <c r="X283">
        <v>0.99553986226785185</v>
      </c>
      <c r="Y283">
        <v>0.36831035592009659</v>
      </c>
      <c r="Z283">
        <v>1.8415517796004828</v>
      </c>
      <c r="AA283">
        <v>0.27587174803396586</v>
      </c>
      <c r="AB283">
        <v>1.3793587401698293</v>
      </c>
      <c r="AC283">
        <v>0.2402463947721066</v>
      </c>
      <c r="AD283">
        <v>1.201231973860533</v>
      </c>
      <c r="AE283">
        <v>0.18441001403665175</v>
      </c>
      <c r="AF283">
        <v>0.92205007018325869</v>
      </c>
      <c r="AG283">
        <v>0.29374214421896161</v>
      </c>
      <c r="AH283">
        <v>1.468710721094808</v>
      </c>
      <c r="AI283">
        <v>0.26310416639198281</v>
      </c>
      <c r="AJ283">
        <v>1.3155208319599139</v>
      </c>
      <c r="AK283">
        <v>0.26000085946390256</v>
      </c>
      <c r="AL283">
        <v>1.3000042973195127</v>
      </c>
      <c r="AM283">
        <v>0.26461971704774317</v>
      </c>
      <c r="AN283">
        <v>1.3230985852387158</v>
      </c>
      <c r="AO283">
        <v>0.29734765962240595</v>
      </c>
      <c r="AP283">
        <v>1.4867382981120296</v>
      </c>
      <c r="AQ283">
        <v>0.26562347309514056</v>
      </c>
      <c r="AR283">
        <v>1.3281173654757028</v>
      </c>
    </row>
    <row r="284" spans="1:44" x14ac:dyDescent="0.3">
      <c r="B284">
        <v>19.100000000000001</v>
      </c>
      <c r="C284">
        <v>2</v>
      </c>
      <c r="D284">
        <v>40</v>
      </c>
      <c r="E284">
        <v>3.3538794827423906</v>
      </c>
      <c r="F284">
        <v>30</v>
      </c>
      <c r="G284">
        <v>39.5</v>
      </c>
      <c r="H284">
        <v>6.6596536025101183E-2</v>
      </c>
      <c r="I284">
        <v>369.79598946318686</v>
      </c>
      <c r="J284">
        <v>0.22157944217999159</v>
      </c>
      <c r="K284">
        <v>70.464093789656062</v>
      </c>
      <c r="L284">
        <v>354.18259486755625</v>
      </c>
      <c r="M284">
        <v>0.25</v>
      </c>
      <c r="N284">
        <v>0.22871718571673189</v>
      </c>
      <c r="O284">
        <v>0.91486874286692754</v>
      </c>
      <c r="P284">
        <v>0.25767978088141763</v>
      </c>
      <c r="Q284">
        <v>1.0307191235256705</v>
      </c>
      <c r="R284">
        <v>0.24687664049165789</v>
      </c>
      <c r="S284">
        <v>0.98750656196663156</v>
      </c>
      <c r="T284">
        <v>0.29404226966540348</v>
      </c>
      <c r="U284">
        <v>0.46489179720255736</v>
      </c>
      <c r="V284">
        <v>1.1761690786616139</v>
      </c>
      <c r="W284">
        <v>0.22224745996508746</v>
      </c>
      <c r="X284">
        <v>0.88898983986034985</v>
      </c>
      <c r="Y284">
        <v>0.41250311294003189</v>
      </c>
      <c r="Z284">
        <v>1.6500124517601276</v>
      </c>
      <c r="AA284">
        <v>0.30556899003195659</v>
      </c>
      <c r="AB284">
        <v>1.2222759601278264</v>
      </c>
      <c r="AC284">
        <v>0.26962899748171715</v>
      </c>
      <c r="AD284">
        <v>1.0785159899268686</v>
      </c>
      <c r="AE284">
        <v>0.20556956296789858</v>
      </c>
      <c r="AF284">
        <v>0.82227825187159431</v>
      </c>
      <c r="AG284">
        <v>0.32536311158530884</v>
      </c>
      <c r="AH284">
        <v>1.3014524463412354</v>
      </c>
      <c r="AI284">
        <v>0.30484362093174178</v>
      </c>
      <c r="AJ284">
        <v>1.2193744837269671</v>
      </c>
      <c r="AK284">
        <v>0.27791169117888265</v>
      </c>
      <c r="AL284">
        <v>1.1116467647155306</v>
      </c>
      <c r="AM284">
        <v>0.30168784548245386</v>
      </c>
      <c r="AN284">
        <v>1.2067513819298155</v>
      </c>
      <c r="AO284">
        <v>0.34476982726524102</v>
      </c>
      <c r="AP284">
        <v>1.3790793090609641</v>
      </c>
      <c r="AQ284">
        <v>0.3118342969543611</v>
      </c>
      <c r="AR284">
        <v>1.2473371878174444</v>
      </c>
    </row>
    <row r="285" spans="1:44" x14ac:dyDescent="0.3">
      <c r="B285">
        <v>19.100000000000001</v>
      </c>
      <c r="C285">
        <v>2</v>
      </c>
      <c r="D285">
        <v>40</v>
      </c>
      <c r="E285">
        <v>3.3538794827423906</v>
      </c>
      <c r="F285">
        <v>30</v>
      </c>
      <c r="G285">
        <v>39.5</v>
      </c>
      <c r="H285">
        <v>6.6596536025101183E-2</v>
      </c>
      <c r="I285">
        <v>392.3</v>
      </c>
      <c r="J285">
        <v>0.17420849999999988</v>
      </c>
      <c r="K285">
        <v>70.464093789656062</v>
      </c>
      <c r="L285">
        <v>380.02455591704472</v>
      </c>
      <c r="M285">
        <v>0.27</v>
      </c>
      <c r="N285">
        <v>0.24443253966189971</v>
      </c>
      <c r="O285">
        <v>0.90530570245148034</v>
      </c>
      <c r="P285">
        <v>0.27791169117888265</v>
      </c>
      <c r="Q285">
        <v>1.0293025599217875</v>
      </c>
      <c r="R285">
        <v>0.26383974614531641</v>
      </c>
      <c r="S285">
        <v>0.97718424498265333</v>
      </c>
      <c r="T285">
        <v>0.29484546616440754</v>
      </c>
      <c r="U285">
        <v>0.46743503323046587</v>
      </c>
      <c r="V285">
        <v>1.0920202450533611</v>
      </c>
      <c r="W285">
        <v>0.23673666714921462</v>
      </c>
      <c r="X285">
        <v>0.87680247092301711</v>
      </c>
      <c r="Y285">
        <v>0.43997406077432616</v>
      </c>
      <c r="Z285">
        <v>1.6295335584234301</v>
      </c>
      <c r="AA285">
        <v>0.32416445338834615</v>
      </c>
      <c r="AB285">
        <v>1.2006090866235042</v>
      </c>
      <c r="AC285">
        <v>0.28802744377645673</v>
      </c>
      <c r="AD285">
        <v>1.0667683102831731</v>
      </c>
      <c r="AE285">
        <v>0.21881899592249263</v>
      </c>
      <c r="AF285">
        <v>0.81044072563886149</v>
      </c>
      <c r="AG285">
        <v>0.34516315025537397</v>
      </c>
      <c r="AH285">
        <v>1.2783820379828665</v>
      </c>
      <c r="AI285">
        <v>0.33097953272659097</v>
      </c>
      <c r="AJ285">
        <v>1.225850121209596</v>
      </c>
      <c r="AK285">
        <v>0.27791169117888265</v>
      </c>
      <c r="AL285">
        <v>1.0293025599217875</v>
      </c>
      <c r="AM285">
        <v>0.32456871429093115</v>
      </c>
      <c r="AN285">
        <v>1.2021063492256709</v>
      </c>
      <c r="AO285">
        <v>0.3750759248214901</v>
      </c>
      <c r="AP285">
        <v>1.3891700919314447</v>
      </c>
      <c r="AQ285">
        <v>0.34171677725868166</v>
      </c>
      <c r="AR285">
        <v>1.2656176935506727</v>
      </c>
    </row>
    <row r="286" spans="1:44" x14ac:dyDescent="0.3">
      <c r="A286" t="s">
        <v>69</v>
      </c>
      <c r="B286">
        <v>19.100000000000001</v>
      </c>
      <c r="C286">
        <v>2</v>
      </c>
      <c r="D286">
        <v>40</v>
      </c>
      <c r="E286">
        <v>3.3538794827423906</v>
      </c>
      <c r="F286">
        <v>30</v>
      </c>
      <c r="G286">
        <v>39.5</v>
      </c>
      <c r="H286">
        <v>6.6596536025101183E-2</v>
      </c>
      <c r="I286">
        <v>296.0259455293542</v>
      </c>
      <c r="J286">
        <v>0.3768653846607094</v>
      </c>
      <c r="K286">
        <v>70.464093789656062</v>
      </c>
      <c r="L286">
        <v>269.47046771854718</v>
      </c>
      <c r="M286">
        <v>0.18</v>
      </c>
      <c r="N286">
        <v>0.17720093046639374</v>
      </c>
      <c r="O286">
        <v>0.98444961370218742</v>
      </c>
      <c r="P286">
        <v>0.19135787310112068</v>
      </c>
      <c r="Q286">
        <v>1.0630992950062261</v>
      </c>
      <c r="R286">
        <v>0.19127014993844793</v>
      </c>
      <c r="S286">
        <v>1.0626119441024886</v>
      </c>
      <c r="T286">
        <v>0.23538422098534853</v>
      </c>
      <c r="U286">
        <v>0.2979113459497082</v>
      </c>
      <c r="V286">
        <v>1.3076901165852697</v>
      </c>
      <c r="W286">
        <v>0.17475061717828932</v>
      </c>
      <c r="X286">
        <v>0.97083676210160741</v>
      </c>
      <c r="Y286">
        <v>0.32122604310317937</v>
      </c>
      <c r="Z286">
        <v>1.7845891283509965</v>
      </c>
      <c r="AA286">
        <v>0.24461149329923895</v>
      </c>
      <c r="AB286">
        <v>1.3589527405513275</v>
      </c>
      <c r="AC286">
        <v>0.20931733928830606</v>
      </c>
      <c r="AD286">
        <v>1.1628741071572559</v>
      </c>
      <c r="AE286">
        <v>0.16213680463533942</v>
      </c>
      <c r="AF286">
        <v>0.90076002575188563</v>
      </c>
      <c r="AG286">
        <v>0.2604569154122805</v>
      </c>
      <c r="AH286">
        <v>1.4469828634015585</v>
      </c>
      <c r="AI286">
        <v>0.21916789845539458</v>
      </c>
      <c r="AJ286">
        <v>1.2175994358633033</v>
      </c>
      <c r="AK286">
        <v>0.22769634035772729</v>
      </c>
      <c r="AL286">
        <v>1.2649796686540404</v>
      </c>
      <c r="AM286">
        <v>0.2248039483670439</v>
      </c>
      <c r="AN286">
        <v>1.2489108242613551</v>
      </c>
      <c r="AO286">
        <v>0.2487278967766974</v>
      </c>
      <c r="AP286">
        <v>1.3818216487594301</v>
      </c>
      <c r="AQ286">
        <v>0.21898941685735462</v>
      </c>
      <c r="AR286">
        <v>1.2166078714297479</v>
      </c>
    </row>
    <row r="287" spans="1:44" x14ac:dyDescent="0.3">
      <c r="B287">
        <v>19.100000000000001</v>
      </c>
      <c r="C287">
        <v>2</v>
      </c>
      <c r="D287">
        <v>40</v>
      </c>
      <c r="E287">
        <v>3.3538794827423906</v>
      </c>
      <c r="F287">
        <v>30</v>
      </c>
      <c r="G287">
        <v>39.5</v>
      </c>
      <c r="H287">
        <v>6.6596536025101183E-2</v>
      </c>
      <c r="I287">
        <v>331.965197702247</v>
      </c>
      <c r="J287">
        <v>0.30121325883677008</v>
      </c>
      <c r="K287">
        <v>70.464093789656062</v>
      </c>
      <c r="L287">
        <v>310.74047838088489</v>
      </c>
      <c r="M287">
        <v>0.19</v>
      </c>
      <c r="N287">
        <v>0.20229859328066102</v>
      </c>
      <c r="O287">
        <v>1.0647294383192685</v>
      </c>
      <c r="P287">
        <v>0.22366854612229098</v>
      </c>
      <c r="Q287">
        <v>1.1772028743278473</v>
      </c>
      <c r="R287">
        <v>0.21836049149001174</v>
      </c>
      <c r="S287">
        <v>1.1492657446842722</v>
      </c>
      <c r="T287">
        <v>0.26396121906024711</v>
      </c>
      <c r="U287">
        <v>0.37463866868448187</v>
      </c>
      <c r="V287">
        <v>1.3892695740013006</v>
      </c>
      <c r="W287">
        <v>0.19789010468980636</v>
      </c>
      <c r="X287">
        <v>1.0415268667884545</v>
      </c>
      <c r="Y287">
        <v>0.36597148836903443</v>
      </c>
      <c r="Z287">
        <v>1.926165728258076</v>
      </c>
      <c r="AA287">
        <v>0.27430873529722954</v>
      </c>
      <c r="AB287">
        <v>1.4437301857748923</v>
      </c>
      <c r="AC287">
        <v>0.23869994199791661</v>
      </c>
      <c r="AD287">
        <v>1.2563154841995612</v>
      </c>
      <c r="AE287">
        <v>0.18329635356658616</v>
      </c>
      <c r="AF287">
        <v>0.96471765035045343</v>
      </c>
      <c r="AG287">
        <v>0.29207788277862762</v>
      </c>
      <c r="AH287">
        <v>1.5372520146243558</v>
      </c>
      <c r="AI287">
        <v>0.26090735299515344</v>
      </c>
      <c r="AJ287">
        <v>1.3731965947113338</v>
      </c>
      <c r="AK287">
        <v>0.25837909597385145</v>
      </c>
      <c r="AL287">
        <v>1.3598899788097445</v>
      </c>
      <c r="AM287">
        <v>0.26264931447655632</v>
      </c>
      <c r="AN287">
        <v>1.382364813034507</v>
      </c>
      <c r="AO287">
        <v>0.29488504602013565</v>
      </c>
      <c r="AP287">
        <v>1.552026558000714</v>
      </c>
      <c r="AQ287">
        <v>0.26324283514393532</v>
      </c>
      <c r="AR287">
        <v>1.3854886060207121</v>
      </c>
    </row>
    <row r="288" spans="1:44" x14ac:dyDescent="0.3">
      <c r="B288">
        <v>19.100000000000001</v>
      </c>
      <c r="C288">
        <v>2</v>
      </c>
      <c r="D288">
        <v>40</v>
      </c>
      <c r="E288">
        <v>3.3538794827423906</v>
      </c>
      <c r="F288">
        <v>30</v>
      </c>
      <c r="G288">
        <v>39.5</v>
      </c>
      <c r="H288">
        <v>6.6596536025101183E-2</v>
      </c>
      <c r="I288">
        <v>369.79598946318686</v>
      </c>
      <c r="J288">
        <v>0.22157944217999159</v>
      </c>
      <c r="K288">
        <v>70.464093789656062</v>
      </c>
      <c r="L288">
        <v>354.18259486755625</v>
      </c>
      <c r="M288">
        <v>0.21</v>
      </c>
      <c r="N288">
        <v>0.22871718571673189</v>
      </c>
      <c r="O288">
        <v>1.0891294557939615</v>
      </c>
      <c r="P288">
        <v>0.25767978088141763</v>
      </c>
      <c r="Q288">
        <v>1.2270465756257982</v>
      </c>
      <c r="R288">
        <v>0.24687664049165789</v>
      </c>
      <c r="S288">
        <v>1.1756030499602756</v>
      </c>
      <c r="T288">
        <v>0.29404226966540348</v>
      </c>
      <c r="U288">
        <v>0.46489179720255736</v>
      </c>
      <c r="V288">
        <v>1.400201284120969</v>
      </c>
      <c r="W288">
        <v>0.22224745996508746</v>
      </c>
      <c r="X288">
        <v>1.0583212379289879</v>
      </c>
      <c r="Y288">
        <v>0.41250311294003189</v>
      </c>
      <c r="Z288">
        <v>1.9643005378096758</v>
      </c>
      <c r="AA288">
        <v>0.30556899003195659</v>
      </c>
      <c r="AB288">
        <v>1.4550904287236028</v>
      </c>
      <c r="AC288">
        <v>0.26962899748171715</v>
      </c>
      <c r="AD288">
        <v>1.283947607055796</v>
      </c>
      <c r="AE288">
        <v>0.20556956296789858</v>
      </c>
      <c r="AF288">
        <v>0.97890268079951703</v>
      </c>
      <c r="AG288">
        <v>0.32536311158530884</v>
      </c>
      <c r="AH288">
        <v>1.5493481504062325</v>
      </c>
      <c r="AI288">
        <v>0.30484362093174178</v>
      </c>
      <c r="AJ288">
        <v>1.4516362901511515</v>
      </c>
      <c r="AK288">
        <v>0.27791169117888265</v>
      </c>
      <c r="AL288">
        <v>1.323389005613727</v>
      </c>
      <c r="AM288">
        <v>0.30168784548245386</v>
      </c>
      <c r="AN288">
        <v>1.4366087880116851</v>
      </c>
      <c r="AO288">
        <v>0.34476982726524102</v>
      </c>
      <c r="AP288">
        <v>1.6417610822154336</v>
      </c>
      <c r="AQ288">
        <v>0.3118342969543611</v>
      </c>
      <c r="AR288">
        <v>1.4849252235921957</v>
      </c>
    </row>
    <row r="289" spans="1:44" x14ac:dyDescent="0.3">
      <c r="B289">
        <v>19.100000000000001</v>
      </c>
      <c r="C289">
        <v>2</v>
      </c>
      <c r="D289">
        <v>40</v>
      </c>
      <c r="E289">
        <v>3.3538794827423906</v>
      </c>
      <c r="F289">
        <v>30</v>
      </c>
      <c r="G289">
        <v>39.5</v>
      </c>
      <c r="H289">
        <v>6.6596536025101183E-2</v>
      </c>
      <c r="I289">
        <v>392.3</v>
      </c>
      <c r="J289">
        <v>0.17420849999999988</v>
      </c>
      <c r="K289">
        <v>70.464093789656062</v>
      </c>
      <c r="L289">
        <v>380.02455591704472</v>
      </c>
      <c r="M289">
        <v>0.26</v>
      </c>
      <c r="N289">
        <v>0.24443253966189971</v>
      </c>
      <c r="O289">
        <v>0.94012515254576812</v>
      </c>
      <c r="P289">
        <v>0.27791169117888265</v>
      </c>
      <c r="Q289">
        <v>1.0688911199187794</v>
      </c>
      <c r="R289">
        <v>0.26383974614531641</v>
      </c>
      <c r="S289">
        <v>1.0147682544050631</v>
      </c>
      <c r="T289">
        <v>0.29484546616440754</v>
      </c>
      <c r="U289">
        <v>0.46743503323046587</v>
      </c>
      <c r="V289">
        <v>1.1340210237092598</v>
      </c>
      <c r="W289">
        <v>0.23673666714921462</v>
      </c>
      <c r="X289">
        <v>0.91052564288159465</v>
      </c>
      <c r="Y289">
        <v>0.43997406077432616</v>
      </c>
      <c r="Z289">
        <v>1.6922079260551006</v>
      </c>
      <c r="AA289">
        <v>0.32416445338834615</v>
      </c>
      <c r="AB289">
        <v>1.2467863591859467</v>
      </c>
      <c r="AC289">
        <v>0.28802744377645673</v>
      </c>
      <c r="AD289">
        <v>1.1077978606786796</v>
      </c>
      <c r="AE289">
        <v>0.21881899592249263</v>
      </c>
      <c r="AF289">
        <v>0.84161152277881779</v>
      </c>
      <c r="AG289">
        <v>0.34516315025537397</v>
      </c>
      <c r="AH289">
        <v>1.3275505779052845</v>
      </c>
      <c r="AI289">
        <v>0.33097953272659097</v>
      </c>
      <c r="AJ289">
        <v>1.2729982027945805</v>
      </c>
      <c r="AK289">
        <v>0.27791169117888265</v>
      </c>
      <c r="AL289">
        <v>1.0688911199187794</v>
      </c>
      <c r="AM289">
        <v>0.32456871429093115</v>
      </c>
      <c r="AN289">
        <v>1.2483412088112735</v>
      </c>
      <c r="AO289">
        <v>0.3750759248214901</v>
      </c>
      <c r="AP289">
        <v>1.4425997108518849</v>
      </c>
      <c r="AQ289">
        <v>0.34171677725868166</v>
      </c>
      <c r="AR289">
        <v>1.3142952971487756</v>
      </c>
    </row>
    <row r="290" spans="1:44" x14ac:dyDescent="0.3">
      <c r="A290" t="s">
        <v>70</v>
      </c>
      <c r="B290">
        <v>19.100000000000001</v>
      </c>
      <c r="C290">
        <v>2</v>
      </c>
      <c r="D290">
        <v>69.8</v>
      </c>
      <c r="E290">
        <v>2.900328825179082</v>
      </c>
      <c r="F290">
        <v>31.8</v>
      </c>
      <c r="G290">
        <v>41.4</v>
      </c>
      <c r="H290">
        <v>4.0651443689720533E-2</v>
      </c>
      <c r="I290">
        <v>203.02249313738358</v>
      </c>
      <c r="J290">
        <v>0.57263765194580762</v>
      </c>
      <c r="K290">
        <v>90.040564758390971</v>
      </c>
      <c r="L290">
        <v>151.46187555426414</v>
      </c>
      <c r="M290">
        <v>0.17</v>
      </c>
      <c r="N290">
        <v>0.14461264441165139</v>
      </c>
      <c r="O290">
        <v>0.85066261418618461</v>
      </c>
      <c r="P290">
        <v>0.13127422971881045</v>
      </c>
      <c r="Q290">
        <v>0.7722013512871202</v>
      </c>
      <c r="R290">
        <v>0.14005391579115489</v>
      </c>
      <c r="S290">
        <v>0.82384656347738161</v>
      </c>
      <c r="T290">
        <v>0.17419711219545997</v>
      </c>
      <c r="U290">
        <v>0.15865517662423131</v>
      </c>
      <c r="V290">
        <v>0.9332657448484194</v>
      </c>
      <c r="W290">
        <v>0.11368447149999192</v>
      </c>
      <c r="X290">
        <v>0.66873218529407008</v>
      </c>
      <c r="Y290">
        <v>0.2070565133282023</v>
      </c>
      <c r="Z290">
        <v>1.2179794901658958</v>
      </c>
      <c r="AA290">
        <v>0.12539511424298216</v>
      </c>
      <c r="AB290">
        <v>0.73761831907636566</v>
      </c>
      <c r="AC290">
        <v>0.13348471985441585</v>
      </c>
      <c r="AD290">
        <v>0.78520423443774023</v>
      </c>
      <c r="AE290">
        <v>0.12747372435868692</v>
      </c>
      <c r="AF290">
        <v>0.74984543740404064</v>
      </c>
      <c r="AG290">
        <v>0.1680525552391226</v>
      </c>
      <c r="AH290">
        <v>0.98854444258307406</v>
      </c>
      <c r="AI290">
        <v>0.13479155649448879</v>
      </c>
      <c r="AJ290">
        <v>0.79289150879111048</v>
      </c>
      <c r="AK290">
        <v>0.17339642184292861</v>
      </c>
      <c r="AL290">
        <v>1.0199789520172271</v>
      </c>
      <c r="AM290">
        <v>0.14690574145696028</v>
      </c>
      <c r="AN290">
        <v>0.86415142033506043</v>
      </c>
      <c r="AO290">
        <v>0.16205443853293486</v>
      </c>
      <c r="AP290">
        <v>0.95326140313491081</v>
      </c>
      <c r="AQ290">
        <v>0.13969251512306144</v>
      </c>
      <c r="AR290">
        <v>0.82172067719447894</v>
      </c>
    </row>
    <row r="291" spans="1:44" x14ac:dyDescent="0.3">
      <c r="B291">
        <v>19.100000000000001</v>
      </c>
      <c r="C291">
        <v>2</v>
      </c>
      <c r="D291">
        <v>69.8</v>
      </c>
      <c r="E291">
        <v>2.900328825179082</v>
      </c>
      <c r="F291">
        <v>31.8</v>
      </c>
      <c r="G291">
        <v>41.4</v>
      </c>
      <c r="H291">
        <v>4.0651443689720533E-2</v>
      </c>
      <c r="I291">
        <v>244.50020678910712</v>
      </c>
      <c r="J291">
        <v>0.4853270647089295</v>
      </c>
      <c r="K291">
        <v>90.040564758390971</v>
      </c>
      <c r="L291">
        <v>200.80108379018296</v>
      </c>
      <c r="M291">
        <v>0.23</v>
      </c>
      <c r="N291">
        <v>0.18486953137924766</v>
      </c>
      <c r="O291">
        <v>0.80378057121412028</v>
      </c>
      <c r="P291">
        <v>0.1738509762122431</v>
      </c>
      <c r="Q291">
        <v>0.75587380961844819</v>
      </c>
      <c r="R291">
        <v>0.17904175589540172</v>
      </c>
      <c r="S291">
        <v>0.77844241693652916</v>
      </c>
      <c r="T291">
        <v>0.2097857695257152</v>
      </c>
      <c r="U291">
        <v>0.2301041201959021</v>
      </c>
      <c r="V291">
        <v>0.91211204141615299</v>
      </c>
      <c r="W291">
        <v>0.14237263509372342</v>
      </c>
      <c r="X291">
        <v>0.61901145692923221</v>
      </c>
      <c r="Y291">
        <v>0.26126293250154731</v>
      </c>
      <c r="Z291">
        <v>1.1359257934849882</v>
      </c>
      <c r="AA291">
        <v>0.15101347091627962</v>
      </c>
      <c r="AB291">
        <v>0.65658030833165049</v>
      </c>
      <c r="AC291">
        <v>0.16744715583762773</v>
      </c>
      <c r="AD291">
        <v>0.72803111233751183</v>
      </c>
      <c r="AE291">
        <v>0.1566136636724326</v>
      </c>
      <c r="AF291">
        <v>0.68092897248883733</v>
      </c>
      <c r="AG291">
        <v>0.20238587297614768</v>
      </c>
      <c r="AH291">
        <v>0.87993857815716381</v>
      </c>
      <c r="AI291">
        <v>0.18859175010146031</v>
      </c>
      <c r="AJ291">
        <v>0.81996413087591435</v>
      </c>
      <c r="AK291">
        <v>0.20598011843128813</v>
      </c>
      <c r="AL291">
        <v>0.8955657323099484</v>
      </c>
      <c r="AM291">
        <v>0.19888392383625575</v>
      </c>
      <c r="AN291">
        <v>0.86471271233154667</v>
      </c>
      <c r="AO291">
        <v>0.21829563809169675</v>
      </c>
      <c r="AP291">
        <v>0.94911146996389884</v>
      </c>
      <c r="AQ291">
        <v>0.19196100878984679</v>
      </c>
      <c r="AR291">
        <v>0.83461308169498605</v>
      </c>
    </row>
    <row r="292" spans="1:44" x14ac:dyDescent="0.3">
      <c r="B292">
        <v>19.100000000000001</v>
      </c>
      <c r="C292">
        <v>2</v>
      </c>
      <c r="D292">
        <v>69.8</v>
      </c>
      <c r="E292">
        <v>2.900328825179082</v>
      </c>
      <c r="F292">
        <v>31.8</v>
      </c>
      <c r="G292">
        <v>41.4</v>
      </c>
      <c r="H292">
        <v>4.0651443689720533E-2</v>
      </c>
      <c r="I292">
        <v>275.8</v>
      </c>
      <c r="J292">
        <v>0.41944099999999995</v>
      </c>
      <c r="K292">
        <v>90.040564758390971</v>
      </c>
      <c r="L292">
        <v>238.03329547717576</v>
      </c>
      <c r="M292">
        <v>0.27</v>
      </c>
      <c r="N292">
        <v>0.21524806786224143</v>
      </c>
      <c r="O292">
        <v>0.79721506615644966</v>
      </c>
      <c r="P292">
        <v>0.20598011843128813</v>
      </c>
      <c r="Q292">
        <v>0.76288932752328931</v>
      </c>
      <c r="R292">
        <v>0.20846264787727148</v>
      </c>
      <c r="S292">
        <v>0.77208388102693137</v>
      </c>
      <c r="T292">
        <v>0.22604792126916062</v>
      </c>
      <c r="U292">
        <v>0.26716119659943144</v>
      </c>
      <c r="V292">
        <v>0.83721452321911338</v>
      </c>
      <c r="W292">
        <v>0.16402121475324255</v>
      </c>
      <c r="X292">
        <v>0.60748598056756498</v>
      </c>
      <c r="Y292">
        <v>0.30109262086996946</v>
      </c>
      <c r="Z292">
        <v>1.1151578550739609</v>
      </c>
      <c r="AA292">
        <v>0.17034552168961795</v>
      </c>
      <c r="AB292">
        <v>0.63090933959117756</v>
      </c>
      <c r="AC292">
        <v>0.19307579178749157</v>
      </c>
      <c r="AD292">
        <v>0.71509552513885766</v>
      </c>
      <c r="AE292">
        <v>0.17860316102893181</v>
      </c>
      <c r="AF292">
        <v>0.6614931889960437</v>
      </c>
      <c r="AG292">
        <v>0.22829438265042937</v>
      </c>
      <c r="AH292">
        <v>0.84553475055714578</v>
      </c>
      <c r="AI292">
        <v>0.22919029776355496</v>
      </c>
      <c r="AJ292">
        <v>0.84885295467983313</v>
      </c>
      <c r="AK292">
        <v>0.20598011843128813</v>
      </c>
      <c r="AL292">
        <v>0.76288932752328931</v>
      </c>
      <c r="AM292">
        <v>0.23714352127342675</v>
      </c>
      <c r="AN292">
        <v>0.87830933804972866</v>
      </c>
      <c r="AO292">
        <v>0.26192996285311776</v>
      </c>
      <c r="AP292">
        <v>0.9701109735300657</v>
      </c>
      <c r="AQ292">
        <v>0.2331943379151431</v>
      </c>
      <c r="AR292">
        <v>0.86368273301904852</v>
      </c>
    </row>
    <row r="293" spans="1:44" x14ac:dyDescent="0.3">
      <c r="A293" t="s">
        <v>71</v>
      </c>
      <c r="B293">
        <v>19.100000000000001</v>
      </c>
      <c r="C293">
        <v>2</v>
      </c>
      <c r="D293">
        <v>69.8</v>
      </c>
      <c r="E293">
        <v>2.8466918957142089</v>
      </c>
      <c r="F293">
        <v>31.8</v>
      </c>
      <c r="G293">
        <v>41.4</v>
      </c>
      <c r="H293">
        <v>4.0711184462321949E-2</v>
      </c>
      <c r="I293">
        <v>275.8</v>
      </c>
      <c r="J293">
        <v>0.41944099999999995</v>
      </c>
      <c r="K293">
        <v>88.444703371293997</v>
      </c>
      <c r="L293">
        <v>238.70266517324109</v>
      </c>
      <c r="M293">
        <v>0.16</v>
      </c>
      <c r="N293">
        <v>0.21596411355973397</v>
      </c>
      <c r="O293">
        <v>1.3497757097483372</v>
      </c>
      <c r="P293">
        <v>0.2073256998865792</v>
      </c>
      <c r="Q293">
        <v>1.2957856242911199</v>
      </c>
      <c r="R293">
        <v>0.20923215334782894</v>
      </c>
      <c r="S293">
        <v>1.3077009584239307</v>
      </c>
      <c r="T293">
        <v>0.22604792126916062</v>
      </c>
      <c r="U293">
        <v>0.27219500664375995</v>
      </c>
      <c r="V293">
        <v>1.412799507932254</v>
      </c>
      <c r="W293">
        <v>0.16402121475324255</v>
      </c>
      <c r="X293">
        <v>1.0251325922077659</v>
      </c>
      <c r="Y293">
        <v>0.30000580173021291</v>
      </c>
      <c r="Z293">
        <v>1.8750362608138307</v>
      </c>
      <c r="AA293">
        <v>0.16829116528398394</v>
      </c>
      <c r="AB293">
        <v>1.0518197830248996</v>
      </c>
      <c r="AC293">
        <v>0.19306514362469213</v>
      </c>
      <c r="AD293">
        <v>1.2066571476543257</v>
      </c>
      <c r="AE293">
        <v>0.17860316102893181</v>
      </c>
      <c r="AF293">
        <v>1.1162697564308237</v>
      </c>
      <c r="AG293">
        <v>0.22835384489192009</v>
      </c>
      <c r="AH293">
        <v>1.4272115305745006</v>
      </c>
      <c r="AI293">
        <v>0.23014130586856774</v>
      </c>
      <c r="AJ293">
        <v>1.4383831616785483</v>
      </c>
      <c r="AK293">
        <v>0.2073256998865792</v>
      </c>
      <c r="AL293">
        <v>1.2957856242911199</v>
      </c>
      <c r="AM293">
        <v>0.23799070075324311</v>
      </c>
      <c r="AN293">
        <v>1.4874418797077693</v>
      </c>
      <c r="AO293">
        <v>0.26443809794901818</v>
      </c>
      <c r="AP293">
        <v>1.6527381121813636</v>
      </c>
      <c r="AQ293">
        <v>0.23546774273535553</v>
      </c>
      <c r="AR293">
        <v>1.4716733920959721</v>
      </c>
    </row>
    <row r="294" spans="1:44" x14ac:dyDescent="0.3">
      <c r="A294" t="s">
        <v>72</v>
      </c>
      <c r="B294">
        <v>19.100000000000001</v>
      </c>
      <c r="C294">
        <v>2</v>
      </c>
      <c r="D294">
        <v>69.8</v>
      </c>
      <c r="E294">
        <v>2.711321473488328</v>
      </c>
      <c r="F294">
        <v>38.200000000000003</v>
      </c>
      <c r="G294">
        <v>47.7</v>
      </c>
      <c r="H294">
        <v>4.0691908981937738E-2</v>
      </c>
      <c r="I294">
        <v>249.74588434606099</v>
      </c>
      <c r="J294">
        <v>0.47428491345154167</v>
      </c>
      <c r="K294">
        <v>84.705385292096409</v>
      </c>
      <c r="L294">
        <v>209.57139801391955</v>
      </c>
      <c r="M294">
        <v>0.16</v>
      </c>
      <c r="N294">
        <v>0.20566966214226395</v>
      </c>
      <c r="O294">
        <v>1.2854353883891496</v>
      </c>
      <c r="P294">
        <v>0.20527623907736606</v>
      </c>
      <c r="Q294">
        <v>1.2829764942335378</v>
      </c>
      <c r="R294">
        <v>0.20854527065130204</v>
      </c>
      <c r="S294">
        <v>1.3034079415706377</v>
      </c>
      <c r="T294">
        <v>0.22003184339839554</v>
      </c>
      <c r="U294">
        <v>0.25612342439380853</v>
      </c>
      <c r="V294">
        <v>1.3751990212399721</v>
      </c>
      <c r="W294">
        <v>0.16874368605928727</v>
      </c>
      <c r="X294">
        <v>1.0546480378705454</v>
      </c>
      <c r="Y294">
        <v>0.28213169484278583</v>
      </c>
      <c r="Z294">
        <v>1.7633230927674115</v>
      </c>
      <c r="AA294">
        <v>0.1689987380340606</v>
      </c>
      <c r="AB294">
        <v>1.0562421127128787</v>
      </c>
      <c r="AC294">
        <v>0.1797570179319303</v>
      </c>
      <c r="AD294">
        <v>1.1234813620745643</v>
      </c>
      <c r="AE294">
        <v>0.16916012694496693</v>
      </c>
      <c r="AF294">
        <v>1.0572507934060433</v>
      </c>
      <c r="AG294">
        <v>0.23354628606694308</v>
      </c>
      <c r="AH294">
        <v>1.4596642879183943</v>
      </c>
      <c r="AI294">
        <v>0.22316097717788064</v>
      </c>
      <c r="AJ294">
        <v>1.394756107361754</v>
      </c>
      <c r="AK294">
        <v>0.23559597544973324</v>
      </c>
      <c r="AL294">
        <v>1.4724748465608326</v>
      </c>
      <c r="AM294">
        <v>0.23431741833146844</v>
      </c>
      <c r="AN294">
        <v>1.4644838645716778</v>
      </c>
      <c r="AO294">
        <v>0.24891747608116424</v>
      </c>
      <c r="AP294">
        <v>1.5557342255072766</v>
      </c>
      <c r="AQ294">
        <v>0.2265746091106309</v>
      </c>
      <c r="AR294">
        <v>1.4160913069414431</v>
      </c>
    </row>
    <row r="295" spans="1:44" x14ac:dyDescent="0.3">
      <c r="B295">
        <v>19.100000000000001</v>
      </c>
      <c r="C295">
        <v>2</v>
      </c>
      <c r="D295">
        <v>69.8</v>
      </c>
      <c r="E295">
        <v>2.711321473488328</v>
      </c>
      <c r="F295">
        <v>38.200000000000003</v>
      </c>
      <c r="G295">
        <v>47.7</v>
      </c>
      <c r="H295">
        <v>4.0691908981937738E-2</v>
      </c>
      <c r="I295">
        <v>275.8</v>
      </c>
      <c r="J295">
        <v>0.41944099999999995</v>
      </c>
      <c r="K295">
        <v>84.705385292096409</v>
      </c>
      <c r="L295">
        <v>240.2710884876978</v>
      </c>
      <c r="M295">
        <v>0.2</v>
      </c>
      <c r="N295">
        <v>0.23260747479731661</v>
      </c>
      <c r="O295">
        <v>1.1630373739865829</v>
      </c>
      <c r="P295">
        <v>0.23559597544973324</v>
      </c>
      <c r="Q295">
        <v>1.177979877248666</v>
      </c>
      <c r="R295">
        <v>0.23585971932782179</v>
      </c>
      <c r="S295">
        <v>1.179298596639109</v>
      </c>
      <c r="T295">
        <v>0.23242384954718137</v>
      </c>
      <c r="U295">
        <v>0.28578511513419119</v>
      </c>
      <c r="V295">
        <v>1.1621192477359068</v>
      </c>
      <c r="W295">
        <v>0.18950631364959789</v>
      </c>
      <c r="X295">
        <v>0.94753156824798934</v>
      </c>
      <c r="Y295">
        <v>0.31694137678452911</v>
      </c>
      <c r="Z295">
        <v>1.5847068839226455</v>
      </c>
      <c r="AA295">
        <v>0.18662910931180296</v>
      </c>
      <c r="AB295">
        <v>0.93314554655901472</v>
      </c>
      <c r="AC295">
        <v>0.20208599067629418</v>
      </c>
      <c r="AD295">
        <v>1.0104299533814709</v>
      </c>
      <c r="AE295">
        <v>0.18847613594205373</v>
      </c>
      <c r="AF295">
        <v>0.94238067971026862</v>
      </c>
      <c r="AG295">
        <v>0.25791041908826884</v>
      </c>
      <c r="AH295">
        <v>1.2895520954413442</v>
      </c>
      <c r="AI295">
        <v>0.26128303111942858</v>
      </c>
      <c r="AJ295">
        <v>1.3064151555971428</v>
      </c>
      <c r="AK295">
        <v>0.23559597544973324</v>
      </c>
      <c r="AL295">
        <v>1.177979877248666</v>
      </c>
      <c r="AM295">
        <v>0.27021086001637751</v>
      </c>
      <c r="AN295">
        <v>1.3510543000818875</v>
      </c>
      <c r="AO295">
        <v>0.28812625013958265</v>
      </c>
      <c r="AP295">
        <v>1.4406312506979131</v>
      </c>
      <c r="AQ295">
        <v>0.2650630544054593</v>
      </c>
      <c r="AR295">
        <v>1.3253152720272965</v>
      </c>
    </row>
    <row r="296" spans="1:44" x14ac:dyDescent="0.3">
      <c r="A296" t="s">
        <v>73</v>
      </c>
      <c r="B296">
        <v>22.2</v>
      </c>
      <c r="C296">
        <v>2</v>
      </c>
      <c r="D296">
        <v>63.6</v>
      </c>
      <c r="E296">
        <v>2.6879866270061714</v>
      </c>
      <c r="F296">
        <v>12.8</v>
      </c>
      <c r="G296">
        <v>23.9</v>
      </c>
      <c r="H296">
        <v>8.499983527163707E-2</v>
      </c>
      <c r="I296">
        <v>271.28943756037444</v>
      </c>
      <c r="J296">
        <v>0.42893573393541173</v>
      </c>
      <c r="K296">
        <v>49.620389096039695</v>
      </c>
      <c r="L296">
        <v>250.00547954530396</v>
      </c>
      <c r="M296">
        <v>0.17</v>
      </c>
      <c r="N296">
        <v>0.11852355379079779</v>
      </c>
      <c r="O296">
        <v>0.69719737523998693</v>
      </c>
      <c r="P296">
        <v>0.11891617173496463</v>
      </c>
      <c r="Q296">
        <v>0.69950689255861542</v>
      </c>
      <c r="R296">
        <v>0.10617106683213375</v>
      </c>
      <c r="S296">
        <v>0.62453568724784547</v>
      </c>
      <c r="T296">
        <v>0.21217855953956466</v>
      </c>
      <c r="U296">
        <v>0.33505270024467732</v>
      </c>
      <c r="V296">
        <v>1.248109173762145</v>
      </c>
      <c r="W296">
        <v>8.1992519279429091E-2</v>
      </c>
      <c r="X296">
        <v>0.48230893693781812</v>
      </c>
      <c r="Y296">
        <v>0.24112026340040613</v>
      </c>
      <c r="Z296">
        <v>1.4183544905906242</v>
      </c>
      <c r="AA296">
        <v>8.9837857585190362E-2</v>
      </c>
      <c r="AB296">
        <v>0.52845798579523739</v>
      </c>
      <c r="AC296">
        <v>0.17385320555314387</v>
      </c>
      <c r="AD296">
        <v>1.0226659150184934</v>
      </c>
      <c r="AE296">
        <v>0.14439717961494267</v>
      </c>
      <c r="AF296">
        <v>0.849395174205545</v>
      </c>
      <c r="AG296">
        <v>0.14590550886852355</v>
      </c>
      <c r="AH296">
        <v>0.85826769922660906</v>
      </c>
      <c r="AI296">
        <v>0.12433114103377313</v>
      </c>
      <c r="AJ296">
        <v>0.73135965313984186</v>
      </c>
      <c r="AK296">
        <v>0.12120909853511061</v>
      </c>
      <c r="AL296">
        <v>0.71299469726535647</v>
      </c>
      <c r="AM296">
        <v>0.1264162122649623</v>
      </c>
      <c r="AN296">
        <v>0.74362477802918991</v>
      </c>
      <c r="AO296">
        <v>0.29737272192084951</v>
      </c>
      <c r="AP296">
        <v>1.7492513054167618</v>
      </c>
      <c r="AQ296">
        <v>0.16708557819136344</v>
      </c>
      <c r="AR296">
        <v>0.98285634230213781</v>
      </c>
    </row>
    <row r="297" spans="1:44" x14ac:dyDescent="0.3">
      <c r="A297" t="s">
        <v>74</v>
      </c>
      <c r="B297">
        <v>22.2</v>
      </c>
      <c r="C297">
        <v>2</v>
      </c>
      <c r="D297">
        <v>63.6</v>
      </c>
      <c r="E297">
        <v>2.3846015710371389</v>
      </c>
      <c r="F297">
        <v>38</v>
      </c>
      <c r="G297">
        <v>49.1</v>
      </c>
      <c r="H297">
        <v>5.9022388890402282E-2</v>
      </c>
      <c r="I297">
        <v>195.11352598003063</v>
      </c>
      <c r="J297">
        <v>0.58928602781203554</v>
      </c>
      <c r="K297">
        <v>57.352569731032418</v>
      </c>
      <c r="L297">
        <v>161.31645797841776</v>
      </c>
      <c r="M297">
        <v>0.15</v>
      </c>
      <c r="N297">
        <v>0.1450175722566254</v>
      </c>
      <c r="O297">
        <v>0.96678381504416933</v>
      </c>
      <c r="P297">
        <v>0.15491892408988267</v>
      </c>
      <c r="Q297">
        <v>1.0327928272658846</v>
      </c>
      <c r="R297">
        <v>0.15519138254447976</v>
      </c>
      <c r="S297">
        <v>1.0346092169631984</v>
      </c>
      <c r="T297">
        <v>0.17299427540945575</v>
      </c>
      <c r="U297">
        <v>0.20681414500293502</v>
      </c>
      <c r="V297">
        <v>1.1532951693963718</v>
      </c>
      <c r="W297">
        <v>0.11650049466899748</v>
      </c>
      <c r="X297">
        <v>0.77666996445998326</v>
      </c>
      <c r="Y297">
        <v>0.20799391747196849</v>
      </c>
      <c r="Z297">
        <v>1.3866261164797899</v>
      </c>
      <c r="AA297">
        <v>0.11969230481336642</v>
      </c>
      <c r="AB297">
        <v>0.79794869875577612</v>
      </c>
      <c r="AC297">
        <v>0.14120302757843847</v>
      </c>
      <c r="AD297">
        <v>0.94135351718958982</v>
      </c>
      <c r="AE297">
        <v>0.13095691387127426</v>
      </c>
      <c r="AF297">
        <v>0.87304609247516174</v>
      </c>
      <c r="AG297">
        <v>0.18982529204427961</v>
      </c>
      <c r="AH297">
        <v>1.2655019469618642</v>
      </c>
      <c r="AI297">
        <v>0.15601234248965024</v>
      </c>
      <c r="AJ297">
        <v>1.0400822832643351</v>
      </c>
      <c r="AK297">
        <v>0.18625796863820135</v>
      </c>
      <c r="AL297">
        <v>1.2417197909213424</v>
      </c>
      <c r="AM297">
        <v>0.16611002335315719</v>
      </c>
      <c r="AN297">
        <v>1.1074001556877147</v>
      </c>
      <c r="AO297">
        <v>0.1988807983479037</v>
      </c>
      <c r="AP297">
        <v>1.3258719889860247</v>
      </c>
      <c r="AQ297">
        <v>0.17229633515763182</v>
      </c>
      <c r="AR297">
        <v>1.1486422343842122</v>
      </c>
    </row>
    <row r="298" spans="1:44" x14ac:dyDescent="0.3">
      <c r="B298">
        <v>22.2</v>
      </c>
      <c r="C298">
        <v>2</v>
      </c>
      <c r="D298">
        <v>63.6</v>
      </c>
      <c r="E298">
        <v>2.3846015710371389</v>
      </c>
      <c r="F298">
        <v>38</v>
      </c>
      <c r="G298">
        <v>49.1</v>
      </c>
      <c r="H298">
        <v>5.9022388890402282E-2</v>
      </c>
      <c r="I298">
        <v>226.947036463892</v>
      </c>
      <c r="J298">
        <v>0.52227648824350736</v>
      </c>
      <c r="K298">
        <v>57.352569731032418</v>
      </c>
      <c r="L298">
        <v>196.99313775302753</v>
      </c>
      <c r="M298">
        <v>0.19</v>
      </c>
      <c r="N298">
        <v>0.1737441522764038</v>
      </c>
      <c r="O298">
        <v>0.91444290671791473</v>
      </c>
      <c r="P298">
        <v>0.19018496513522073</v>
      </c>
      <c r="Q298">
        <v>1.000973500711688</v>
      </c>
      <c r="R298">
        <v>0.18593329609103182</v>
      </c>
      <c r="S298">
        <v>0.97859629521595692</v>
      </c>
      <c r="T298">
        <v>0.20121894641693144</v>
      </c>
      <c r="U298">
        <v>0.27980438494334509</v>
      </c>
      <c r="V298">
        <v>1.0590470864049024</v>
      </c>
      <c r="W298">
        <v>0.13877359157702235</v>
      </c>
      <c r="X298">
        <v>0.73038732408959128</v>
      </c>
      <c r="Y298">
        <v>0.24771313532487582</v>
      </c>
      <c r="Z298">
        <v>1.3037533438151359</v>
      </c>
      <c r="AA298">
        <v>0.1392205575112537</v>
      </c>
      <c r="AB298">
        <v>0.73273977637501952</v>
      </c>
      <c r="AC298">
        <v>0.17018172579557445</v>
      </c>
      <c r="AD298">
        <v>0.8956932936609181</v>
      </c>
      <c r="AE298">
        <v>0.15485083784097653</v>
      </c>
      <c r="AF298">
        <v>0.81500440968935017</v>
      </c>
      <c r="AG298">
        <v>0.22079600713971637</v>
      </c>
      <c r="AH298">
        <v>1.1620842481037703</v>
      </c>
      <c r="AI298">
        <v>0.19811706691392125</v>
      </c>
      <c r="AJ298">
        <v>1.0427214048101119</v>
      </c>
      <c r="AK298">
        <v>0.21968556834700445</v>
      </c>
      <c r="AL298">
        <v>1.1562398334052866</v>
      </c>
      <c r="AM298">
        <v>0.2073591246521608</v>
      </c>
      <c r="AN298">
        <v>1.0913638139587412</v>
      </c>
      <c r="AO298">
        <v>0.24826264373491513</v>
      </c>
      <c r="AP298">
        <v>1.3066454933416587</v>
      </c>
      <c r="AQ298">
        <v>0.21800618157688767</v>
      </c>
      <c r="AR298">
        <v>1.1474009556678297</v>
      </c>
    </row>
    <row r="299" spans="1:44" x14ac:dyDescent="0.3">
      <c r="B299">
        <v>22.2</v>
      </c>
      <c r="C299">
        <v>2</v>
      </c>
      <c r="D299">
        <v>63.6</v>
      </c>
      <c r="E299">
        <v>2.3846015710371389</v>
      </c>
      <c r="F299">
        <v>38</v>
      </c>
      <c r="G299">
        <v>49.1</v>
      </c>
      <c r="H299">
        <v>5.9022388890402282E-2</v>
      </c>
      <c r="I299">
        <v>260.91293520983021</v>
      </c>
      <c r="J299">
        <v>0.45077827138330739</v>
      </c>
      <c r="K299">
        <v>57.352569731032418</v>
      </c>
      <c r="L299">
        <v>235.05964296708481</v>
      </c>
      <c r="M299">
        <v>0.22</v>
      </c>
      <c r="N299">
        <v>0.20439500081425352</v>
      </c>
      <c r="O299">
        <v>0.92906818551933412</v>
      </c>
      <c r="P299">
        <v>0.22781332471948096</v>
      </c>
      <c r="Q299">
        <v>1.0355151123612771</v>
      </c>
      <c r="R299">
        <v>0.2187344765737165</v>
      </c>
      <c r="S299">
        <v>0.99424762078962048</v>
      </c>
      <c r="T299">
        <v>0.23133426524308956</v>
      </c>
      <c r="U299">
        <v>0.36982537419117079</v>
      </c>
      <c r="V299">
        <v>1.0515193874685889</v>
      </c>
      <c r="W299">
        <v>0.16253866626835989</v>
      </c>
      <c r="X299">
        <v>0.73881211940163583</v>
      </c>
      <c r="Y299">
        <v>0.2893734511347838</v>
      </c>
      <c r="Z299">
        <v>1.3153338687944718</v>
      </c>
      <c r="AA299">
        <v>0.16005692283005207</v>
      </c>
      <c r="AB299">
        <v>0.72753146740932761</v>
      </c>
      <c r="AC299">
        <v>0.20110158083108315</v>
      </c>
      <c r="AD299">
        <v>0.91409809468674164</v>
      </c>
      <c r="AE299">
        <v>0.18034531174166366</v>
      </c>
      <c r="AF299">
        <v>0.81975141700756204</v>
      </c>
      <c r="AG299">
        <v>0.25384131559082829</v>
      </c>
      <c r="AH299">
        <v>1.1538241617764922</v>
      </c>
      <c r="AI299">
        <v>0.24304220350058367</v>
      </c>
      <c r="AJ299">
        <v>1.1047372886390168</v>
      </c>
      <c r="AK299">
        <v>0.24430562575555104</v>
      </c>
      <c r="AL299">
        <v>1.1104801170706866</v>
      </c>
      <c r="AM299">
        <v>0.25058467263015732</v>
      </c>
      <c r="AN299">
        <v>1.1390212392279879</v>
      </c>
      <c r="AO299">
        <v>0.302632452829041</v>
      </c>
      <c r="AP299">
        <v>1.3756020583138227</v>
      </c>
      <c r="AQ299">
        <v>0.26913168878938676</v>
      </c>
      <c r="AR299">
        <v>1.2233258581335762</v>
      </c>
    </row>
    <row r="300" spans="1:44" x14ac:dyDescent="0.3">
      <c r="B300">
        <v>22.2</v>
      </c>
      <c r="C300">
        <v>2</v>
      </c>
      <c r="D300">
        <v>63.6</v>
      </c>
      <c r="E300">
        <v>2.3846015710371389</v>
      </c>
      <c r="F300">
        <v>38</v>
      </c>
      <c r="G300">
        <v>49.1</v>
      </c>
      <c r="H300">
        <v>5.9022388890402282E-2</v>
      </c>
      <c r="I300">
        <v>275.8</v>
      </c>
      <c r="J300">
        <v>0.41944099999999995</v>
      </c>
      <c r="K300">
        <v>57.352569731032418</v>
      </c>
      <c r="L300">
        <v>251.74398079944604</v>
      </c>
      <c r="M300">
        <v>0.27</v>
      </c>
      <c r="N300">
        <v>0.21782909750840371</v>
      </c>
      <c r="O300">
        <v>0.80677443521630998</v>
      </c>
      <c r="P300">
        <v>0.24430562575555104</v>
      </c>
      <c r="Q300">
        <v>0.90483565094648521</v>
      </c>
      <c r="R300">
        <v>0.2331110518173842</v>
      </c>
      <c r="S300">
        <v>0.86337426599031175</v>
      </c>
      <c r="T300">
        <v>0.23377809359627175</v>
      </c>
      <c r="U300">
        <v>0.37768035907495145</v>
      </c>
      <c r="V300">
        <v>0.86584479109730272</v>
      </c>
      <c r="W300">
        <v>0.17295476652584166</v>
      </c>
      <c r="X300">
        <v>0.64057320935496909</v>
      </c>
      <c r="Y300">
        <v>0.30746729415104868</v>
      </c>
      <c r="Z300">
        <v>1.1387677561149949</v>
      </c>
      <c r="AA300">
        <v>0.16918938603418537</v>
      </c>
      <c r="AB300">
        <v>0.62662735568216799</v>
      </c>
      <c r="AC300">
        <v>0.21465358157922532</v>
      </c>
      <c r="AD300">
        <v>0.79501326510824188</v>
      </c>
      <c r="AE300">
        <v>0.19151939806835652</v>
      </c>
      <c r="AF300">
        <v>0.70933110395687593</v>
      </c>
      <c r="AG300">
        <v>0.26832489076728899</v>
      </c>
      <c r="AH300">
        <v>0.99379589173069993</v>
      </c>
      <c r="AI300">
        <v>0.26273264137403607</v>
      </c>
      <c r="AJ300">
        <v>0.97308385694087429</v>
      </c>
      <c r="AK300">
        <v>0.24430562575555104</v>
      </c>
      <c r="AL300">
        <v>0.90483565094648521</v>
      </c>
      <c r="AM300">
        <v>0.26930045218963744</v>
      </c>
      <c r="AN300">
        <v>0.99740908218384228</v>
      </c>
      <c r="AO300">
        <v>0.32700916096556948</v>
      </c>
      <c r="AP300">
        <v>1.2111450406132203</v>
      </c>
      <c r="AQ300">
        <v>0.29230565784830442</v>
      </c>
      <c r="AR300">
        <v>1.0826135475863126</v>
      </c>
    </row>
    <row r="301" spans="1:44" x14ac:dyDescent="0.3">
      <c r="A301" t="s">
        <v>75</v>
      </c>
      <c r="B301">
        <v>22.2</v>
      </c>
      <c r="C301">
        <v>2</v>
      </c>
      <c r="D301">
        <v>63.6</v>
      </c>
      <c r="E301">
        <v>2.8648423476200775</v>
      </c>
      <c r="F301">
        <v>38</v>
      </c>
      <c r="G301">
        <v>49.1</v>
      </c>
      <c r="H301">
        <v>5.8054054206432525E-2</v>
      </c>
      <c r="I301">
        <v>259.63215176616467</v>
      </c>
      <c r="J301">
        <v>0.45347432053222336</v>
      </c>
      <c r="K301">
        <v>67.927421545383382</v>
      </c>
      <c r="L301">
        <v>228.82881043536602</v>
      </c>
      <c r="M301">
        <v>0.17</v>
      </c>
      <c r="N301">
        <v>0.19942076017549812</v>
      </c>
      <c r="O301">
        <v>1.1730632951499889</v>
      </c>
      <c r="P301">
        <v>0.21486544798031237</v>
      </c>
      <c r="Q301">
        <v>1.2639143998841904</v>
      </c>
      <c r="R301">
        <v>0.21253747415537397</v>
      </c>
      <c r="S301">
        <v>1.250220436208082</v>
      </c>
      <c r="T301">
        <v>0.23133426524308956</v>
      </c>
      <c r="U301">
        <v>0.30783061030854858</v>
      </c>
      <c r="V301">
        <v>1.3607897955475856</v>
      </c>
      <c r="W301">
        <v>0.16164253469740358</v>
      </c>
      <c r="X301">
        <v>0.9508384393964916</v>
      </c>
      <c r="Y301">
        <v>0.29826817344378836</v>
      </c>
      <c r="Z301">
        <v>1.7545186673164019</v>
      </c>
      <c r="AA301">
        <v>0.17944547506843447</v>
      </c>
      <c r="AB301">
        <v>1.0555616180496146</v>
      </c>
      <c r="AC301">
        <v>0.19975455352227914</v>
      </c>
      <c r="AD301">
        <v>1.1750267854251712</v>
      </c>
      <c r="AE301">
        <v>0.17938396812107515</v>
      </c>
      <c r="AF301">
        <v>1.0551998124769126</v>
      </c>
      <c r="AG301">
        <v>0.25162560849822796</v>
      </c>
      <c r="AH301">
        <v>1.4801506382248701</v>
      </c>
      <c r="AI301">
        <v>0.23250947270656286</v>
      </c>
      <c r="AJ301">
        <v>1.3677027806268403</v>
      </c>
      <c r="AK301">
        <v>0.23274471188871693</v>
      </c>
      <c r="AL301">
        <v>1.3690865405218642</v>
      </c>
      <c r="AM301">
        <v>0.24120231454429447</v>
      </c>
      <c r="AN301">
        <v>1.4188371443782026</v>
      </c>
      <c r="AO301">
        <v>0.27646892734004014</v>
      </c>
      <c r="AP301">
        <v>1.6262878078825889</v>
      </c>
      <c r="AQ301">
        <v>0.24587083584714003</v>
      </c>
      <c r="AR301">
        <v>1.4462990343949413</v>
      </c>
    </row>
    <row r="302" spans="1:44" x14ac:dyDescent="0.3">
      <c r="B302">
        <v>22.2</v>
      </c>
      <c r="C302">
        <v>2</v>
      </c>
      <c r="D302">
        <v>63.6</v>
      </c>
      <c r="E302">
        <v>2.8648423476200775</v>
      </c>
      <c r="F302">
        <v>38</v>
      </c>
      <c r="G302">
        <v>49.1</v>
      </c>
      <c r="H302">
        <v>5.8054054206432525E-2</v>
      </c>
      <c r="I302">
        <v>275.8</v>
      </c>
      <c r="J302">
        <v>0.41944099999999995</v>
      </c>
      <c r="K302">
        <v>67.927421545383382</v>
      </c>
      <c r="L302">
        <v>247.30845437958286</v>
      </c>
      <c r="M302">
        <v>0.2</v>
      </c>
      <c r="N302">
        <v>0.2141515165011062</v>
      </c>
      <c r="O302">
        <v>1.0707575825055309</v>
      </c>
      <c r="P302">
        <v>0.23274471188871693</v>
      </c>
      <c r="Q302">
        <v>1.1637235594435846</v>
      </c>
      <c r="R302">
        <v>0.228237132200443</v>
      </c>
      <c r="S302">
        <v>1.1411856610022149</v>
      </c>
      <c r="T302">
        <v>0.23377809359627175</v>
      </c>
      <c r="U302">
        <v>0.31436884418724592</v>
      </c>
      <c r="V302">
        <v>1.1688904679813588</v>
      </c>
      <c r="W302">
        <v>0.17295476652584166</v>
      </c>
      <c r="X302">
        <v>0.86477383262920826</v>
      </c>
      <c r="Y302">
        <v>0.31925699479924302</v>
      </c>
      <c r="Z302">
        <v>1.5962849739962151</v>
      </c>
      <c r="AA302">
        <v>0.19061992779864917</v>
      </c>
      <c r="AB302">
        <v>0.95309963899324579</v>
      </c>
      <c r="AC302">
        <v>0.21445914608486627</v>
      </c>
      <c r="AD302">
        <v>1.0722957304243312</v>
      </c>
      <c r="AE302">
        <v>0.19151939806835652</v>
      </c>
      <c r="AF302">
        <v>0.95759699034178258</v>
      </c>
      <c r="AG302">
        <v>0.26729487219408116</v>
      </c>
      <c r="AH302">
        <v>1.3364743609704057</v>
      </c>
      <c r="AI302">
        <v>0.25448689027081867</v>
      </c>
      <c r="AJ302">
        <v>1.2724344513540933</v>
      </c>
      <c r="AK302">
        <v>0.23274471188871693</v>
      </c>
      <c r="AL302">
        <v>1.1637235594435846</v>
      </c>
      <c r="AM302">
        <v>0.26195684019109972</v>
      </c>
      <c r="AN302">
        <v>1.3097842009554985</v>
      </c>
      <c r="AO302">
        <v>0.30151488657238285</v>
      </c>
      <c r="AP302">
        <v>1.5075744328619141</v>
      </c>
      <c r="AQ302">
        <v>0.26980996439717803</v>
      </c>
      <c r="AR302">
        <v>1.34904982198589</v>
      </c>
    </row>
    <row r="303" spans="1:44" x14ac:dyDescent="0.3">
      <c r="A303" t="s">
        <v>76</v>
      </c>
      <c r="B303">
        <v>22.2</v>
      </c>
      <c r="C303">
        <v>2</v>
      </c>
      <c r="D303">
        <v>63.6</v>
      </c>
      <c r="E303">
        <v>2.8336917902498859</v>
      </c>
      <c r="F303">
        <v>38</v>
      </c>
      <c r="G303">
        <v>49.1</v>
      </c>
      <c r="H303">
        <v>5.8110239594394375E-2</v>
      </c>
      <c r="I303">
        <v>194.21192690601001</v>
      </c>
      <c r="J303">
        <v>0.59118389386284886</v>
      </c>
      <c r="K303">
        <v>67.242360991510594</v>
      </c>
      <c r="L303">
        <v>154.45932610251742</v>
      </c>
      <c r="M303">
        <v>0.15</v>
      </c>
      <c r="N303">
        <v>0.14011095074442681</v>
      </c>
      <c r="O303">
        <v>0.9340730049628454</v>
      </c>
      <c r="P303">
        <v>0.14325409277470821</v>
      </c>
      <c r="Q303">
        <v>0.95502728516472146</v>
      </c>
      <c r="R303">
        <v>0.14936247187861187</v>
      </c>
      <c r="S303">
        <v>0.99574981252407924</v>
      </c>
      <c r="T303">
        <v>0.17299427540945575</v>
      </c>
      <c r="U303">
        <v>0.17403774707736014</v>
      </c>
      <c r="V303">
        <v>1.1532951693963718</v>
      </c>
      <c r="W303">
        <v>0.11586966874868224</v>
      </c>
      <c r="X303">
        <v>0.77246445832454824</v>
      </c>
      <c r="Y303">
        <v>0.21109774923923863</v>
      </c>
      <c r="Z303">
        <v>1.4073183282615909</v>
      </c>
      <c r="AA303">
        <v>0.1332795939119073</v>
      </c>
      <c r="AB303">
        <v>0.88853062607938205</v>
      </c>
      <c r="AC303">
        <v>0.14026205059468944</v>
      </c>
      <c r="AD303">
        <v>0.93508033729792961</v>
      </c>
      <c r="AE303">
        <v>0.13028018235789859</v>
      </c>
      <c r="AF303">
        <v>0.86853454905265737</v>
      </c>
      <c r="AG303">
        <v>0.18826474681216912</v>
      </c>
      <c r="AH303">
        <v>1.2550983120811274</v>
      </c>
      <c r="AI303">
        <v>0.14430524158949384</v>
      </c>
      <c r="AJ303">
        <v>0.96203494392995903</v>
      </c>
      <c r="AK303">
        <v>0.18180950235090079</v>
      </c>
      <c r="AL303">
        <v>1.2120633490060053</v>
      </c>
      <c r="AM303">
        <v>0.15575777367131238</v>
      </c>
      <c r="AN303">
        <v>1.0383851578087493</v>
      </c>
      <c r="AO303">
        <v>0.17949832434355675</v>
      </c>
      <c r="AP303">
        <v>1.1966554956237117</v>
      </c>
      <c r="AQ303">
        <v>0.1550056360537245</v>
      </c>
      <c r="AR303">
        <v>1.03337090702483</v>
      </c>
    </row>
    <row r="304" spans="1:44" x14ac:dyDescent="0.3">
      <c r="B304">
        <v>22.2</v>
      </c>
      <c r="C304">
        <v>2</v>
      </c>
      <c r="D304">
        <v>63.6</v>
      </c>
      <c r="E304">
        <v>2.8336917902498859</v>
      </c>
      <c r="F304">
        <v>38</v>
      </c>
      <c r="G304">
        <v>49.1</v>
      </c>
      <c r="H304">
        <v>5.8110239594394375E-2</v>
      </c>
      <c r="I304">
        <v>225.89833808739655</v>
      </c>
      <c r="J304">
        <v>0.52448399832603032</v>
      </c>
      <c r="K304">
        <v>67.242360991510594</v>
      </c>
      <c r="L304">
        <v>190.63079573768678</v>
      </c>
      <c r="M304">
        <v>0.18</v>
      </c>
      <c r="N304">
        <v>0.16896461868897453</v>
      </c>
      <c r="O304">
        <v>0.93869232604985853</v>
      </c>
      <c r="P304">
        <v>0.17829828568184311</v>
      </c>
      <c r="Q304">
        <v>0.99054603156579513</v>
      </c>
      <c r="R304">
        <v>0.18012134649950753</v>
      </c>
      <c r="S304">
        <v>1.0006741472194864</v>
      </c>
      <c r="T304">
        <v>0.20121894641693144</v>
      </c>
      <c r="U304">
        <v>0.23546032007247436</v>
      </c>
      <c r="V304">
        <v>1.1178830356496192</v>
      </c>
      <c r="W304">
        <v>0.13803984401943478</v>
      </c>
      <c r="X304">
        <v>0.76688802233019326</v>
      </c>
      <c r="Y304">
        <v>0.2534826677196475</v>
      </c>
      <c r="Z304">
        <v>1.4082370428869306</v>
      </c>
      <c r="AA304">
        <v>0.15502466426911937</v>
      </c>
      <c r="AB304">
        <v>0.86124813482844098</v>
      </c>
      <c r="AC304">
        <v>0.16908213667659522</v>
      </c>
      <c r="AD304">
        <v>0.93934520375886232</v>
      </c>
      <c r="AE304">
        <v>0.1540636950190174</v>
      </c>
      <c r="AF304">
        <v>0.85590941677231891</v>
      </c>
      <c r="AG304">
        <v>0.21898085304459958</v>
      </c>
      <c r="AH304">
        <v>1.2165602946922198</v>
      </c>
      <c r="AI304">
        <v>0.18730209693616082</v>
      </c>
      <c r="AJ304">
        <v>1.0405672052008934</v>
      </c>
      <c r="AK304">
        <v>0.21459192053792189</v>
      </c>
      <c r="AL304">
        <v>1.1921773363217882</v>
      </c>
      <c r="AM304">
        <v>0.19782958279841215</v>
      </c>
      <c r="AN304">
        <v>1.0990532377689564</v>
      </c>
      <c r="AO304">
        <v>0.22651426473784098</v>
      </c>
      <c r="AP304">
        <v>1.2584125818768943</v>
      </c>
      <c r="AQ304">
        <v>0.19864647436137395</v>
      </c>
      <c r="AR304">
        <v>1.1035915242298553</v>
      </c>
    </row>
    <row r="305" spans="1:44" x14ac:dyDescent="0.3">
      <c r="B305">
        <v>22.2</v>
      </c>
      <c r="C305">
        <v>2</v>
      </c>
      <c r="D305">
        <v>63.6</v>
      </c>
      <c r="E305">
        <v>2.8336917902498859</v>
      </c>
      <c r="F305">
        <v>38</v>
      </c>
      <c r="G305">
        <v>49.1</v>
      </c>
      <c r="H305">
        <v>5.8110239594394375E-2</v>
      </c>
      <c r="I305">
        <v>259.70728398906732</v>
      </c>
      <c r="J305">
        <v>0.45331616720301326</v>
      </c>
      <c r="K305">
        <v>67.242360991510594</v>
      </c>
      <c r="L305">
        <v>229.22523463071434</v>
      </c>
      <c r="M305">
        <v>0.22</v>
      </c>
      <c r="N305">
        <v>0.19975106821832439</v>
      </c>
      <c r="O305">
        <v>0.90795940099238359</v>
      </c>
      <c r="P305">
        <v>0.21568993648706353</v>
      </c>
      <c r="Q305">
        <v>0.98040880221392512</v>
      </c>
      <c r="R305">
        <v>0.21294062420505641</v>
      </c>
      <c r="S305">
        <v>0.96791192820480187</v>
      </c>
      <c r="T305">
        <v>0.23133426524308956</v>
      </c>
      <c r="U305">
        <v>0.31121456869093567</v>
      </c>
      <c r="V305">
        <v>1.0515193874685889</v>
      </c>
      <c r="W305">
        <v>0.1616951028011468</v>
      </c>
      <c r="X305">
        <v>0.73497774000521265</v>
      </c>
      <c r="Y305">
        <v>0.29771864518566016</v>
      </c>
      <c r="Z305">
        <v>1.353266569025728</v>
      </c>
      <c r="AA305">
        <v>0.17822634221006811</v>
      </c>
      <c r="AB305">
        <v>0.81011973731849141</v>
      </c>
      <c r="AC305">
        <v>0.19983275484054253</v>
      </c>
      <c r="AD305">
        <v>0.90833070382064784</v>
      </c>
      <c r="AE305">
        <v>0.17944036163829724</v>
      </c>
      <c r="AF305">
        <v>0.81563800744680559</v>
      </c>
      <c r="AG305">
        <v>0.25175449749355644</v>
      </c>
      <c r="AH305">
        <v>1.144338624970711</v>
      </c>
      <c r="AI305">
        <v>0.23317912441131261</v>
      </c>
      <c r="AJ305">
        <v>1.0599051109605118</v>
      </c>
      <c r="AK305">
        <v>0.23348798376539165</v>
      </c>
      <c r="AL305">
        <v>1.0613090171154165</v>
      </c>
      <c r="AM305">
        <v>0.2417996037583158</v>
      </c>
      <c r="AN305">
        <v>1.0990891079923446</v>
      </c>
      <c r="AO305">
        <v>0.27802568617985046</v>
      </c>
      <c r="AP305">
        <v>1.2637531189993203</v>
      </c>
      <c r="AQ305">
        <v>0.24727690343332684</v>
      </c>
      <c r="AR305">
        <v>1.1239859246969401</v>
      </c>
    </row>
    <row r="306" spans="1:44" x14ac:dyDescent="0.3">
      <c r="B306">
        <v>22.2</v>
      </c>
      <c r="C306">
        <v>2</v>
      </c>
      <c r="D306">
        <v>63.6</v>
      </c>
      <c r="E306">
        <v>2.8336917902498859</v>
      </c>
      <c r="F306">
        <v>38</v>
      </c>
      <c r="G306">
        <v>49.1</v>
      </c>
      <c r="H306">
        <v>5.8110239594394375E-2</v>
      </c>
      <c r="I306">
        <v>275.8</v>
      </c>
      <c r="J306">
        <v>0.41944099999999995</v>
      </c>
      <c r="K306">
        <v>67.242360991510594</v>
      </c>
      <c r="L306">
        <v>247.59579686335982</v>
      </c>
      <c r="M306">
        <v>0.25</v>
      </c>
      <c r="N306">
        <v>0.21440510655189621</v>
      </c>
      <c r="O306">
        <v>0.85762042620758483</v>
      </c>
      <c r="P306">
        <v>0.23348798376539165</v>
      </c>
      <c r="Q306">
        <v>0.9339519350615666</v>
      </c>
      <c r="R306">
        <v>0.22856226817276237</v>
      </c>
      <c r="S306">
        <v>0.91424907269104949</v>
      </c>
      <c r="T306">
        <v>0.23377809359627175</v>
      </c>
      <c r="U306">
        <v>0.31782467687517285</v>
      </c>
      <c r="V306">
        <v>0.93511237438508699</v>
      </c>
      <c r="W306">
        <v>0.17295476652584166</v>
      </c>
      <c r="X306">
        <v>0.69181906610336663</v>
      </c>
      <c r="Y306">
        <v>0.31852217779861436</v>
      </c>
      <c r="Z306">
        <v>1.2740887111944574</v>
      </c>
      <c r="AA306">
        <v>0.1892701060460284</v>
      </c>
      <c r="AB306">
        <v>0.75708042418411359</v>
      </c>
      <c r="AC306">
        <v>0.21446973780689332</v>
      </c>
      <c r="AD306">
        <v>0.85787895122757329</v>
      </c>
      <c r="AE306">
        <v>0.19151939806835652</v>
      </c>
      <c r="AF306">
        <v>0.76607759227342609</v>
      </c>
      <c r="AG306">
        <v>0.26735442049305697</v>
      </c>
      <c r="AH306">
        <v>1.0694176819722279</v>
      </c>
      <c r="AI306">
        <v>0.25501612508949373</v>
      </c>
      <c r="AJ306">
        <v>1.0200645003579749</v>
      </c>
      <c r="AK306">
        <v>0.23348798376539165</v>
      </c>
      <c r="AL306">
        <v>0.9339519350615666</v>
      </c>
      <c r="AM306">
        <v>0.26242979988356807</v>
      </c>
      <c r="AN306">
        <v>1.0497191995342723</v>
      </c>
      <c r="AO306">
        <v>0.30303277646459992</v>
      </c>
      <c r="AP306">
        <v>1.2121311058583997</v>
      </c>
      <c r="AQ306">
        <v>0.27117385728312926</v>
      </c>
      <c r="AR306">
        <v>1.084695429132517</v>
      </c>
    </row>
    <row r="307" spans="1:44" x14ac:dyDescent="0.3">
      <c r="A307" t="s">
        <v>77</v>
      </c>
      <c r="B307">
        <v>22.2</v>
      </c>
      <c r="C307">
        <v>2</v>
      </c>
      <c r="D307">
        <v>63.6</v>
      </c>
      <c r="E307">
        <v>2.7563734268389184</v>
      </c>
      <c r="F307">
        <v>38</v>
      </c>
      <c r="G307">
        <v>49.1</v>
      </c>
      <c r="H307">
        <v>5.8253253556272706E-2</v>
      </c>
      <c r="I307">
        <v>194.35459603250266</v>
      </c>
      <c r="J307">
        <v>0.59088357535158187</v>
      </c>
      <c r="K307">
        <v>65.541526492969297</v>
      </c>
      <c r="L307">
        <v>155.62718452433654</v>
      </c>
      <c r="M307">
        <v>0.2</v>
      </c>
      <c r="N307">
        <v>0.14096818536099046</v>
      </c>
      <c r="O307">
        <v>0.70484092680495225</v>
      </c>
      <c r="P307">
        <v>0.14523639043966624</v>
      </c>
      <c r="Q307">
        <v>0.72618195219833115</v>
      </c>
      <c r="R307">
        <v>0.15036800039665213</v>
      </c>
      <c r="S307">
        <v>0.75184000198326062</v>
      </c>
      <c r="T307">
        <v>0.17299427540945575</v>
      </c>
      <c r="U307">
        <v>0.17891963776921221</v>
      </c>
      <c r="V307">
        <v>0.86497137704727867</v>
      </c>
      <c r="W307">
        <v>0.11596949070459769</v>
      </c>
      <c r="X307">
        <v>0.57984745352298839</v>
      </c>
      <c r="Y307">
        <v>0.21063918650867053</v>
      </c>
      <c r="Z307">
        <v>1.0531959325433526</v>
      </c>
      <c r="AA307">
        <v>0.13100054919281073</v>
      </c>
      <c r="AB307">
        <v>0.65500274596405361</v>
      </c>
      <c r="AC307">
        <v>0.14040971455209736</v>
      </c>
      <c r="AD307">
        <v>0.70204857276048671</v>
      </c>
      <c r="AE307">
        <v>0.13038726841939244</v>
      </c>
      <c r="AF307">
        <v>0.65193634209696216</v>
      </c>
      <c r="AG307">
        <v>0.18850994473231372</v>
      </c>
      <c r="AH307">
        <v>0.94254972366156853</v>
      </c>
      <c r="AI307">
        <v>0.14629649491431826</v>
      </c>
      <c r="AJ307">
        <v>0.73148247457159121</v>
      </c>
      <c r="AK307">
        <v>0.18253185202682515</v>
      </c>
      <c r="AL307">
        <v>0.91265926013412568</v>
      </c>
      <c r="AM307">
        <v>0.15752243337105989</v>
      </c>
      <c r="AN307">
        <v>0.78761216685529944</v>
      </c>
      <c r="AO307">
        <v>0.18265664880946308</v>
      </c>
      <c r="AP307">
        <v>0.91328324404731542</v>
      </c>
      <c r="AQ307">
        <v>0.15785103343844195</v>
      </c>
      <c r="AR307">
        <v>0.78925516719220967</v>
      </c>
    </row>
    <row r="308" spans="1:44" x14ac:dyDescent="0.3">
      <c r="B308">
        <v>22.2</v>
      </c>
      <c r="C308">
        <v>2</v>
      </c>
      <c r="D308">
        <v>63.6</v>
      </c>
      <c r="E308">
        <v>2.7563734268389184</v>
      </c>
      <c r="F308">
        <v>38</v>
      </c>
      <c r="G308">
        <v>49.1</v>
      </c>
      <c r="H308">
        <v>5.8253253556272706E-2</v>
      </c>
      <c r="I308">
        <v>226.06428422203666</v>
      </c>
      <c r="J308">
        <v>0.52413468171261279</v>
      </c>
      <c r="K308">
        <v>65.541526492969297</v>
      </c>
      <c r="L308">
        <v>191.71169709468541</v>
      </c>
      <c r="M308">
        <v>0.25</v>
      </c>
      <c r="N308">
        <v>0.16980174289977454</v>
      </c>
      <c r="O308">
        <v>0.67920697159909815</v>
      </c>
      <c r="P308">
        <v>0.18031567133788304</v>
      </c>
      <c r="Q308">
        <v>0.72126268535153215</v>
      </c>
      <c r="R308">
        <v>0.18112419109546893</v>
      </c>
      <c r="S308">
        <v>0.72449676438187571</v>
      </c>
      <c r="T308">
        <v>0.20121894641693144</v>
      </c>
      <c r="U308">
        <v>0.24206516048305135</v>
      </c>
      <c r="V308">
        <v>0.80487578566772577</v>
      </c>
      <c r="W308">
        <v>0.13815595230539418</v>
      </c>
      <c r="X308">
        <v>0.55262380922157672</v>
      </c>
      <c r="Y308">
        <v>0.2525542954606495</v>
      </c>
      <c r="Z308">
        <v>1.010217181842598</v>
      </c>
      <c r="AA308">
        <v>0.15237378477540048</v>
      </c>
      <c r="AB308">
        <v>0.60949513910160191</v>
      </c>
      <c r="AC308">
        <v>0.16925464940775237</v>
      </c>
      <c r="AD308">
        <v>0.67701859763100947</v>
      </c>
      <c r="AE308">
        <v>0.15418825257688296</v>
      </c>
      <c r="AF308">
        <v>0.61675301030753182</v>
      </c>
      <c r="AG308">
        <v>0.2192660559337607</v>
      </c>
      <c r="AH308">
        <v>0.87706422373504278</v>
      </c>
      <c r="AI308">
        <v>0.18913767848311994</v>
      </c>
      <c r="AJ308">
        <v>0.75655071393247975</v>
      </c>
      <c r="AK308">
        <v>0.21542327049224602</v>
      </c>
      <c r="AL308">
        <v>0.86169308196898409</v>
      </c>
      <c r="AM308">
        <v>0.19944957765500884</v>
      </c>
      <c r="AN308">
        <v>0.79779831062003537</v>
      </c>
      <c r="AO308">
        <v>0.23002594128812265</v>
      </c>
      <c r="AP308">
        <v>0.92010376515249059</v>
      </c>
      <c r="AQ308">
        <v>0.20180892759892255</v>
      </c>
      <c r="AR308">
        <v>0.8072357103956902</v>
      </c>
    </row>
    <row r="309" spans="1:44" x14ac:dyDescent="0.3">
      <c r="B309">
        <v>22.2</v>
      </c>
      <c r="C309">
        <v>2</v>
      </c>
      <c r="D309">
        <v>63.6</v>
      </c>
      <c r="E309">
        <v>2.7563734268389184</v>
      </c>
      <c r="F309">
        <v>38</v>
      </c>
      <c r="G309">
        <v>49.1</v>
      </c>
      <c r="H309">
        <v>5.8253253556272706E-2</v>
      </c>
      <c r="I309">
        <v>259.8980663572811</v>
      </c>
      <c r="J309">
        <v>0.45291457031792326</v>
      </c>
      <c r="K309">
        <v>65.541526492969297</v>
      </c>
      <c r="L309">
        <v>230.21335404773711</v>
      </c>
      <c r="M309">
        <v>0.3</v>
      </c>
      <c r="N309">
        <v>0.20056673491484081</v>
      </c>
      <c r="O309">
        <v>0.66855578304946939</v>
      </c>
      <c r="P309">
        <v>0.21774476052593253</v>
      </c>
      <c r="Q309">
        <v>0.72581586841977508</v>
      </c>
      <c r="R309">
        <v>0.21394060509468493</v>
      </c>
      <c r="S309">
        <v>0.71313535031561648</v>
      </c>
      <c r="T309">
        <v>0.23133426524308956</v>
      </c>
      <c r="U309">
        <v>0.31994437318205965</v>
      </c>
      <c r="V309">
        <v>0.77111421747696518</v>
      </c>
      <c r="W309">
        <v>0.16182858836748804</v>
      </c>
      <c r="X309">
        <v>0.53942862789162682</v>
      </c>
      <c r="Y309">
        <v>0.29633812748653476</v>
      </c>
      <c r="Z309">
        <v>0.98779375828844929</v>
      </c>
      <c r="AA309">
        <v>0.17517872034916845</v>
      </c>
      <c r="AB309">
        <v>0.58392906783056153</v>
      </c>
      <c r="AC309">
        <v>0.20003178085660914</v>
      </c>
      <c r="AD309">
        <v>0.66677260285536377</v>
      </c>
      <c r="AE309">
        <v>0.1795835610320044</v>
      </c>
      <c r="AF309">
        <v>0.59861187010668138</v>
      </c>
      <c r="AG309">
        <v>0.25208238511042425</v>
      </c>
      <c r="AH309">
        <v>0.84027461703474748</v>
      </c>
      <c r="AI309">
        <v>0.23484860640581268</v>
      </c>
      <c r="AJ309">
        <v>0.78282868801937566</v>
      </c>
      <c r="AK309">
        <v>0.23533649443840463</v>
      </c>
      <c r="AL309">
        <v>0.78445498146134873</v>
      </c>
      <c r="AM309">
        <v>0.24328815908925516</v>
      </c>
      <c r="AN309">
        <v>0.81096053029751725</v>
      </c>
      <c r="AO309">
        <v>0.2819635027132118</v>
      </c>
      <c r="AP309">
        <v>0.93987834237737267</v>
      </c>
      <c r="AQ309">
        <v>0.2508213160252567</v>
      </c>
      <c r="AR309">
        <v>0.83607105341752241</v>
      </c>
    </row>
    <row r="310" spans="1:44" x14ac:dyDescent="0.3">
      <c r="B310">
        <v>22.2</v>
      </c>
      <c r="C310">
        <v>2</v>
      </c>
      <c r="D310">
        <v>63.6</v>
      </c>
      <c r="E310">
        <v>2.7563734268389184</v>
      </c>
      <c r="F310">
        <v>38</v>
      </c>
      <c r="G310">
        <v>49.1</v>
      </c>
      <c r="H310">
        <v>5.8253253556272706E-2</v>
      </c>
      <c r="I310">
        <v>275.8</v>
      </c>
      <c r="J310">
        <v>0.41944099999999995</v>
      </c>
      <c r="K310">
        <v>65.541526492969297</v>
      </c>
      <c r="L310">
        <v>248.30919658626249</v>
      </c>
      <c r="M310">
        <v>0.35</v>
      </c>
      <c r="N310">
        <v>0.21502633211821529</v>
      </c>
      <c r="O310">
        <v>0.61436094890918658</v>
      </c>
      <c r="P310">
        <v>0.23533649443840463</v>
      </c>
      <c r="Q310">
        <v>0.6723899841097275</v>
      </c>
      <c r="R310">
        <v>0.22936437402839582</v>
      </c>
      <c r="S310">
        <v>0.65532678293827384</v>
      </c>
      <c r="T310">
        <v>0.23377809359627175</v>
      </c>
      <c r="U310">
        <v>0.32673989991002467</v>
      </c>
      <c r="V310">
        <v>0.66793741027506215</v>
      </c>
      <c r="W310">
        <v>0.17295476652584166</v>
      </c>
      <c r="X310">
        <v>0.49415647578811905</v>
      </c>
      <c r="Y310">
        <v>0.31668060827241029</v>
      </c>
      <c r="Z310">
        <v>0.90480173792117236</v>
      </c>
      <c r="AA310">
        <v>0.18589707784082993</v>
      </c>
      <c r="AB310">
        <v>0.53113450811665697</v>
      </c>
      <c r="AC310">
        <v>0.21449708361397174</v>
      </c>
      <c r="AD310">
        <v>0.61284881032563354</v>
      </c>
      <c r="AE310">
        <v>0.19151939806835652</v>
      </c>
      <c r="AF310">
        <v>0.54719828019530437</v>
      </c>
      <c r="AG310">
        <v>0.26750611417739495</v>
      </c>
      <c r="AH310">
        <v>0.76430318336398562</v>
      </c>
      <c r="AI310">
        <v>0.25633281824084037</v>
      </c>
      <c r="AJ310">
        <v>0.73237948068811543</v>
      </c>
      <c r="AK310">
        <v>0.23533649443840463</v>
      </c>
      <c r="AL310">
        <v>0.6723899841097275</v>
      </c>
      <c r="AM310">
        <v>0.26360551076661792</v>
      </c>
      <c r="AN310">
        <v>0.75315860219033692</v>
      </c>
      <c r="AO310">
        <v>0.30687183846371258</v>
      </c>
      <c r="AP310">
        <v>0.87677668132489317</v>
      </c>
      <c r="AQ310">
        <v>0.27460972536747175</v>
      </c>
      <c r="AR310">
        <v>0.78459921533563359</v>
      </c>
    </row>
    <row r="311" spans="1:44" x14ac:dyDescent="0.3">
      <c r="A311" t="s">
        <v>78</v>
      </c>
      <c r="B311">
        <v>28.7</v>
      </c>
      <c r="C311">
        <v>2</v>
      </c>
      <c r="D311">
        <v>50.6</v>
      </c>
      <c r="E311">
        <v>2.7748174021560659</v>
      </c>
      <c r="F311">
        <v>22.2</v>
      </c>
      <c r="G311">
        <v>36.6</v>
      </c>
      <c r="H311">
        <v>0.10899285032170623</v>
      </c>
      <c r="I311">
        <v>234.11581828988642</v>
      </c>
      <c r="J311">
        <v>0.50718620249978907</v>
      </c>
      <c r="K311">
        <v>43.744036041213654</v>
      </c>
      <c r="L311">
        <v>211.92944676812937</v>
      </c>
      <c r="M311">
        <v>0.17</v>
      </c>
      <c r="N311">
        <v>0.12216947076824558</v>
      </c>
      <c r="O311">
        <v>0.71864394569556223</v>
      </c>
      <c r="P311">
        <v>0.13483786949689372</v>
      </c>
      <c r="Q311">
        <v>0.7931639382170218</v>
      </c>
      <c r="R311">
        <v>0.12497565870308193</v>
      </c>
      <c r="S311">
        <v>0.73515093354754069</v>
      </c>
      <c r="T311">
        <v>0.20638869069728805</v>
      </c>
      <c r="U311">
        <v>0.33708607017123565</v>
      </c>
      <c r="V311">
        <v>1.2140511217487531</v>
      </c>
      <c r="W311">
        <v>8.703067495926263E-2</v>
      </c>
      <c r="X311">
        <v>0.5119451468191919</v>
      </c>
      <c r="Y311">
        <v>0.22378405242631161</v>
      </c>
      <c r="Z311">
        <v>1.3163767789783034</v>
      </c>
      <c r="AA311">
        <v>0.11069524995892673</v>
      </c>
      <c r="AB311">
        <v>0.6511485291701572</v>
      </c>
      <c r="AC311">
        <v>0.17416235740535557</v>
      </c>
      <c r="AD311">
        <v>1.0244844553256209</v>
      </c>
      <c r="AE311">
        <v>0.14424167270541979</v>
      </c>
      <c r="AF311">
        <v>0.84848042767893994</v>
      </c>
      <c r="AG311">
        <v>0.17989763994722491</v>
      </c>
      <c r="AH311">
        <v>1.0582214114542641</v>
      </c>
      <c r="AI311">
        <v>0.13864882819644456</v>
      </c>
      <c r="AJ311">
        <v>0.81558134233202673</v>
      </c>
      <c r="AK311">
        <v>0.14515376116038925</v>
      </c>
      <c r="AL311">
        <v>0.85384565388464262</v>
      </c>
      <c r="AM311">
        <v>0.14215650440598013</v>
      </c>
      <c r="AN311">
        <v>0.83621473179988304</v>
      </c>
      <c r="AO311">
        <v>0.27685679156195886</v>
      </c>
      <c r="AP311">
        <v>1.6285693621291697</v>
      </c>
      <c r="AQ311">
        <v>0.17664311151613865</v>
      </c>
      <c r="AR311">
        <v>1.0390771265655214</v>
      </c>
    </row>
    <row r="312" spans="1:44" x14ac:dyDescent="0.3">
      <c r="B312">
        <v>28.7</v>
      </c>
      <c r="C312">
        <v>2</v>
      </c>
      <c r="D312">
        <v>50.6</v>
      </c>
      <c r="E312">
        <v>2.7748174021560659</v>
      </c>
      <c r="F312">
        <v>22.2</v>
      </c>
      <c r="G312">
        <v>36.6</v>
      </c>
      <c r="H312">
        <v>0.10899285032170623</v>
      </c>
      <c r="I312">
        <v>274.84728475140628</v>
      </c>
      <c r="J312">
        <v>0.4214464655982898</v>
      </c>
      <c r="K312">
        <v>43.744036041213654</v>
      </c>
      <c r="L312">
        <v>256.4115153708326</v>
      </c>
      <c r="M312">
        <v>0.2</v>
      </c>
      <c r="N312">
        <v>0.14610826012853861</v>
      </c>
      <c r="O312">
        <v>0.73054130064269307</v>
      </c>
      <c r="P312">
        <v>0.16258315804542578</v>
      </c>
      <c r="Q312">
        <v>0.8129157902271289</v>
      </c>
      <c r="R312">
        <v>0.14946431327483095</v>
      </c>
      <c r="S312">
        <v>0.7473215663741547</v>
      </c>
      <c r="T312">
        <v>0.23026761478738778</v>
      </c>
      <c r="U312">
        <v>0.41959928439326599</v>
      </c>
      <c r="V312">
        <v>1.1513380739369388</v>
      </c>
      <c r="W312">
        <v>0.10350872757428684</v>
      </c>
      <c r="X312">
        <v>0.51754363787143409</v>
      </c>
      <c r="Y312">
        <v>0.26542211227805329</v>
      </c>
      <c r="Z312">
        <v>1.3271105613902663</v>
      </c>
      <c r="AA312">
        <v>0.12995400784246594</v>
      </c>
      <c r="AB312">
        <v>0.64977003921232968</v>
      </c>
      <c r="AC312">
        <v>0.2107069743356548</v>
      </c>
      <c r="AD312">
        <v>1.053534871678274</v>
      </c>
      <c r="AE312">
        <v>0.17165317245663911</v>
      </c>
      <c r="AF312">
        <v>0.85826586228319546</v>
      </c>
      <c r="AG312">
        <v>0.21119622857545645</v>
      </c>
      <c r="AH312">
        <v>1.0559811428772821</v>
      </c>
      <c r="AI312">
        <v>0.16991461267384134</v>
      </c>
      <c r="AJ312">
        <v>0.84957306336920668</v>
      </c>
      <c r="AK312">
        <v>0.16323212460060227</v>
      </c>
      <c r="AL312">
        <v>0.81616062300301129</v>
      </c>
      <c r="AM312">
        <v>0.17250541000041172</v>
      </c>
      <c r="AN312">
        <v>0.86252705000205854</v>
      </c>
      <c r="AO312">
        <v>0.35196743481587933</v>
      </c>
      <c r="AP312">
        <v>1.7598371740793965</v>
      </c>
      <c r="AQ312">
        <v>0.22499141904506101</v>
      </c>
      <c r="AR312">
        <v>1.124957095225305</v>
      </c>
    </row>
    <row r="313" spans="1:44" x14ac:dyDescent="0.3">
      <c r="A313" t="s">
        <v>79</v>
      </c>
      <c r="B313">
        <v>28.7</v>
      </c>
      <c r="C313">
        <v>2</v>
      </c>
      <c r="D313">
        <v>50.6</v>
      </c>
      <c r="E313">
        <v>2.8017146470593879</v>
      </c>
      <c r="F313">
        <v>38.200000000000003</v>
      </c>
      <c r="G313">
        <v>52.5</v>
      </c>
      <c r="H313">
        <v>0.10686066770303645</v>
      </c>
      <c r="I313">
        <v>179.49560032260422</v>
      </c>
      <c r="J313">
        <v>0.6</v>
      </c>
      <c r="K313">
        <v>44.592124795873644</v>
      </c>
      <c r="L313">
        <v>152.74032544508003</v>
      </c>
      <c r="M313">
        <v>0.17</v>
      </c>
      <c r="N313">
        <v>0.11532192168156596</v>
      </c>
      <c r="O313">
        <v>0.67836424518568206</v>
      </c>
      <c r="P313">
        <v>0.13588745970060442</v>
      </c>
      <c r="Q313">
        <v>0.79933799823884955</v>
      </c>
      <c r="R313">
        <v>0.13405833916930074</v>
      </c>
      <c r="S313">
        <v>0.78857846570176904</v>
      </c>
      <c r="T313">
        <v>0.16565003896528258</v>
      </c>
      <c r="U313">
        <v>0.19653619230075234</v>
      </c>
      <c r="V313">
        <v>0.97441199391342681</v>
      </c>
      <c r="W313">
        <v>9.3567981486954555E-2</v>
      </c>
      <c r="X313">
        <v>0.55039989109973264</v>
      </c>
      <c r="Y313">
        <v>0.19869517071652584</v>
      </c>
      <c r="Z313">
        <v>1.1687951218619166</v>
      </c>
      <c r="AA313">
        <v>0.12049491038352091</v>
      </c>
      <c r="AB313">
        <v>0.70879359049129942</v>
      </c>
      <c r="AC313">
        <v>0.14368961656953219</v>
      </c>
      <c r="AD313">
        <v>0.84523303864430699</v>
      </c>
      <c r="AE313">
        <v>0.12325566597115847</v>
      </c>
      <c r="AF313">
        <v>0.72503332924210862</v>
      </c>
      <c r="AG313">
        <v>0.18980320560508893</v>
      </c>
      <c r="AH313">
        <v>1.1164894447358171</v>
      </c>
      <c r="AI313">
        <v>0.13588745970060442</v>
      </c>
      <c r="AJ313">
        <v>0.79933799823884955</v>
      </c>
      <c r="AK313">
        <v>0.16105132485396154</v>
      </c>
      <c r="AL313">
        <v>0.94736073443506774</v>
      </c>
      <c r="AM313">
        <v>0.14200845295351075</v>
      </c>
      <c r="AN313">
        <v>0.8353438409030044</v>
      </c>
      <c r="AO313">
        <v>0.19184353171455634</v>
      </c>
      <c r="AP313">
        <v>1.1284913630268019</v>
      </c>
      <c r="AQ313">
        <v>0.15346522258282616</v>
      </c>
      <c r="AR313">
        <v>0.90273660342838913</v>
      </c>
    </row>
    <row r="314" spans="1:44" x14ac:dyDescent="0.3">
      <c r="B314">
        <v>28.7</v>
      </c>
      <c r="C314">
        <v>2</v>
      </c>
      <c r="D314">
        <v>50.6</v>
      </c>
      <c r="E314">
        <v>2.8017146470593879</v>
      </c>
      <c r="F314">
        <v>38.200000000000003</v>
      </c>
      <c r="G314">
        <v>52.5</v>
      </c>
      <c r="H314">
        <v>0.10686066770303645</v>
      </c>
      <c r="I314">
        <v>212.74254265148761</v>
      </c>
      <c r="J314">
        <v>0.55217694771861869</v>
      </c>
      <c r="K314">
        <v>44.592124795873644</v>
      </c>
      <c r="L314">
        <v>188.11979928941437</v>
      </c>
      <c r="M314">
        <v>0.2</v>
      </c>
      <c r="N314">
        <v>0.14042401091851497</v>
      </c>
      <c r="O314">
        <v>0.70212005459257487</v>
      </c>
      <c r="P314">
        <v>0.17011889417865081</v>
      </c>
      <c r="Q314">
        <v>0.85059447089325402</v>
      </c>
      <c r="R314">
        <v>0.16323877896527475</v>
      </c>
      <c r="S314">
        <v>0.81619389482637372</v>
      </c>
      <c r="T314">
        <v>0.19633244723800777</v>
      </c>
      <c r="U314">
        <v>0.27608550946880678</v>
      </c>
      <c r="V314">
        <v>0.98166223619003878</v>
      </c>
      <c r="W314">
        <v>0.11286124815037943</v>
      </c>
      <c r="X314">
        <v>0.56430624075189706</v>
      </c>
      <c r="Y314">
        <v>0.24111380217190154</v>
      </c>
      <c r="Z314">
        <v>1.2055690108595076</v>
      </c>
      <c r="AA314">
        <v>0.1428134927289646</v>
      </c>
      <c r="AB314">
        <v>0.71406746364482299</v>
      </c>
      <c r="AC314">
        <v>0.17793614753035483</v>
      </c>
      <c r="AD314">
        <v>0.88968073765177413</v>
      </c>
      <c r="AE314">
        <v>0.14891351993040874</v>
      </c>
      <c r="AF314">
        <v>0.74456759965204367</v>
      </c>
      <c r="AG314">
        <v>0.22495936664328742</v>
      </c>
      <c r="AH314">
        <v>1.1247968332164371</v>
      </c>
      <c r="AI314">
        <v>0.17401832817903171</v>
      </c>
      <c r="AJ314">
        <v>0.87009164089515845</v>
      </c>
      <c r="AK314">
        <v>0.19362913805657817</v>
      </c>
      <c r="AL314">
        <v>0.96814569028289077</v>
      </c>
      <c r="AM314">
        <v>0.18156980749840465</v>
      </c>
      <c r="AN314">
        <v>0.90784903749202317</v>
      </c>
      <c r="AO314">
        <v>0.24595396894281762</v>
      </c>
      <c r="AP314">
        <v>1.2297698447140881</v>
      </c>
      <c r="AQ314">
        <v>0.19915314559544198</v>
      </c>
      <c r="AR314">
        <v>0.99576572797720986</v>
      </c>
    </row>
    <row r="315" spans="1:44" x14ac:dyDescent="0.3">
      <c r="B315">
        <v>28.7</v>
      </c>
      <c r="C315">
        <v>2</v>
      </c>
      <c r="D315">
        <v>50.6</v>
      </c>
      <c r="E315">
        <v>2.8017146470593879</v>
      </c>
      <c r="F315">
        <v>38.200000000000003</v>
      </c>
      <c r="G315">
        <v>52.5</v>
      </c>
      <c r="H315">
        <v>0.10686066770303645</v>
      </c>
      <c r="I315">
        <v>245.23171991304602</v>
      </c>
      <c r="J315">
        <v>0.4837872295830381</v>
      </c>
      <c r="K315">
        <v>44.592124795873644</v>
      </c>
      <c r="L315">
        <v>223.65861939682921</v>
      </c>
      <c r="M315">
        <v>0.25</v>
      </c>
      <c r="N315">
        <v>0.16495397276544804</v>
      </c>
      <c r="O315">
        <v>0.65981589106179217</v>
      </c>
      <c r="P315">
        <v>0.20357012502186989</v>
      </c>
      <c r="Q315">
        <v>0.81428050008747954</v>
      </c>
      <c r="R315">
        <v>0.19175413751233761</v>
      </c>
      <c r="S315">
        <v>0.76701655004935043</v>
      </c>
      <c r="T315">
        <v>0.22631554136206686</v>
      </c>
      <c r="U315">
        <v>0.36684973527969084</v>
      </c>
      <c r="V315">
        <v>0.90526216544826743</v>
      </c>
      <c r="W315">
        <v>0.13171478224027891</v>
      </c>
      <c r="X315">
        <v>0.52685912896111564</v>
      </c>
      <c r="Y315">
        <v>0.28189248945896062</v>
      </c>
      <c r="Z315">
        <v>1.1275699578358425</v>
      </c>
      <c r="AA315">
        <v>0.1646233894369053</v>
      </c>
      <c r="AB315">
        <v>0.65849355774762119</v>
      </c>
      <c r="AC315">
        <v>0.21140213077697068</v>
      </c>
      <c r="AD315">
        <v>0.8456085231078827</v>
      </c>
      <c r="AE315">
        <v>0.17398657949742538</v>
      </c>
      <c r="AF315">
        <v>0.69594631798970152</v>
      </c>
      <c r="AG315">
        <v>0.25931424765782329</v>
      </c>
      <c r="AH315">
        <v>1.0372569906312932</v>
      </c>
      <c r="AI315">
        <v>0.21304597414952567</v>
      </c>
      <c r="AJ315">
        <v>0.85218389659810267</v>
      </c>
      <c r="AK315">
        <v>0.22578113027322805</v>
      </c>
      <c r="AL315">
        <v>0.90312452109291219</v>
      </c>
      <c r="AM315">
        <v>0.21958766611318231</v>
      </c>
      <c r="AN315">
        <v>0.87835066445272925</v>
      </c>
      <c r="AO315">
        <v>0.30107951427423435</v>
      </c>
      <c r="AP315">
        <v>1.2043180570969374</v>
      </c>
      <c r="AQ315">
        <v>0.24627594738575637</v>
      </c>
      <c r="AR315">
        <v>0.98510378954302547</v>
      </c>
    </row>
    <row r="316" spans="1:44" x14ac:dyDescent="0.3">
      <c r="B316">
        <v>28.7</v>
      </c>
      <c r="C316">
        <v>2</v>
      </c>
      <c r="D316">
        <v>50.6</v>
      </c>
      <c r="E316">
        <v>2.8017146470593879</v>
      </c>
      <c r="F316">
        <v>38.200000000000003</v>
      </c>
      <c r="G316">
        <v>52.5</v>
      </c>
      <c r="H316">
        <v>0.10686066770303645</v>
      </c>
      <c r="I316">
        <v>275.8</v>
      </c>
      <c r="J316">
        <v>0.41944099999999995</v>
      </c>
      <c r="K316">
        <v>44.592124795873644</v>
      </c>
      <c r="L316">
        <v>257.09623458349398</v>
      </c>
      <c r="M316">
        <v>0.28999999999999998</v>
      </c>
      <c r="N316">
        <v>0.18803361981907052</v>
      </c>
      <c r="O316">
        <v>0.64839179247955359</v>
      </c>
      <c r="P316">
        <v>0.23504357802551876</v>
      </c>
      <c r="Q316">
        <v>0.81049509663971986</v>
      </c>
      <c r="R316">
        <v>0.21858354780577408</v>
      </c>
      <c r="S316">
        <v>0.75373637174404862</v>
      </c>
      <c r="T316">
        <v>0.24087564876911222</v>
      </c>
      <c r="U316">
        <v>0.41557101380352907</v>
      </c>
      <c r="V316">
        <v>0.83060568541073188</v>
      </c>
      <c r="W316">
        <v>0.14945361588476436</v>
      </c>
      <c r="X316">
        <v>0.51535729615435988</v>
      </c>
      <c r="Y316">
        <v>0.31986477650834744</v>
      </c>
      <c r="Z316">
        <v>1.1029819879598188</v>
      </c>
      <c r="AA316">
        <v>0.18514379307374051</v>
      </c>
      <c r="AB316">
        <v>0.63842687266807074</v>
      </c>
      <c r="AC316">
        <v>0.24288946395971289</v>
      </c>
      <c r="AD316">
        <v>0.83754987572314799</v>
      </c>
      <c r="AE316">
        <v>0.19757721404354259</v>
      </c>
      <c r="AF316">
        <v>0.68130073808118141</v>
      </c>
      <c r="AG316">
        <v>0.29163792322374421</v>
      </c>
      <c r="AH316">
        <v>1.0056480111163595</v>
      </c>
      <c r="AI316">
        <v>0.2497661411010022</v>
      </c>
      <c r="AJ316">
        <v>0.8612625555206973</v>
      </c>
      <c r="AK316">
        <v>0.23504357802551876</v>
      </c>
      <c r="AL316">
        <v>0.81049509663971986</v>
      </c>
      <c r="AM316">
        <v>0.25484835043311971</v>
      </c>
      <c r="AN316">
        <v>0.87878741528661974</v>
      </c>
      <c r="AO316">
        <v>0.35497506248326305</v>
      </c>
      <c r="AP316">
        <v>1.2240519395974589</v>
      </c>
      <c r="AQ316">
        <v>0.29284750986810082</v>
      </c>
      <c r="AR316">
        <v>1.0098189995451754</v>
      </c>
    </row>
    <row r="317" spans="1:44" x14ac:dyDescent="0.3">
      <c r="A317" t="s">
        <v>80</v>
      </c>
      <c r="B317">
        <v>28.7</v>
      </c>
      <c r="C317">
        <v>2</v>
      </c>
      <c r="D317">
        <v>50.6</v>
      </c>
      <c r="E317">
        <v>2.7153116457984496</v>
      </c>
      <c r="F317">
        <v>38.200000000000003</v>
      </c>
      <c r="G317">
        <v>52.5</v>
      </c>
      <c r="H317">
        <v>0.1072263869101954</v>
      </c>
      <c r="I317">
        <v>212.94749158826474</v>
      </c>
      <c r="J317">
        <v>0.55174553020670269</v>
      </c>
      <c r="K317">
        <v>43.411365898323631</v>
      </c>
      <c r="L317">
        <v>188.995464493697</v>
      </c>
      <c r="M317">
        <v>0.17</v>
      </c>
      <c r="N317">
        <v>0.14087586174074962</v>
      </c>
      <c r="O317">
        <v>0.82868153965146829</v>
      </c>
      <c r="P317">
        <v>0.17172528363860692</v>
      </c>
      <c r="Q317">
        <v>1.0101487272859231</v>
      </c>
      <c r="R317">
        <v>0.16389493709976841</v>
      </c>
      <c r="S317">
        <v>0.96408786529275525</v>
      </c>
      <c r="T317">
        <v>0.19633244723800777</v>
      </c>
      <c r="U317">
        <v>0.28487073184269951</v>
      </c>
      <c r="V317">
        <v>1.1548967484588692</v>
      </c>
      <c r="W317">
        <v>0.1129801804254293</v>
      </c>
      <c r="X317">
        <v>0.6645892966201723</v>
      </c>
      <c r="Y317">
        <v>0.23979274121614602</v>
      </c>
      <c r="Z317">
        <v>1.4105455365655648</v>
      </c>
      <c r="AA317">
        <v>0.14006985591184776</v>
      </c>
      <c r="AB317">
        <v>0.823940328893222</v>
      </c>
      <c r="AC317">
        <v>0.1782336018013341</v>
      </c>
      <c r="AD317">
        <v>1.0484329517725535</v>
      </c>
      <c r="AE317">
        <v>0.14907168635175699</v>
      </c>
      <c r="AF317">
        <v>0.876892272657394</v>
      </c>
      <c r="AG317">
        <v>0.22539483460015763</v>
      </c>
      <c r="AH317">
        <v>1.3258519682362213</v>
      </c>
      <c r="AI317">
        <v>0.17555386359826985</v>
      </c>
      <c r="AJ317">
        <v>1.0326697858721756</v>
      </c>
      <c r="AK317">
        <v>0.19436741122454074</v>
      </c>
      <c r="AL317">
        <v>1.1433377130855336</v>
      </c>
      <c r="AM317">
        <v>0.18293908078479151</v>
      </c>
      <c r="AN317">
        <v>1.0761122399105383</v>
      </c>
      <c r="AO317">
        <v>0.25009363270656343</v>
      </c>
      <c r="AP317">
        <v>1.4711390159209612</v>
      </c>
      <c r="AQ317">
        <v>0.20212256733709555</v>
      </c>
      <c r="AR317">
        <v>1.188956278453503</v>
      </c>
    </row>
    <row r="318" spans="1:44" x14ac:dyDescent="0.3">
      <c r="A318" t="s">
        <v>81</v>
      </c>
      <c r="B318">
        <v>28.7</v>
      </c>
      <c r="C318">
        <v>2</v>
      </c>
      <c r="D318">
        <v>50.6</v>
      </c>
      <c r="E318">
        <v>2.8017146470593879</v>
      </c>
      <c r="F318">
        <v>38.200000000000003</v>
      </c>
      <c r="G318">
        <v>52.5</v>
      </c>
      <c r="H318">
        <v>0.10686066770303645</v>
      </c>
      <c r="I318">
        <v>179.49560032260422</v>
      </c>
      <c r="J318">
        <v>0.6</v>
      </c>
      <c r="K318">
        <v>44.592124795873644</v>
      </c>
      <c r="L318">
        <v>152.74032544508003</v>
      </c>
      <c r="M318">
        <v>0.15</v>
      </c>
      <c r="N318">
        <v>0.11532192168156596</v>
      </c>
      <c r="O318">
        <v>0.76881281121043976</v>
      </c>
      <c r="P318">
        <v>0.13588745970060442</v>
      </c>
      <c r="Q318">
        <v>0.90591639800402957</v>
      </c>
      <c r="R318">
        <v>0.13405833916930074</v>
      </c>
      <c r="S318">
        <v>0.89372226112867159</v>
      </c>
      <c r="T318">
        <v>0.16565003896528258</v>
      </c>
      <c r="U318">
        <v>0.19653619230075234</v>
      </c>
      <c r="V318">
        <v>1.1043335931018838</v>
      </c>
      <c r="W318">
        <v>9.3567981486954555E-2</v>
      </c>
      <c r="X318">
        <v>0.62378654324636373</v>
      </c>
      <c r="Y318">
        <v>0.19869517071652584</v>
      </c>
      <c r="Z318">
        <v>1.3246344714435057</v>
      </c>
      <c r="AA318">
        <v>0.12049491038352091</v>
      </c>
      <c r="AB318">
        <v>0.8032994025568061</v>
      </c>
      <c r="AC318">
        <v>0.14368961656953219</v>
      </c>
      <c r="AD318">
        <v>0.95793077713021468</v>
      </c>
      <c r="AE318">
        <v>0.12325566597115847</v>
      </c>
      <c r="AF318">
        <v>0.82170443980772323</v>
      </c>
      <c r="AG318">
        <v>0.18980320560508893</v>
      </c>
      <c r="AH318">
        <v>1.2653547040339261</v>
      </c>
      <c r="AI318">
        <v>0.13588745970060442</v>
      </c>
      <c r="AJ318">
        <v>0.90591639800402957</v>
      </c>
      <c r="AK318">
        <v>0.16105132485396154</v>
      </c>
      <c r="AL318">
        <v>1.0736754990264104</v>
      </c>
      <c r="AM318">
        <v>0.14200845295351075</v>
      </c>
      <c r="AN318">
        <v>0.94672301969007167</v>
      </c>
      <c r="AO318">
        <v>0.19184353171455634</v>
      </c>
      <c r="AP318">
        <v>1.2789568780970424</v>
      </c>
      <c r="AQ318">
        <v>0.15346522258282616</v>
      </c>
      <c r="AR318">
        <v>1.0231014838855077</v>
      </c>
    </row>
    <row r="319" spans="1:44" x14ac:dyDescent="0.3">
      <c r="B319">
        <v>28.7</v>
      </c>
      <c r="C319">
        <v>2</v>
      </c>
      <c r="D319">
        <v>50.6</v>
      </c>
      <c r="E319">
        <v>2.8017146470593879</v>
      </c>
      <c r="F319">
        <v>38.200000000000003</v>
      </c>
      <c r="G319">
        <v>52.5</v>
      </c>
      <c r="H319">
        <v>0.10686066770303645</v>
      </c>
      <c r="I319">
        <v>212.74254265148761</v>
      </c>
      <c r="J319">
        <v>0.55217694771861869</v>
      </c>
      <c r="K319">
        <v>44.592124795873644</v>
      </c>
      <c r="L319">
        <v>188.11979928941437</v>
      </c>
      <c r="M319">
        <v>0.16</v>
      </c>
      <c r="N319">
        <v>0.14042401091851497</v>
      </c>
      <c r="O319">
        <v>0.87765006824071856</v>
      </c>
      <c r="P319">
        <v>0.17011889417865081</v>
      </c>
      <c r="Q319">
        <v>1.0632430886165676</v>
      </c>
      <c r="R319">
        <v>0.16323877896527475</v>
      </c>
      <c r="S319">
        <v>1.0202423685329671</v>
      </c>
      <c r="T319">
        <v>0.19633244723800777</v>
      </c>
      <c r="U319">
        <v>0.27608550946880678</v>
      </c>
      <c r="V319">
        <v>1.2270777952375485</v>
      </c>
      <c r="W319">
        <v>0.11286124815037943</v>
      </c>
      <c r="X319">
        <v>0.70538280093987138</v>
      </c>
      <c r="Y319">
        <v>0.24111380217190154</v>
      </c>
      <c r="Z319">
        <v>1.5069612635743845</v>
      </c>
      <c r="AA319">
        <v>0.1428134927289646</v>
      </c>
      <c r="AB319">
        <v>0.89258432955602873</v>
      </c>
      <c r="AC319">
        <v>0.17793614753035483</v>
      </c>
      <c r="AD319">
        <v>1.1121009220647178</v>
      </c>
      <c r="AE319">
        <v>0.14891351993040874</v>
      </c>
      <c r="AF319">
        <v>0.93070949956505467</v>
      </c>
      <c r="AG319">
        <v>0.22495936664328742</v>
      </c>
      <c r="AH319">
        <v>1.4059960415205464</v>
      </c>
      <c r="AI319">
        <v>0.17401832817903171</v>
      </c>
      <c r="AJ319">
        <v>1.0876145511189481</v>
      </c>
      <c r="AK319">
        <v>0.19362913805657817</v>
      </c>
      <c r="AL319">
        <v>1.2101821128536134</v>
      </c>
      <c r="AM319">
        <v>0.18156980749840465</v>
      </c>
      <c r="AN319">
        <v>1.134811296865029</v>
      </c>
      <c r="AO319">
        <v>0.24595396894281762</v>
      </c>
      <c r="AP319">
        <v>1.5372123058926102</v>
      </c>
      <c r="AQ319">
        <v>0.19915314559544198</v>
      </c>
      <c r="AR319">
        <v>1.2447071599715123</v>
      </c>
    </row>
    <row r="320" spans="1:44" x14ac:dyDescent="0.3">
      <c r="B320">
        <v>28.7</v>
      </c>
      <c r="C320">
        <v>2</v>
      </c>
      <c r="D320">
        <v>50.6</v>
      </c>
      <c r="E320">
        <v>2.8017146470593879</v>
      </c>
      <c r="F320">
        <v>38.200000000000003</v>
      </c>
      <c r="G320">
        <v>52.5</v>
      </c>
      <c r="H320">
        <v>0.10686066770303645</v>
      </c>
      <c r="I320">
        <v>245.23171991304602</v>
      </c>
      <c r="J320">
        <v>0.4837872295830381</v>
      </c>
      <c r="K320">
        <v>44.592124795873644</v>
      </c>
      <c r="L320">
        <v>223.65861939682921</v>
      </c>
      <c r="M320">
        <v>0.22</v>
      </c>
      <c r="N320">
        <v>0.16495397276544804</v>
      </c>
      <c r="O320">
        <v>0.7497907852974911</v>
      </c>
      <c r="P320">
        <v>0.20357012502186989</v>
      </c>
      <c r="Q320">
        <v>0.92531875009940856</v>
      </c>
      <c r="R320">
        <v>0.19175413751233761</v>
      </c>
      <c r="S320">
        <v>0.87160971596517089</v>
      </c>
      <c r="T320">
        <v>0.22631554136206686</v>
      </c>
      <c r="U320">
        <v>0.36684973527969084</v>
      </c>
      <c r="V320">
        <v>1.0287070061912129</v>
      </c>
      <c r="W320">
        <v>0.13171478224027891</v>
      </c>
      <c r="X320">
        <v>0.59870355563763145</v>
      </c>
      <c r="Y320">
        <v>0.28189248945896062</v>
      </c>
      <c r="Z320">
        <v>1.2813294975407301</v>
      </c>
      <c r="AA320">
        <v>0.1646233894369053</v>
      </c>
      <c r="AB320">
        <v>0.74828813380411496</v>
      </c>
      <c r="AC320">
        <v>0.21140213077697068</v>
      </c>
      <c r="AD320">
        <v>0.96091877625895761</v>
      </c>
      <c r="AE320">
        <v>0.17398657949742538</v>
      </c>
      <c r="AF320">
        <v>0.79084808862466083</v>
      </c>
      <c r="AG320">
        <v>0.25931424765782329</v>
      </c>
      <c r="AH320">
        <v>1.1787011257173785</v>
      </c>
      <c r="AI320">
        <v>0.21304597414952567</v>
      </c>
      <c r="AJ320">
        <v>0.96839079158875307</v>
      </c>
      <c r="AK320">
        <v>0.22578113027322805</v>
      </c>
      <c r="AL320">
        <v>1.0262778648783093</v>
      </c>
      <c r="AM320">
        <v>0.21958766611318231</v>
      </c>
      <c r="AN320">
        <v>0.99812575505991963</v>
      </c>
      <c r="AO320">
        <v>0.30107951427423435</v>
      </c>
      <c r="AP320">
        <v>1.3685432467010652</v>
      </c>
      <c r="AQ320">
        <v>0.24627594738575637</v>
      </c>
      <c r="AR320">
        <v>1.1194361244807107</v>
      </c>
    </row>
    <row r="321" spans="1:44" x14ac:dyDescent="0.3">
      <c r="B321">
        <v>28.7</v>
      </c>
      <c r="C321">
        <v>2</v>
      </c>
      <c r="D321">
        <v>50.6</v>
      </c>
      <c r="E321">
        <v>2.8017146470593879</v>
      </c>
      <c r="F321">
        <v>38.200000000000003</v>
      </c>
      <c r="G321">
        <v>52.5</v>
      </c>
      <c r="H321">
        <v>0.10686066770303645</v>
      </c>
      <c r="I321">
        <v>275.8</v>
      </c>
      <c r="J321">
        <v>0.41944099999999995</v>
      </c>
      <c r="K321">
        <v>44.592124795873644</v>
      </c>
      <c r="L321">
        <v>257.09623458349398</v>
      </c>
      <c r="M321">
        <v>0.26</v>
      </c>
      <c r="N321">
        <v>0.18803361981907052</v>
      </c>
      <c r="O321">
        <v>0.72320623007334817</v>
      </c>
      <c r="P321">
        <v>0.23504357802551876</v>
      </c>
      <c r="Q321">
        <v>0.90401376163661062</v>
      </c>
      <c r="R321">
        <v>0.21858354780577408</v>
      </c>
      <c r="S321">
        <v>0.84070595309913099</v>
      </c>
      <c r="T321">
        <v>0.24087564876911222</v>
      </c>
      <c r="U321">
        <v>0.41557101380352907</v>
      </c>
      <c r="V321">
        <v>0.92644480295812393</v>
      </c>
      <c r="W321">
        <v>0.14945361588476436</v>
      </c>
      <c r="X321">
        <v>0.57482159955678602</v>
      </c>
      <c r="Y321">
        <v>0.31986477650834744</v>
      </c>
      <c r="Z321">
        <v>1.2302491404167208</v>
      </c>
      <c r="AA321">
        <v>0.18514379307374051</v>
      </c>
      <c r="AB321">
        <v>0.71209151182207886</v>
      </c>
      <c r="AC321">
        <v>0.24288946395971289</v>
      </c>
      <c r="AD321">
        <v>0.93419024599889566</v>
      </c>
      <c r="AE321">
        <v>0.19757721404354259</v>
      </c>
      <c r="AF321">
        <v>0.75991236170593301</v>
      </c>
      <c r="AG321">
        <v>0.29163792322374421</v>
      </c>
      <c r="AH321">
        <v>1.1216843200913238</v>
      </c>
      <c r="AI321">
        <v>0.2497661411010022</v>
      </c>
      <c r="AJ321">
        <v>0.96063900423462378</v>
      </c>
      <c r="AK321">
        <v>0.23504357802551876</v>
      </c>
      <c r="AL321">
        <v>0.90401376163661062</v>
      </c>
      <c r="AM321">
        <v>0.25484835043311971</v>
      </c>
      <c r="AN321">
        <v>0.98018596320430651</v>
      </c>
      <c r="AO321">
        <v>0.35497506248326305</v>
      </c>
      <c r="AP321">
        <v>1.3652887018587039</v>
      </c>
      <c r="AQ321">
        <v>0.29284750986810082</v>
      </c>
      <c r="AR321">
        <v>1.1263365764157725</v>
      </c>
    </row>
    <row r="322" spans="1:44" x14ac:dyDescent="0.3">
      <c r="A322" t="s">
        <v>82</v>
      </c>
      <c r="B322">
        <v>28.7</v>
      </c>
      <c r="C322">
        <v>2</v>
      </c>
      <c r="D322">
        <v>50.6</v>
      </c>
      <c r="E322">
        <v>2.524448068103379</v>
      </c>
      <c r="F322">
        <v>38.200000000000003</v>
      </c>
      <c r="G322">
        <v>52.5</v>
      </c>
      <c r="H322">
        <v>0.10809111803939714</v>
      </c>
      <c r="I322">
        <v>213.42811414487335</v>
      </c>
      <c r="J322">
        <v>0.55073381972504154</v>
      </c>
      <c r="K322">
        <v>40.795707998733043</v>
      </c>
      <c r="L322">
        <v>190.96053805034367</v>
      </c>
      <c r="M322">
        <v>0.17</v>
      </c>
      <c r="N322">
        <v>0.14185912001048881</v>
      </c>
      <c r="O322">
        <v>0.83446541182640466</v>
      </c>
      <c r="P322">
        <v>0.17532460989147633</v>
      </c>
      <c r="Q322">
        <v>1.031321234655743</v>
      </c>
      <c r="R322">
        <v>0.16534871114949398</v>
      </c>
      <c r="S322">
        <v>0.97263947734996448</v>
      </c>
      <c r="T322">
        <v>0.19633244723800777</v>
      </c>
      <c r="U322">
        <v>0.30640868611757599</v>
      </c>
      <c r="V322">
        <v>1.1548967484588692</v>
      </c>
      <c r="W322">
        <v>0.11325908664956805</v>
      </c>
      <c r="X322">
        <v>0.66622992146804727</v>
      </c>
      <c r="Y322">
        <v>0.23680189322140999</v>
      </c>
      <c r="Z322">
        <v>1.3929523130671175</v>
      </c>
      <c r="AA322">
        <v>0.1338903180944381</v>
      </c>
      <c r="AB322">
        <v>0.7875901064378712</v>
      </c>
      <c r="AC322">
        <v>0.17893772167263602</v>
      </c>
      <c r="AD322">
        <v>1.052574833368447</v>
      </c>
      <c r="AE322">
        <v>0.14944259996074388</v>
      </c>
      <c r="AF322">
        <v>0.87907411741614039</v>
      </c>
      <c r="AG322">
        <v>0.22642364307678967</v>
      </c>
      <c r="AH322">
        <v>1.3319037828046449</v>
      </c>
      <c r="AI322">
        <v>0.17899338062495485</v>
      </c>
      <c r="AJ322">
        <v>1.0529022389703226</v>
      </c>
      <c r="AK322">
        <v>0.19606887332991779</v>
      </c>
      <c r="AL322">
        <v>1.1533463137053988</v>
      </c>
      <c r="AM322">
        <v>0.18600341560866462</v>
      </c>
      <c r="AN322">
        <v>1.0941377388744977</v>
      </c>
      <c r="AO322">
        <v>0.25985455865404422</v>
      </c>
      <c r="AP322">
        <v>1.5285562273767306</v>
      </c>
      <c r="AQ322">
        <v>0.20899886940821327</v>
      </c>
      <c r="AR322">
        <v>1.2294051141659603</v>
      </c>
    </row>
    <row r="323" spans="1:44" x14ac:dyDescent="0.3">
      <c r="B323">
        <v>28.7</v>
      </c>
      <c r="C323">
        <v>2</v>
      </c>
      <c r="D323">
        <v>50.6</v>
      </c>
      <c r="E323">
        <v>2.524448068103379</v>
      </c>
      <c r="F323">
        <v>38.200000000000003</v>
      </c>
      <c r="G323">
        <v>52.5</v>
      </c>
      <c r="H323">
        <v>0.10809111803939714</v>
      </c>
      <c r="I323">
        <v>246.02198910110286</v>
      </c>
      <c r="J323">
        <v>0.48212371294217848</v>
      </c>
      <c r="K323">
        <v>40.795707998733043</v>
      </c>
      <c r="L323">
        <v>226.35341088864877</v>
      </c>
      <c r="M323">
        <v>0.2</v>
      </c>
      <c r="N323">
        <v>0.16632972890339826</v>
      </c>
      <c r="O323">
        <v>0.83164864451699128</v>
      </c>
      <c r="P323">
        <v>0.20892297403140542</v>
      </c>
      <c r="Q323">
        <v>1.044614870157027</v>
      </c>
      <c r="R323">
        <v>0.19387125972576283</v>
      </c>
      <c r="S323">
        <v>0.96935629862881412</v>
      </c>
      <c r="T323">
        <v>0.22631554136206686</v>
      </c>
      <c r="U323">
        <v>0.40714177866814372</v>
      </c>
      <c r="V323">
        <v>1.1315777068103343</v>
      </c>
      <c r="W323">
        <v>0.13217337701961968</v>
      </c>
      <c r="X323">
        <v>0.66086688509809832</v>
      </c>
      <c r="Y323">
        <v>0.27624802621346806</v>
      </c>
      <c r="Z323">
        <v>1.3812401310673401</v>
      </c>
      <c r="AA323">
        <v>0.15433750380520936</v>
      </c>
      <c r="AB323">
        <v>0.77168751902604671</v>
      </c>
      <c r="AC323">
        <v>0.21256706576086443</v>
      </c>
      <c r="AD323">
        <v>1.062835328804322</v>
      </c>
      <c r="AE323">
        <v>0.17459645848163627</v>
      </c>
      <c r="AF323">
        <v>0.87298229240818126</v>
      </c>
      <c r="AG323">
        <v>0.26100214244247927</v>
      </c>
      <c r="AH323">
        <v>1.3050107122123962</v>
      </c>
      <c r="AI323">
        <v>0.21770102562207574</v>
      </c>
      <c r="AJ323">
        <v>1.0885051281103786</v>
      </c>
      <c r="AK323">
        <v>0.22852085428135713</v>
      </c>
      <c r="AL323">
        <v>1.1426042714067857</v>
      </c>
      <c r="AM323">
        <v>0.22375801244190752</v>
      </c>
      <c r="AN323">
        <v>1.1187900622095375</v>
      </c>
      <c r="AO323">
        <v>0.31758142250733845</v>
      </c>
      <c r="AP323">
        <v>1.5879071125366921</v>
      </c>
      <c r="AQ323">
        <v>0.25772258281940352</v>
      </c>
      <c r="AR323">
        <v>1.2886129140970175</v>
      </c>
    </row>
    <row r="324" spans="1:44" x14ac:dyDescent="0.3">
      <c r="B324">
        <v>28.7</v>
      </c>
      <c r="C324">
        <v>2</v>
      </c>
      <c r="D324">
        <v>50.6</v>
      </c>
      <c r="E324">
        <v>2.524448068103379</v>
      </c>
      <c r="F324">
        <v>38.200000000000003</v>
      </c>
      <c r="G324">
        <v>52.5</v>
      </c>
      <c r="H324">
        <v>0.10809111803939714</v>
      </c>
      <c r="I324">
        <v>275.8</v>
      </c>
      <c r="J324">
        <v>0.41944099999999995</v>
      </c>
      <c r="K324">
        <v>40.795707998733043</v>
      </c>
      <c r="L324">
        <v>258.68860744130342</v>
      </c>
      <c r="M324">
        <v>0.24</v>
      </c>
      <c r="N324">
        <v>0.18868626243291151</v>
      </c>
      <c r="O324">
        <v>0.78619276013713135</v>
      </c>
      <c r="P324">
        <v>0.23961869385261392</v>
      </c>
      <c r="Q324">
        <v>0.99841122438589136</v>
      </c>
      <c r="R324">
        <v>0.21992967602358099</v>
      </c>
      <c r="S324">
        <v>0.91637365009825411</v>
      </c>
      <c r="T324">
        <v>0.24087564876911222</v>
      </c>
      <c r="U324">
        <v>0.46121423965018032</v>
      </c>
      <c r="V324">
        <v>1.0036485365379677</v>
      </c>
      <c r="W324">
        <v>0.14945361588476436</v>
      </c>
      <c r="X324">
        <v>0.62272339951985156</v>
      </c>
      <c r="Y324">
        <v>0.31197124703122414</v>
      </c>
      <c r="Z324">
        <v>1.2998801959634341</v>
      </c>
      <c r="AA324">
        <v>0.17301820745780613</v>
      </c>
      <c r="AB324">
        <v>0.72090919774085893</v>
      </c>
      <c r="AC324">
        <v>0.24329108909736039</v>
      </c>
      <c r="AD324">
        <v>1.0137128712390016</v>
      </c>
      <c r="AE324">
        <v>0.19757721404354259</v>
      </c>
      <c r="AF324">
        <v>0.82323839184809411</v>
      </c>
      <c r="AG324">
        <v>0.29259332122566395</v>
      </c>
      <c r="AH324">
        <v>1.2191388384402666</v>
      </c>
      <c r="AI324">
        <v>0.25306462311218059</v>
      </c>
      <c r="AJ324">
        <v>1.0544359296340857</v>
      </c>
      <c r="AK324">
        <v>0.23961869385261392</v>
      </c>
      <c r="AL324">
        <v>0.99841122438589136</v>
      </c>
      <c r="AM324">
        <v>0.25780518558381066</v>
      </c>
      <c r="AN324">
        <v>1.0741882732658778</v>
      </c>
      <c r="AO324">
        <v>0.37255055872376802</v>
      </c>
      <c r="AP324">
        <v>1.5522939946823668</v>
      </c>
      <c r="AQ324">
        <v>0.30454913395810018</v>
      </c>
      <c r="AR324">
        <v>1.2689547248254174</v>
      </c>
    </row>
    <row r="325" spans="1:44" x14ac:dyDescent="0.3">
      <c r="A325" t="s">
        <v>83</v>
      </c>
      <c r="B325">
        <v>32.299999999999997</v>
      </c>
      <c r="C325">
        <v>1</v>
      </c>
      <c r="D325">
        <v>60</v>
      </c>
      <c r="E325">
        <v>2.5382184533279259</v>
      </c>
      <c r="F325">
        <v>38.299999999999997</v>
      </c>
      <c r="G325">
        <v>54.4</v>
      </c>
      <c r="H325">
        <v>6.2449543908879294E-2</v>
      </c>
      <c r="I325">
        <v>170.80329915468195</v>
      </c>
      <c r="J325">
        <v>0.6</v>
      </c>
      <c r="K325">
        <v>58.132703956962601</v>
      </c>
      <c r="L325">
        <v>135.92367678050439</v>
      </c>
      <c r="M325">
        <v>0.17</v>
      </c>
      <c r="N325">
        <v>0.14970058886743554</v>
      </c>
      <c r="O325">
        <v>0.88059169922020897</v>
      </c>
      <c r="P325">
        <v>0.14301625345901725</v>
      </c>
      <c r="Q325">
        <v>0.84127207917068969</v>
      </c>
      <c r="R325">
        <v>0.14825670019601386</v>
      </c>
      <c r="S325">
        <v>0.87209823644714035</v>
      </c>
      <c r="T325">
        <v>0.22847111041694371</v>
      </c>
      <c r="U325">
        <v>0.21773757789137557</v>
      </c>
      <c r="V325">
        <v>1.2808092817139738</v>
      </c>
      <c r="W325">
        <v>0.15347113053949851</v>
      </c>
      <c r="X325">
        <v>0.90277135611469705</v>
      </c>
      <c r="Y325">
        <v>0.26298172547124665</v>
      </c>
      <c r="Z325">
        <v>1.5469513263014507</v>
      </c>
      <c r="AA325">
        <v>0.1685542387967677</v>
      </c>
      <c r="AB325">
        <v>0.99149552233392757</v>
      </c>
      <c r="AC325">
        <v>0.22357601941976377</v>
      </c>
      <c r="AD325">
        <v>1.315153055410375</v>
      </c>
      <c r="AE325">
        <v>0.11812811871419571</v>
      </c>
      <c r="AF325">
        <v>0.69487128655409236</v>
      </c>
      <c r="AG325">
        <v>0.23000080519711588</v>
      </c>
      <c r="AH325">
        <v>1.352945912924211</v>
      </c>
      <c r="AI325">
        <v>0.14301625345901725</v>
      </c>
      <c r="AJ325">
        <v>0.84127207917068969</v>
      </c>
      <c r="AK325">
        <v>0.19161592366703006</v>
      </c>
      <c r="AL325">
        <v>1.1271524921590004</v>
      </c>
      <c r="AM325">
        <v>0.15145443871388214</v>
      </c>
      <c r="AN325">
        <v>0.89090846302283611</v>
      </c>
      <c r="AO325">
        <v>0.19676267818426599</v>
      </c>
      <c r="AP325">
        <v>1.1574275187309764</v>
      </c>
      <c r="AQ325">
        <v>0.1527593610837176</v>
      </c>
      <c r="AR325">
        <v>0.89858447696304466</v>
      </c>
    </row>
    <row r="326" spans="1:44" x14ac:dyDescent="0.3">
      <c r="B326">
        <v>32.299999999999997</v>
      </c>
      <c r="C326">
        <v>1</v>
      </c>
      <c r="D326">
        <v>60</v>
      </c>
      <c r="E326">
        <v>2.5382184533279259</v>
      </c>
      <c r="F326">
        <v>38.299999999999997</v>
      </c>
      <c r="G326">
        <v>54.4</v>
      </c>
      <c r="H326">
        <v>6.2449543908879294E-2</v>
      </c>
      <c r="I326">
        <v>210.24200084790894</v>
      </c>
      <c r="J326">
        <v>0.55744058821515163</v>
      </c>
      <c r="K326">
        <v>58.132703956962601</v>
      </c>
      <c r="L326">
        <v>177.83647215960244</v>
      </c>
      <c r="M326">
        <v>0.23</v>
      </c>
      <c r="N326">
        <v>0.1931367068969474</v>
      </c>
      <c r="O326">
        <v>0.83972481259542342</v>
      </c>
      <c r="P326">
        <v>0.19605062531885634</v>
      </c>
      <c r="Q326">
        <v>0.85239402312546231</v>
      </c>
      <c r="R326">
        <v>0.19127386918044958</v>
      </c>
      <c r="S326">
        <v>0.83162551817586772</v>
      </c>
      <c r="T326">
        <v>0.28122538398102775</v>
      </c>
      <c r="U326">
        <v>0.32989811911981998</v>
      </c>
      <c r="V326">
        <v>1.222719060787077</v>
      </c>
      <c r="W326">
        <v>0.19550919357185076</v>
      </c>
      <c r="X326">
        <v>0.85003997205152504</v>
      </c>
      <c r="Y326">
        <v>0.345929168973655</v>
      </c>
      <c r="Z326">
        <v>1.5040398651028477</v>
      </c>
      <c r="AA326">
        <v>0.2074736295575664</v>
      </c>
      <c r="AB326">
        <v>0.90205925894594086</v>
      </c>
      <c r="AC326">
        <v>0.29098676511684257</v>
      </c>
      <c r="AD326">
        <v>1.265159848334098</v>
      </c>
      <c r="AE326">
        <v>0.14903793621080305</v>
      </c>
      <c r="AF326">
        <v>0.64799102700349154</v>
      </c>
      <c r="AG326">
        <v>0.28310828725550574</v>
      </c>
      <c r="AH326">
        <v>1.2309055967630684</v>
      </c>
      <c r="AI326">
        <v>0.20219818495855704</v>
      </c>
      <c r="AJ326">
        <v>0.87912254329807404</v>
      </c>
      <c r="AK326">
        <v>0.24077497473501525</v>
      </c>
      <c r="AL326">
        <v>1.0468477162391967</v>
      </c>
      <c r="AM326">
        <v>0.21590572362182917</v>
      </c>
      <c r="AN326">
        <v>0.93872053748621376</v>
      </c>
      <c r="AO326">
        <v>0.2784751586220634</v>
      </c>
      <c r="AP326">
        <v>1.2107615592263625</v>
      </c>
      <c r="AQ326">
        <v>0.21933091167458038</v>
      </c>
      <c r="AR326">
        <v>0.95361265945469731</v>
      </c>
    </row>
    <row r="327" spans="1:44" x14ac:dyDescent="0.3">
      <c r="B327">
        <v>32.299999999999997</v>
      </c>
      <c r="C327">
        <v>1</v>
      </c>
      <c r="D327">
        <v>60</v>
      </c>
      <c r="E327">
        <v>2.5382184533279259</v>
      </c>
      <c r="F327">
        <v>38.299999999999997</v>
      </c>
      <c r="G327">
        <v>54.4</v>
      </c>
      <c r="H327">
        <v>6.2449543908879294E-2</v>
      </c>
      <c r="I327">
        <v>245.13572204860782</v>
      </c>
      <c r="J327">
        <v>0.48398930508768057</v>
      </c>
      <c r="K327">
        <v>58.132703956962601</v>
      </c>
      <c r="L327">
        <v>217.00011505760963</v>
      </c>
      <c r="M327">
        <v>0.27</v>
      </c>
      <c r="N327">
        <v>0.23156717563681278</v>
      </c>
      <c r="O327">
        <v>0.85765620606226955</v>
      </c>
      <c r="P327">
        <v>0.2429732294178959</v>
      </c>
      <c r="Q327">
        <v>0.89990084969591067</v>
      </c>
      <c r="R327">
        <v>0.22933366924846324</v>
      </c>
      <c r="S327">
        <v>0.84938396017949347</v>
      </c>
      <c r="T327">
        <v>0.32790016877006856</v>
      </c>
      <c r="U327">
        <v>0.44849136211894347</v>
      </c>
      <c r="V327">
        <v>1.2144450695187723</v>
      </c>
      <c r="W327">
        <v>0.23270272145921067</v>
      </c>
      <c r="X327">
        <v>0.86186193133040978</v>
      </c>
      <c r="Y327">
        <v>0.41664491201212722</v>
      </c>
      <c r="Z327">
        <v>1.5431293037486193</v>
      </c>
      <c r="AA327">
        <v>0.24190788606712055</v>
      </c>
      <c r="AB327">
        <v>0.89595513358192791</v>
      </c>
      <c r="AC327">
        <v>0.35062898621686006</v>
      </c>
      <c r="AD327">
        <v>1.2986258748772594</v>
      </c>
      <c r="AE327">
        <v>0.176385655780292</v>
      </c>
      <c r="AF327">
        <v>0.65328020659367403</v>
      </c>
      <c r="AG327">
        <v>0.33009557621422969</v>
      </c>
      <c r="AH327">
        <v>1.2225762082008507</v>
      </c>
      <c r="AI327">
        <v>0.25973057252738196</v>
      </c>
      <c r="AJ327">
        <v>0.96196508343474796</v>
      </c>
      <c r="AK327">
        <v>0.28420837788544506</v>
      </c>
      <c r="AL327">
        <v>1.0526236217979446</v>
      </c>
      <c r="AM327">
        <v>0.27153217515663053</v>
      </c>
      <c r="AN327">
        <v>1.0056747228023353</v>
      </c>
      <c r="AO327">
        <v>0.35471690488254576</v>
      </c>
      <c r="AP327">
        <v>1.3137663143797991</v>
      </c>
      <c r="AQ327">
        <v>0.28176150855433235</v>
      </c>
      <c r="AR327">
        <v>1.0435611427938234</v>
      </c>
    </row>
    <row r="328" spans="1:44" x14ac:dyDescent="0.3">
      <c r="B328">
        <v>32.299999999999997</v>
      </c>
      <c r="C328">
        <v>1</v>
      </c>
      <c r="D328">
        <v>60</v>
      </c>
      <c r="E328">
        <v>2.5382184533279259</v>
      </c>
      <c r="F328">
        <v>38.299999999999997</v>
      </c>
      <c r="G328">
        <v>54.4</v>
      </c>
      <c r="H328">
        <v>6.2449543908879294E-2</v>
      </c>
      <c r="I328">
        <v>270.05980862053565</v>
      </c>
      <c r="J328">
        <v>0.43152410285377252</v>
      </c>
      <c r="K328">
        <v>58.132703956962601</v>
      </c>
      <c r="L328">
        <v>244.97414569904342</v>
      </c>
      <c r="M328">
        <v>0.31</v>
      </c>
      <c r="N328">
        <v>0.25901751045100241</v>
      </c>
      <c r="O328">
        <v>0.83554035629355616</v>
      </c>
      <c r="P328">
        <v>0.27648937520292433</v>
      </c>
      <c r="Q328">
        <v>0.89190121033201397</v>
      </c>
      <c r="R328">
        <v>0.25651924072561588</v>
      </c>
      <c r="S328">
        <v>0.82748142169553507</v>
      </c>
      <c r="T328">
        <v>0.35179931304132606</v>
      </c>
      <c r="U328">
        <v>0.51625084647407782</v>
      </c>
      <c r="V328">
        <v>1.134836493681697</v>
      </c>
      <c r="W328">
        <v>0.25926952709303924</v>
      </c>
      <c r="X328">
        <v>0.83635331320335238</v>
      </c>
      <c r="Y328">
        <v>0.46618450468262235</v>
      </c>
      <c r="Z328">
        <v>1.5038209828471689</v>
      </c>
      <c r="AA328">
        <v>0.26650378357394505</v>
      </c>
      <c r="AB328">
        <v>0.85968962443208086</v>
      </c>
      <c r="AC328">
        <v>0.39323057271687267</v>
      </c>
      <c r="AD328">
        <v>1.2684857184415248</v>
      </c>
      <c r="AE328">
        <v>0.19591974118706987</v>
      </c>
      <c r="AF328">
        <v>0.63199916511958021</v>
      </c>
      <c r="AG328">
        <v>0.36365792547046122</v>
      </c>
      <c r="AH328">
        <v>1.1730900821627781</v>
      </c>
      <c r="AI328">
        <v>0.30082513507654279</v>
      </c>
      <c r="AJ328">
        <v>0.97040366153723479</v>
      </c>
      <c r="AK328">
        <v>0.28420837788544506</v>
      </c>
      <c r="AL328">
        <v>0.91680121898530664</v>
      </c>
      <c r="AM328">
        <v>0.31056215287811384</v>
      </c>
      <c r="AN328">
        <v>1.0018133963810123</v>
      </c>
      <c r="AO328">
        <v>0.41144346336329496</v>
      </c>
      <c r="AP328">
        <v>1.3272369785912741</v>
      </c>
      <c r="AQ328">
        <v>0.3283843653746874</v>
      </c>
      <c r="AR328">
        <v>1.0593044044344755</v>
      </c>
    </row>
    <row r="329" spans="1:44" x14ac:dyDescent="0.3">
      <c r="B329">
        <v>32.299999999999997</v>
      </c>
      <c r="C329">
        <v>1</v>
      </c>
      <c r="D329">
        <v>60</v>
      </c>
      <c r="E329">
        <v>2.5382184533279259</v>
      </c>
      <c r="F329">
        <v>38.299999999999997</v>
      </c>
      <c r="G329">
        <v>54.4</v>
      </c>
      <c r="H329">
        <v>6.2449543908879294E-2</v>
      </c>
      <c r="I329">
        <v>275.8</v>
      </c>
      <c r="J329">
        <v>0.41944099999999995</v>
      </c>
      <c r="K329">
        <v>58.132703956962601</v>
      </c>
      <c r="L329">
        <v>251.41676051958765</v>
      </c>
      <c r="M329">
        <v>0.35</v>
      </c>
      <c r="N329">
        <v>0.26533951446142395</v>
      </c>
      <c r="O329">
        <v>0.75811289846121133</v>
      </c>
      <c r="P329">
        <v>0.28420837788544506</v>
      </c>
      <c r="Q329">
        <v>0.8120239368155574</v>
      </c>
      <c r="R329">
        <v>0.26278026788858222</v>
      </c>
      <c r="S329">
        <v>0.7508007653959492</v>
      </c>
      <c r="T329">
        <v>0.35179931304132606</v>
      </c>
      <c r="U329">
        <v>0.51625084647407782</v>
      </c>
      <c r="V329">
        <v>1.0051408944037887</v>
      </c>
      <c r="W329">
        <v>0.26538804815655409</v>
      </c>
      <c r="X329">
        <v>0.75825156616158318</v>
      </c>
      <c r="Y329">
        <v>0.47750637208371605</v>
      </c>
      <c r="Z329">
        <v>1.3643039202391889</v>
      </c>
      <c r="AA329">
        <v>0.27216839071737714</v>
      </c>
      <c r="AB329">
        <v>0.77762397347822043</v>
      </c>
      <c r="AC329">
        <v>0.40304201591151739</v>
      </c>
      <c r="AD329">
        <v>1.1515486168900497</v>
      </c>
      <c r="AE329">
        <v>0.20041857761720805</v>
      </c>
      <c r="AF329">
        <v>0.5726245074777373</v>
      </c>
      <c r="AG329">
        <v>0.37138756913540416</v>
      </c>
      <c r="AH329">
        <v>1.0611073403868692</v>
      </c>
      <c r="AI329">
        <v>0.31028950011984341</v>
      </c>
      <c r="AJ329">
        <v>0.88654142891383836</v>
      </c>
      <c r="AK329">
        <v>0.28420837788544506</v>
      </c>
      <c r="AL329">
        <v>0.8120239368155574</v>
      </c>
      <c r="AM329">
        <v>0.31947502184674198</v>
      </c>
      <c r="AN329">
        <v>0.91278577670497718</v>
      </c>
      <c r="AO329">
        <v>0.42477577036504233</v>
      </c>
      <c r="AP329">
        <v>1.2136450581858353</v>
      </c>
      <c r="AQ329">
        <v>0.33936155030147502</v>
      </c>
      <c r="AR329">
        <v>0.9696044294327858</v>
      </c>
    </row>
    <row r="330" spans="1:44" x14ac:dyDescent="0.3">
      <c r="A330" t="s">
        <v>84</v>
      </c>
      <c r="B330">
        <v>32.299999999999997</v>
      </c>
      <c r="C330">
        <v>1</v>
      </c>
      <c r="D330">
        <v>60</v>
      </c>
      <c r="E330">
        <v>2.8108695189494299</v>
      </c>
      <c r="F330">
        <v>38.299999999999997</v>
      </c>
      <c r="G330">
        <v>54.4</v>
      </c>
      <c r="H330">
        <v>6.1876058158272039E-2</v>
      </c>
      <c r="I330">
        <v>170.32772841920183</v>
      </c>
      <c r="J330">
        <v>0.6</v>
      </c>
      <c r="K330">
        <v>63.831146787425304</v>
      </c>
      <c r="L330">
        <v>132.02904034674665</v>
      </c>
      <c r="M330">
        <v>0.19</v>
      </c>
      <c r="N330">
        <v>0.1462902442091783</v>
      </c>
      <c r="O330">
        <v>0.76994865373251731</v>
      </c>
      <c r="P330">
        <v>0.13376906376903119</v>
      </c>
      <c r="Q330">
        <v>0.70404770404753259</v>
      </c>
      <c r="R330">
        <v>0.14454665868466784</v>
      </c>
      <c r="S330">
        <v>0.76077188781404126</v>
      </c>
      <c r="T330">
        <v>0.22847111041694371</v>
      </c>
      <c r="U330">
        <v>0.19661728673673062</v>
      </c>
      <c r="V330">
        <v>1.0348278249301612</v>
      </c>
      <c r="W330">
        <v>0.15296421546125979</v>
      </c>
      <c r="X330">
        <v>0.80507481821715676</v>
      </c>
      <c r="Y330">
        <v>0.26171918862096338</v>
      </c>
      <c r="Z330">
        <v>1.377469413794544</v>
      </c>
      <c r="AA330">
        <v>0.17961035688042348</v>
      </c>
      <c r="AB330">
        <v>0.94531766779170256</v>
      </c>
      <c r="AC330">
        <v>0.22253755040693848</v>
      </c>
      <c r="AD330">
        <v>1.1712502652996761</v>
      </c>
      <c r="AE330">
        <v>0.11775539334522286</v>
      </c>
      <c r="AF330">
        <v>0.61976522813275192</v>
      </c>
      <c r="AG330">
        <v>0.2287994576037834</v>
      </c>
      <c r="AH330">
        <v>1.2042076715988599</v>
      </c>
      <c r="AI330">
        <v>0.13376906376903119</v>
      </c>
      <c r="AJ330">
        <v>0.70404770404753259</v>
      </c>
      <c r="AK330">
        <v>0.1887292054096944</v>
      </c>
      <c r="AL330">
        <v>0.99331160741944424</v>
      </c>
      <c r="AM330">
        <v>0.14255364010142119</v>
      </c>
      <c r="AN330">
        <v>0.75028231632326936</v>
      </c>
      <c r="AO330">
        <v>0.1802724964975041</v>
      </c>
      <c r="AP330">
        <v>0.94880261314475844</v>
      </c>
      <c r="AQ330">
        <v>0.13999182792345324</v>
      </c>
      <c r="AR330">
        <v>0.7367990943339644</v>
      </c>
    </row>
    <row r="331" spans="1:44" x14ac:dyDescent="0.3">
      <c r="B331">
        <v>32.299999999999997</v>
      </c>
      <c r="C331">
        <v>1</v>
      </c>
      <c r="D331">
        <v>60</v>
      </c>
      <c r="E331">
        <v>2.8108695189494299</v>
      </c>
      <c r="F331">
        <v>38.299999999999997</v>
      </c>
      <c r="G331">
        <v>54.4</v>
      </c>
      <c r="H331">
        <v>6.1876058158272039E-2</v>
      </c>
      <c r="I331">
        <v>209.6566202172836</v>
      </c>
      <c r="J331">
        <v>0.55867281444261807</v>
      </c>
      <c r="K331">
        <v>63.831146787425304</v>
      </c>
      <c r="L331">
        <v>173.99589379245282</v>
      </c>
      <c r="M331">
        <v>0.24</v>
      </c>
      <c r="N331">
        <v>0.18986727219110969</v>
      </c>
      <c r="O331">
        <v>0.79111363412962377</v>
      </c>
      <c r="P331">
        <v>0.18662608236496789</v>
      </c>
      <c r="Q331">
        <v>0.77760867652069954</v>
      </c>
      <c r="R331">
        <v>0.18760430633743774</v>
      </c>
      <c r="S331">
        <v>0.78168460973932397</v>
      </c>
      <c r="T331">
        <v>0.28122538398102775</v>
      </c>
      <c r="U331">
        <v>0.29789838625489262</v>
      </c>
      <c r="V331">
        <v>1.1717724332542823</v>
      </c>
      <c r="W331">
        <v>0.19488523114936634</v>
      </c>
      <c r="X331">
        <v>0.81202179645569317</v>
      </c>
      <c r="Y331">
        <v>0.34905889897766634</v>
      </c>
      <c r="Z331">
        <v>1.4544120790736099</v>
      </c>
      <c r="AA331">
        <v>0.2210826195420835</v>
      </c>
      <c r="AB331">
        <v>0.92117758142534789</v>
      </c>
      <c r="AC331">
        <v>0.28969252461789963</v>
      </c>
      <c r="AD331">
        <v>1.2070521859079151</v>
      </c>
      <c r="AE331">
        <v>0.14857914807423045</v>
      </c>
      <c r="AF331">
        <v>0.61907978364262695</v>
      </c>
      <c r="AG331">
        <v>0.28162954695607328</v>
      </c>
      <c r="AH331">
        <v>1.1734564456503054</v>
      </c>
      <c r="AI331">
        <v>0.19317967998297644</v>
      </c>
      <c r="AJ331">
        <v>0.80491533326240183</v>
      </c>
      <c r="AK331">
        <v>0.23720372143490007</v>
      </c>
      <c r="AL331">
        <v>0.98834883931208362</v>
      </c>
      <c r="AM331">
        <v>0.20798206100971242</v>
      </c>
      <c r="AN331">
        <v>0.86659192087380177</v>
      </c>
      <c r="AO331">
        <v>0.25880299300728993</v>
      </c>
      <c r="AP331">
        <v>1.0783458041970415</v>
      </c>
      <c r="AQ331">
        <v>0.20476841073798219</v>
      </c>
      <c r="AR331">
        <v>0.85320171140825918</v>
      </c>
    </row>
    <row r="332" spans="1:44" x14ac:dyDescent="0.3">
      <c r="B332">
        <v>32.299999999999997</v>
      </c>
      <c r="C332">
        <v>1</v>
      </c>
      <c r="D332">
        <v>60</v>
      </c>
      <c r="E332">
        <v>2.8108695189494299</v>
      </c>
      <c r="F332">
        <v>38.299999999999997</v>
      </c>
      <c r="G332">
        <v>54.4</v>
      </c>
      <c r="H332">
        <v>6.1876058158272039E-2</v>
      </c>
      <c r="I332">
        <v>244.45318619476859</v>
      </c>
      <c r="J332">
        <v>0.48542604306001214</v>
      </c>
      <c r="K332">
        <v>63.831146787425304</v>
      </c>
      <c r="L332">
        <v>213.46788518576591</v>
      </c>
      <c r="M332">
        <v>0.28999999999999998</v>
      </c>
      <c r="N332">
        <v>0.22842241218999326</v>
      </c>
      <c r="O332">
        <v>0.78766349031032168</v>
      </c>
      <c r="P332">
        <v>0.23339177168033196</v>
      </c>
      <c r="Q332">
        <v>0.8047992126907999</v>
      </c>
      <c r="R332">
        <v>0.22569992024583641</v>
      </c>
      <c r="S332">
        <v>0.77827558705460831</v>
      </c>
      <c r="T332">
        <v>0.32790016877006856</v>
      </c>
      <c r="U332">
        <v>0.40498822297306353</v>
      </c>
      <c r="V332">
        <v>1.1306902371381675</v>
      </c>
      <c r="W332">
        <v>0.23197520041988443</v>
      </c>
      <c r="X332">
        <v>0.79991448420649802</v>
      </c>
      <c r="Y332">
        <v>0.42309747121196362</v>
      </c>
      <c r="Z332">
        <v>1.4589567972826332</v>
      </c>
      <c r="AA332">
        <v>0.25777555081894249</v>
      </c>
      <c r="AB332">
        <v>0.88888120972049145</v>
      </c>
      <c r="AC332">
        <v>0.34910844975622213</v>
      </c>
      <c r="AD332">
        <v>1.2038222405386971</v>
      </c>
      <c r="AE332">
        <v>0.17585072289022971</v>
      </c>
      <c r="AF332">
        <v>0.60638180306975764</v>
      </c>
      <c r="AG332">
        <v>0.32837141039787621</v>
      </c>
      <c r="AH332">
        <v>1.1323152082685388</v>
      </c>
      <c r="AI332">
        <v>0.25156072272697783</v>
      </c>
      <c r="AJ332">
        <v>0.86745076802406151</v>
      </c>
      <c r="AK332">
        <v>0.27552108284254723</v>
      </c>
      <c r="AL332">
        <v>0.95007269945705952</v>
      </c>
      <c r="AM332">
        <v>0.26433571913599346</v>
      </c>
      <c r="AN332">
        <v>0.91150247977928789</v>
      </c>
      <c r="AO332">
        <v>0.3317304273775733</v>
      </c>
      <c r="AP332">
        <v>1.143898025439908</v>
      </c>
      <c r="AQ332">
        <v>0.26535915539642302</v>
      </c>
      <c r="AR332">
        <v>0.91503157033249327</v>
      </c>
    </row>
    <row r="333" spans="1:44" x14ac:dyDescent="0.3">
      <c r="B333">
        <v>32.299999999999997</v>
      </c>
      <c r="C333">
        <v>1</v>
      </c>
      <c r="D333">
        <v>60</v>
      </c>
      <c r="E333">
        <v>2.8108695189494299</v>
      </c>
      <c r="F333">
        <v>38.299999999999997</v>
      </c>
      <c r="G333">
        <v>54.4</v>
      </c>
      <c r="H333">
        <v>6.1876058158272039E-2</v>
      </c>
      <c r="I333">
        <v>269.30787617868646</v>
      </c>
      <c r="J333">
        <v>0.43310692064386502</v>
      </c>
      <c r="K333">
        <v>63.831146787425304</v>
      </c>
      <c r="L333">
        <v>241.66216475241814</v>
      </c>
      <c r="M333">
        <v>0.36</v>
      </c>
      <c r="N333">
        <v>0.2559617979034815</v>
      </c>
      <c r="O333">
        <v>0.71100499417633756</v>
      </c>
      <c r="P333">
        <v>0.26679583547702057</v>
      </c>
      <c r="Q333">
        <v>0.74109954299172387</v>
      </c>
      <c r="R333">
        <v>0.25291107303754973</v>
      </c>
      <c r="S333">
        <v>0.70253075843763813</v>
      </c>
      <c r="T333">
        <v>0.35179931304132606</v>
      </c>
      <c r="U333">
        <v>0.46617511635915998</v>
      </c>
      <c r="V333">
        <v>0.97722031400368348</v>
      </c>
      <c r="W333">
        <v>0.25846803561311166</v>
      </c>
      <c r="X333">
        <v>0.71796676559197681</v>
      </c>
      <c r="Y333">
        <v>0.47480573981978902</v>
      </c>
      <c r="Z333">
        <v>1.3189048328327473</v>
      </c>
      <c r="AA333">
        <v>0.28398478744527039</v>
      </c>
      <c r="AB333">
        <v>0.78884663179241776</v>
      </c>
      <c r="AC333">
        <v>0.39154839628359539</v>
      </c>
      <c r="AD333">
        <v>1.0876344341210984</v>
      </c>
      <c r="AE333">
        <v>0.1953304191873721</v>
      </c>
      <c r="AF333">
        <v>0.54258449774270023</v>
      </c>
      <c r="AG333">
        <v>0.36175845571344972</v>
      </c>
      <c r="AH333">
        <v>1.004884599204027</v>
      </c>
      <c r="AI333">
        <v>0.29326146754412169</v>
      </c>
      <c r="AJ333">
        <v>0.81461518762256024</v>
      </c>
      <c r="AK333">
        <v>0.27552108284254723</v>
      </c>
      <c r="AL333">
        <v>0.76533634122929783</v>
      </c>
      <c r="AM333">
        <v>0.303815737138803</v>
      </c>
      <c r="AN333">
        <v>0.84393260316334173</v>
      </c>
      <c r="AO333">
        <v>0.38580277576223521</v>
      </c>
      <c r="AP333">
        <v>1.0716743771173201</v>
      </c>
      <c r="AQ333">
        <v>0.31052312974431157</v>
      </c>
      <c r="AR333">
        <v>0.86256424928975439</v>
      </c>
    </row>
    <row r="334" spans="1:44" x14ac:dyDescent="0.3">
      <c r="B334">
        <v>32.299999999999997</v>
      </c>
      <c r="C334">
        <v>1</v>
      </c>
      <c r="D334">
        <v>60</v>
      </c>
      <c r="E334">
        <v>2.8108695189494299</v>
      </c>
      <c r="F334">
        <v>38.299999999999997</v>
      </c>
      <c r="G334">
        <v>54.4</v>
      </c>
      <c r="H334">
        <v>6.1876058158272039E-2</v>
      </c>
      <c r="I334">
        <v>275.8</v>
      </c>
      <c r="J334">
        <v>0.41944099999999995</v>
      </c>
      <c r="K334">
        <v>63.831146787425304</v>
      </c>
      <c r="L334">
        <v>249.02659996033555</v>
      </c>
      <c r="M334">
        <v>0.42</v>
      </c>
      <c r="N334">
        <v>0.26315517276072437</v>
      </c>
      <c r="O334">
        <v>0.62655993514458186</v>
      </c>
      <c r="P334">
        <v>0.27552108284254723</v>
      </c>
      <c r="Q334">
        <v>0.65600257819654106</v>
      </c>
      <c r="R334">
        <v>0.26001871241501895</v>
      </c>
      <c r="S334">
        <v>0.61909217241671177</v>
      </c>
      <c r="T334">
        <v>0.35179931304132606</v>
      </c>
      <c r="U334">
        <v>0.46617511635915998</v>
      </c>
      <c r="V334">
        <v>0.83761741200315731</v>
      </c>
      <c r="W334">
        <v>0.26538804815655409</v>
      </c>
      <c r="X334">
        <v>0.63187630513465265</v>
      </c>
      <c r="Y334">
        <v>0.48818935079021153</v>
      </c>
      <c r="Z334">
        <v>1.1623555971195514</v>
      </c>
      <c r="AA334">
        <v>0.29083072314393826</v>
      </c>
      <c r="AB334">
        <v>0.69245410272366259</v>
      </c>
      <c r="AC334">
        <v>0.40263384486508691</v>
      </c>
      <c r="AD334">
        <v>0.9586520115835403</v>
      </c>
      <c r="AE334">
        <v>0.20041857761720805</v>
      </c>
      <c r="AF334">
        <v>0.47718708956478106</v>
      </c>
      <c r="AG334">
        <v>0.37047925779775492</v>
      </c>
      <c r="AH334">
        <v>0.88209347094703561</v>
      </c>
      <c r="AI334">
        <v>0.30415383429538956</v>
      </c>
      <c r="AJ334">
        <v>0.72417579594140369</v>
      </c>
      <c r="AK334">
        <v>0.27552108284254723</v>
      </c>
      <c r="AL334">
        <v>0.65600257819654106</v>
      </c>
      <c r="AM334">
        <v>0.31403102749341161</v>
      </c>
      <c r="AN334">
        <v>0.74769292260336095</v>
      </c>
      <c r="AO334">
        <v>0.40019860627022835</v>
      </c>
      <c r="AP334">
        <v>0.95285382445292466</v>
      </c>
      <c r="AQ334">
        <v>0.32257882534633731</v>
      </c>
      <c r="AR334">
        <v>0.76804482225318405</v>
      </c>
    </row>
    <row r="335" spans="1:44" x14ac:dyDescent="0.3">
      <c r="A335" t="s">
        <v>85</v>
      </c>
      <c r="B335">
        <v>28.7</v>
      </c>
      <c r="C335">
        <v>2</v>
      </c>
      <c r="D335">
        <v>50.6</v>
      </c>
      <c r="E335">
        <v>2.5765786179080412</v>
      </c>
      <c r="F335">
        <v>38</v>
      </c>
      <c r="G335">
        <v>52.3</v>
      </c>
      <c r="H335">
        <v>6.5570477718494391E-2</v>
      </c>
      <c r="I335">
        <v>183.23030547751344</v>
      </c>
      <c r="J335">
        <v>0.6</v>
      </c>
      <c r="K335">
        <v>56.914849504467107</v>
      </c>
      <c r="L335">
        <v>149.08139577483317</v>
      </c>
      <c r="M335">
        <v>0.18</v>
      </c>
      <c r="N335">
        <v>0.14727937002686645</v>
      </c>
      <c r="O335">
        <v>0.8182187223714803</v>
      </c>
      <c r="P335">
        <v>0.14859881244269194</v>
      </c>
      <c r="Q335">
        <v>0.8255489580149552</v>
      </c>
      <c r="R335">
        <v>0.15177118672558929</v>
      </c>
      <c r="S335">
        <v>0.84317325958660716</v>
      </c>
      <c r="T335">
        <v>0.16772641499721716</v>
      </c>
      <c r="U335">
        <v>0.21934168126914827</v>
      </c>
      <c r="V335">
        <v>0.93181341665120643</v>
      </c>
      <c r="W335">
        <v>8.9952928665751525E-2</v>
      </c>
      <c r="X335">
        <v>0.49973849258750846</v>
      </c>
      <c r="Y335">
        <v>0.20006381289119135</v>
      </c>
      <c r="Z335">
        <v>1.1114656271732852</v>
      </c>
      <c r="AA335">
        <v>0.10183915137741281</v>
      </c>
      <c r="AB335">
        <v>0.56577306320784893</v>
      </c>
      <c r="AC335">
        <v>0.1458097209142393</v>
      </c>
      <c r="AD335">
        <v>0.8100540050791073</v>
      </c>
      <c r="AE335">
        <v>0.1488477867597594</v>
      </c>
      <c r="AF335">
        <v>0.82693214866533005</v>
      </c>
      <c r="AG335">
        <v>0.17407114613167057</v>
      </c>
      <c r="AH335">
        <v>0.96706192295372539</v>
      </c>
      <c r="AI335">
        <v>0.14859881244269194</v>
      </c>
      <c r="AJ335">
        <v>0.8255489580149552</v>
      </c>
      <c r="AK335">
        <v>0.17190685644409656</v>
      </c>
      <c r="AL335">
        <v>0.95503809135609208</v>
      </c>
      <c r="AM335">
        <v>0.15520605412914673</v>
      </c>
      <c r="AN335">
        <v>0.86225585627303747</v>
      </c>
      <c r="AO335">
        <v>0.21204954402259563</v>
      </c>
      <c r="AP335">
        <v>1.1780530223477534</v>
      </c>
      <c r="AQ335">
        <v>0.17000808964217681</v>
      </c>
      <c r="AR335">
        <v>0.94448938690098228</v>
      </c>
    </row>
    <row r="336" spans="1:44" x14ac:dyDescent="0.3">
      <c r="B336">
        <v>28.7</v>
      </c>
      <c r="C336">
        <v>2</v>
      </c>
      <c r="D336">
        <v>50.6</v>
      </c>
      <c r="E336">
        <v>2.5765786179080412</v>
      </c>
      <c r="F336">
        <v>38</v>
      </c>
      <c r="G336">
        <v>52.3</v>
      </c>
      <c r="H336">
        <v>6.5570477718494391E-2</v>
      </c>
      <c r="I336">
        <v>219.890332297519</v>
      </c>
      <c r="J336">
        <v>0.53713085051372256</v>
      </c>
      <c r="K336">
        <v>56.914849504467107</v>
      </c>
      <c r="L336">
        <v>189.31961077632405</v>
      </c>
      <c r="M336">
        <v>0.22</v>
      </c>
      <c r="N336">
        <v>0.18349626769646762</v>
      </c>
      <c r="O336">
        <v>0.8340739440748528</v>
      </c>
      <c r="P336">
        <v>0.18772668752404406</v>
      </c>
      <c r="Q336">
        <v>0.85330312510929118</v>
      </c>
      <c r="R336">
        <v>0.18909264958784833</v>
      </c>
      <c r="S336">
        <v>0.85951204358112876</v>
      </c>
      <c r="T336">
        <v>0.2012844820221939</v>
      </c>
      <c r="U336">
        <v>0.315892145780101</v>
      </c>
      <c r="V336">
        <v>0.91492946373724504</v>
      </c>
      <c r="W336">
        <v>0.11114577166126324</v>
      </c>
      <c r="X336">
        <v>0.50520805300574201</v>
      </c>
      <c r="Y336">
        <v>0.24516561497104716</v>
      </c>
      <c r="Z336">
        <v>1.1143891589593053</v>
      </c>
      <c r="AA336">
        <v>0.12221474378333573</v>
      </c>
      <c r="AB336">
        <v>0.55552156265152608</v>
      </c>
      <c r="AC336">
        <v>0.1831299532597099</v>
      </c>
      <c r="AD336">
        <v>0.83240887845322686</v>
      </c>
      <c r="AE336">
        <v>0.18231449146175616</v>
      </c>
      <c r="AF336">
        <v>0.82870223391707343</v>
      </c>
      <c r="AG336">
        <v>0.20889864297585009</v>
      </c>
      <c r="AH336">
        <v>0.94953928625386408</v>
      </c>
      <c r="AI336">
        <v>0.19264787851086454</v>
      </c>
      <c r="AJ336">
        <v>0.87567217504938422</v>
      </c>
      <c r="AK336">
        <v>0.20939486067139881</v>
      </c>
      <c r="AL336">
        <v>0.95179482123363102</v>
      </c>
      <c r="AM336">
        <v>0.1998386776803725</v>
      </c>
      <c r="AN336">
        <v>0.908357625819875</v>
      </c>
      <c r="AO336">
        <v>0.27547273388042826</v>
      </c>
      <c r="AP336">
        <v>1.252148790365583</v>
      </c>
      <c r="AQ336">
        <v>0.22331097800803851</v>
      </c>
      <c r="AR336">
        <v>1.0150499000365387</v>
      </c>
    </row>
    <row r="337" spans="1:44" x14ac:dyDescent="0.3">
      <c r="B337">
        <v>28.7</v>
      </c>
      <c r="C337">
        <v>2</v>
      </c>
      <c r="D337">
        <v>50.6</v>
      </c>
      <c r="E337">
        <v>2.5765786179080412</v>
      </c>
      <c r="F337">
        <v>38</v>
      </c>
      <c r="G337">
        <v>52.3</v>
      </c>
      <c r="H337">
        <v>6.5570477718494391E-2</v>
      </c>
      <c r="I337">
        <v>248.170924415809</v>
      </c>
      <c r="J337">
        <v>0.47760020410472204</v>
      </c>
      <c r="K337">
        <v>56.914849504467107</v>
      </c>
      <c r="L337">
        <v>220.98838067588596</v>
      </c>
      <c r="M337">
        <v>0.27</v>
      </c>
      <c r="N337">
        <v>0.2114350173273028</v>
      </c>
      <c r="O337">
        <v>0.78309265676778805</v>
      </c>
      <c r="P337">
        <v>0.21791104830108718</v>
      </c>
      <c r="Q337">
        <v>0.80707795667069315</v>
      </c>
      <c r="R337">
        <v>0.21788349236730525</v>
      </c>
      <c r="S337">
        <v>0.80697589765668609</v>
      </c>
      <c r="T337">
        <v>0.22717213372717598</v>
      </c>
      <c r="U337">
        <v>0.40237255763655966</v>
      </c>
      <c r="V337">
        <v>0.84137827306361468</v>
      </c>
      <c r="W337">
        <v>0.12749453625780086</v>
      </c>
      <c r="X337">
        <v>0.47220198614000314</v>
      </c>
      <c r="Y337">
        <v>0.27949289471853267</v>
      </c>
      <c r="Z337">
        <v>1.0351588693278988</v>
      </c>
      <c r="AA337">
        <v>0.1379330579250477</v>
      </c>
      <c r="AB337">
        <v>0.51086317750017662</v>
      </c>
      <c r="AC337">
        <v>0.21191984678335865</v>
      </c>
      <c r="AD337">
        <v>0.78488832141984677</v>
      </c>
      <c r="AE337">
        <v>0.20813166366043934</v>
      </c>
      <c r="AF337">
        <v>0.77085801355718264</v>
      </c>
      <c r="AG337">
        <v>0.23576556911278856</v>
      </c>
      <c r="AH337">
        <v>0.87320581152884647</v>
      </c>
      <c r="AI337">
        <v>0.22749210319479113</v>
      </c>
      <c r="AJ337">
        <v>0.84256334516589304</v>
      </c>
      <c r="AK337">
        <v>0.23855554940633925</v>
      </c>
      <c r="AL337">
        <v>0.88353907187533043</v>
      </c>
      <c r="AM337">
        <v>0.23375097908675285</v>
      </c>
      <c r="AN337">
        <v>0.86574436698797352</v>
      </c>
      <c r="AO337">
        <v>0.32656044432005815</v>
      </c>
      <c r="AP337">
        <v>1.2094831271113264</v>
      </c>
      <c r="AQ337">
        <v>0.26668390997187069</v>
      </c>
      <c r="AR337">
        <v>0.98771818508100251</v>
      </c>
    </row>
    <row r="338" spans="1:44" x14ac:dyDescent="0.3">
      <c r="B338">
        <v>28.7</v>
      </c>
      <c r="C338">
        <v>2</v>
      </c>
      <c r="D338">
        <v>50.6</v>
      </c>
      <c r="E338">
        <v>2.5765786179080412</v>
      </c>
      <c r="F338">
        <v>38</v>
      </c>
      <c r="G338">
        <v>52.3</v>
      </c>
      <c r="H338">
        <v>6.5570477718494391E-2</v>
      </c>
      <c r="I338">
        <v>275.8</v>
      </c>
      <c r="J338">
        <v>0.41944099999999995</v>
      </c>
      <c r="K338">
        <v>56.914849504467107</v>
      </c>
      <c r="L338">
        <v>251.92757860899684</v>
      </c>
      <c r="M338">
        <v>0.32</v>
      </c>
      <c r="N338">
        <v>0.23873012564927132</v>
      </c>
      <c r="O338">
        <v>0.74603164265397282</v>
      </c>
      <c r="P338">
        <v>0.24740003431245361</v>
      </c>
      <c r="Q338">
        <v>0.77312510722641747</v>
      </c>
      <c r="R338">
        <v>0.24601106366987791</v>
      </c>
      <c r="S338">
        <v>0.76878457396836841</v>
      </c>
      <c r="T338">
        <v>0.24074304834434068</v>
      </c>
      <c r="U338">
        <v>0.45188273634436449</v>
      </c>
      <c r="V338">
        <v>0.75232202607606458</v>
      </c>
      <c r="W338">
        <v>0.14346666480647272</v>
      </c>
      <c r="X338">
        <v>0.44833332752022725</v>
      </c>
      <c r="Y338">
        <v>0.31276921666169732</v>
      </c>
      <c r="Z338">
        <v>0.97740380206780408</v>
      </c>
      <c r="AA338">
        <v>0.15328926007459723</v>
      </c>
      <c r="AB338">
        <v>0.47902893773311633</v>
      </c>
      <c r="AC338">
        <v>0.24004649069868414</v>
      </c>
      <c r="AD338">
        <v>0.75014528343338793</v>
      </c>
      <c r="AE338">
        <v>0.23335407056988219</v>
      </c>
      <c r="AF338">
        <v>0.72923147053088189</v>
      </c>
      <c r="AG338">
        <v>0.26201354616530137</v>
      </c>
      <c r="AH338">
        <v>0.81879233176656674</v>
      </c>
      <c r="AI338">
        <v>0.26153360110395696</v>
      </c>
      <c r="AJ338">
        <v>0.81729250344986548</v>
      </c>
      <c r="AK338">
        <v>0.24740003431245361</v>
      </c>
      <c r="AL338">
        <v>0.77312510722641747</v>
      </c>
      <c r="AM338">
        <v>0.26649663528918766</v>
      </c>
      <c r="AN338">
        <v>0.83280198527871141</v>
      </c>
      <c r="AO338">
        <v>0.37828904739902702</v>
      </c>
      <c r="AP338">
        <v>1.1821532731219595</v>
      </c>
      <c r="AQ338">
        <v>0.31095310755361749</v>
      </c>
      <c r="AR338">
        <v>0.97172846110505462</v>
      </c>
    </row>
    <row r="339" spans="1:44" x14ac:dyDescent="0.3">
      <c r="A339" t="s">
        <v>86</v>
      </c>
      <c r="B339">
        <v>28.7</v>
      </c>
      <c r="C339">
        <v>2</v>
      </c>
      <c r="D339">
        <v>50.6</v>
      </c>
      <c r="E339">
        <v>2.5765786179080412</v>
      </c>
      <c r="F339">
        <v>38</v>
      </c>
      <c r="G339">
        <v>52.3</v>
      </c>
      <c r="H339">
        <v>6.5570477718494391E-2</v>
      </c>
      <c r="I339">
        <v>219.890332297519</v>
      </c>
      <c r="J339">
        <v>0.53713085051372256</v>
      </c>
      <c r="K339">
        <v>56.914849504467107</v>
      </c>
      <c r="L339">
        <v>189.31961077632405</v>
      </c>
      <c r="M339">
        <v>0.16</v>
      </c>
      <c r="N339">
        <v>0.18349626769646762</v>
      </c>
      <c r="O339">
        <v>1.1468516731029226</v>
      </c>
      <c r="P339">
        <v>0.18772668752404406</v>
      </c>
      <c r="Q339">
        <v>1.1732917970252754</v>
      </c>
      <c r="R339">
        <v>0.18909264958784833</v>
      </c>
      <c r="S339">
        <v>1.181829059924052</v>
      </c>
      <c r="T339">
        <v>0.2012844820221939</v>
      </c>
      <c r="U339">
        <v>0.315892145780101</v>
      </c>
      <c r="V339">
        <v>1.2580280126387118</v>
      </c>
      <c r="W339">
        <v>0.11114577166126324</v>
      </c>
      <c r="X339">
        <v>0.69466107288289525</v>
      </c>
      <c r="Y339">
        <v>0.24516561497104716</v>
      </c>
      <c r="Z339">
        <v>1.5322850935690446</v>
      </c>
      <c r="AA339">
        <v>0.12221474378333573</v>
      </c>
      <c r="AB339">
        <v>0.76384214864584832</v>
      </c>
      <c r="AC339">
        <v>0.1831299532597099</v>
      </c>
      <c r="AD339">
        <v>1.144562207873187</v>
      </c>
      <c r="AE339">
        <v>0.18231449146175616</v>
      </c>
      <c r="AF339">
        <v>1.1394655716359761</v>
      </c>
      <c r="AG339">
        <v>0.20889864297585009</v>
      </c>
      <c r="AH339">
        <v>1.3056165185990631</v>
      </c>
      <c r="AI339">
        <v>0.19264787851086454</v>
      </c>
      <c r="AJ339">
        <v>1.2040492406929033</v>
      </c>
      <c r="AK339">
        <v>0.20939486067139881</v>
      </c>
      <c r="AL339">
        <v>1.3087178791962426</v>
      </c>
      <c r="AM339">
        <v>0.1998386776803725</v>
      </c>
      <c r="AN339">
        <v>1.2489917355023281</v>
      </c>
      <c r="AO339">
        <v>0.27547273388042826</v>
      </c>
      <c r="AP339">
        <v>1.7217045867526766</v>
      </c>
      <c r="AQ339">
        <v>0.22331097800803851</v>
      </c>
      <c r="AR339">
        <v>1.3956936125502406</v>
      </c>
    </row>
    <row r="340" spans="1:44" x14ac:dyDescent="0.3">
      <c r="B340">
        <v>28.7</v>
      </c>
      <c r="C340">
        <v>2</v>
      </c>
      <c r="D340">
        <v>50.6</v>
      </c>
      <c r="E340">
        <v>2.5765786179080412</v>
      </c>
      <c r="F340">
        <v>38</v>
      </c>
      <c r="G340">
        <v>52.3</v>
      </c>
      <c r="H340">
        <v>6.5570477718494391E-2</v>
      </c>
      <c r="I340">
        <v>248.170924415809</v>
      </c>
      <c r="J340">
        <v>0.47760020410472204</v>
      </c>
      <c r="K340">
        <v>56.914849504467107</v>
      </c>
      <c r="L340">
        <v>220.98838067588596</v>
      </c>
      <c r="M340">
        <v>0.19</v>
      </c>
      <c r="N340">
        <v>0.2114350173273028</v>
      </c>
      <c r="O340">
        <v>1.1128158806700148</v>
      </c>
      <c r="P340">
        <v>0.21791104830108718</v>
      </c>
      <c r="Q340">
        <v>1.1469002542162483</v>
      </c>
      <c r="R340">
        <v>0.21788349236730525</v>
      </c>
      <c r="S340">
        <v>1.1467552229858171</v>
      </c>
      <c r="T340">
        <v>0.22717213372717598</v>
      </c>
      <c r="U340">
        <v>0.40237255763655966</v>
      </c>
      <c r="V340">
        <v>1.1956428090903999</v>
      </c>
      <c r="W340">
        <v>0.12749453625780086</v>
      </c>
      <c r="X340">
        <v>0.67102387504105709</v>
      </c>
      <c r="Y340">
        <v>0.27949289471853267</v>
      </c>
      <c r="Z340">
        <v>1.4710152353606982</v>
      </c>
      <c r="AA340">
        <v>0.1379330579250477</v>
      </c>
      <c r="AB340">
        <v>0.72596346276340895</v>
      </c>
      <c r="AC340">
        <v>0.21191984678335865</v>
      </c>
      <c r="AD340">
        <v>1.1153676146492559</v>
      </c>
      <c r="AE340">
        <v>0.20813166366043934</v>
      </c>
      <c r="AF340">
        <v>1.0954298087391543</v>
      </c>
      <c r="AG340">
        <v>0.23576556911278856</v>
      </c>
      <c r="AH340">
        <v>1.2408714163830976</v>
      </c>
      <c r="AI340">
        <v>0.22749210319479113</v>
      </c>
      <c r="AJ340">
        <v>1.1973268589199533</v>
      </c>
      <c r="AK340">
        <v>0.23855554940633925</v>
      </c>
      <c r="AL340">
        <v>1.2555555231912592</v>
      </c>
      <c r="AM340">
        <v>0.23375097908675285</v>
      </c>
      <c r="AN340">
        <v>1.2302683109829098</v>
      </c>
      <c r="AO340">
        <v>0.32656044432005815</v>
      </c>
      <c r="AP340">
        <v>1.718739180631885</v>
      </c>
      <c r="AQ340">
        <v>0.26668390997187069</v>
      </c>
      <c r="AR340">
        <v>1.4035995261677405</v>
      </c>
    </row>
    <row r="341" spans="1:44" x14ac:dyDescent="0.3">
      <c r="B341">
        <v>28.7</v>
      </c>
      <c r="C341">
        <v>2</v>
      </c>
      <c r="D341">
        <v>50.6</v>
      </c>
      <c r="E341">
        <v>2.5765786179080412</v>
      </c>
      <c r="F341">
        <v>38</v>
      </c>
      <c r="G341">
        <v>52.3</v>
      </c>
      <c r="H341">
        <v>6.5570477718494391E-2</v>
      </c>
      <c r="I341">
        <v>275.8</v>
      </c>
      <c r="J341">
        <v>0.41944099999999995</v>
      </c>
      <c r="K341">
        <v>56.914849504467107</v>
      </c>
      <c r="L341">
        <v>251.92757860899684</v>
      </c>
      <c r="M341">
        <v>0.22</v>
      </c>
      <c r="N341">
        <v>0.23873012564927132</v>
      </c>
      <c r="O341">
        <v>1.0851369347694151</v>
      </c>
      <c r="P341">
        <v>0.24740003431245361</v>
      </c>
      <c r="Q341">
        <v>1.1245456105111529</v>
      </c>
      <c r="R341">
        <v>0.24601106366987791</v>
      </c>
      <c r="S341">
        <v>1.1182321075903541</v>
      </c>
      <c r="T341">
        <v>0.24074304834434068</v>
      </c>
      <c r="U341">
        <v>0.45188273634436449</v>
      </c>
      <c r="V341">
        <v>1.0942865833833668</v>
      </c>
      <c r="W341">
        <v>0.14346666480647272</v>
      </c>
      <c r="X341">
        <v>0.65212120366578508</v>
      </c>
      <c r="Y341">
        <v>0.31276921666169732</v>
      </c>
      <c r="Z341">
        <v>1.4216782575531697</v>
      </c>
      <c r="AA341">
        <v>0.15328926007459723</v>
      </c>
      <c r="AB341">
        <v>0.69676936397544198</v>
      </c>
      <c r="AC341">
        <v>0.24004649069868414</v>
      </c>
      <c r="AD341">
        <v>1.0911204122667462</v>
      </c>
      <c r="AE341">
        <v>0.23335407056988219</v>
      </c>
      <c r="AF341">
        <v>1.0607003207721917</v>
      </c>
      <c r="AG341">
        <v>0.26201354616530137</v>
      </c>
      <c r="AH341">
        <v>1.1909706643877336</v>
      </c>
      <c r="AI341">
        <v>0.26153360110395696</v>
      </c>
      <c r="AJ341">
        <v>1.188789095927077</v>
      </c>
      <c r="AK341">
        <v>0.24740003431245361</v>
      </c>
      <c r="AL341">
        <v>1.1245456105111529</v>
      </c>
      <c r="AM341">
        <v>0.26649663528918766</v>
      </c>
      <c r="AN341">
        <v>1.2113483422235802</v>
      </c>
      <c r="AO341">
        <v>0.37828904739902702</v>
      </c>
      <c r="AP341">
        <v>1.7194956699955775</v>
      </c>
      <c r="AQ341">
        <v>0.31095310755361749</v>
      </c>
      <c r="AR341">
        <v>1.4134232161528069</v>
      </c>
    </row>
    <row r="342" spans="1:44" x14ac:dyDescent="0.3">
      <c r="A342" t="s">
        <v>87</v>
      </c>
      <c r="B342">
        <v>35.799999999999997</v>
      </c>
      <c r="C342">
        <v>2</v>
      </c>
      <c r="D342">
        <v>36.4</v>
      </c>
      <c r="E342">
        <v>2.5478355335404417</v>
      </c>
      <c r="F342">
        <v>38</v>
      </c>
      <c r="G342">
        <v>55.9</v>
      </c>
      <c r="H342">
        <v>0.1124434908513556</v>
      </c>
      <c r="I342">
        <v>184.08648071345613</v>
      </c>
      <c r="J342">
        <v>0.6</v>
      </c>
      <c r="K342">
        <v>40.18030487594767</v>
      </c>
      <c r="L342">
        <v>159.97829778788753</v>
      </c>
      <c r="M342">
        <v>0.17</v>
      </c>
      <c r="N342">
        <v>0.13153374465321868</v>
      </c>
      <c r="O342">
        <v>0.77372790972481575</v>
      </c>
      <c r="P342">
        <v>0.15062208841314156</v>
      </c>
      <c r="Q342">
        <v>0.88601228478318561</v>
      </c>
      <c r="R342">
        <v>0.14664007916519406</v>
      </c>
      <c r="S342">
        <v>0.86258870097172968</v>
      </c>
      <c r="T342">
        <v>0.17675156906293271</v>
      </c>
      <c r="U342">
        <v>0.28174342772628114</v>
      </c>
      <c r="V342">
        <v>1.0397151121348982</v>
      </c>
      <c r="W342">
        <v>8.1714692437448749E-2</v>
      </c>
      <c r="X342">
        <v>0.4806746613967573</v>
      </c>
      <c r="Y342">
        <v>0.20364208143183815</v>
      </c>
      <c r="Z342">
        <v>1.1978945966578713</v>
      </c>
      <c r="AA342">
        <v>0.10144079759014504</v>
      </c>
      <c r="AB342">
        <v>0.59671057405967665</v>
      </c>
      <c r="AC342">
        <v>0.16010003061435979</v>
      </c>
      <c r="AD342">
        <v>0.94176488596682217</v>
      </c>
      <c r="AE342">
        <v>0.15448442183399472</v>
      </c>
      <c r="AF342">
        <v>0.90873189314114533</v>
      </c>
      <c r="AG342">
        <v>0.18796088604883057</v>
      </c>
      <c r="AH342">
        <v>1.1056522708754739</v>
      </c>
      <c r="AI342">
        <v>0.15062208841314156</v>
      </c>
      <c r="AJ342">
        <v>0.88601228478318561</v>
      </c>
      <c r="AK342">
        <v>0.16533075182789314</v>
      </c>
      <c r="AL342">
        <v>0.97253383428172424</v>
      </c>
      <c r="AM342">
        <v>0.15538740700017759</v>
      </c>
      <c r="AN342">
        <v>0.91404357058927987</v>
      </c>
      <c r="AO342">
        <v>0.25345808420698507</v>
      </c>
      <c r="AP342">
        <v>1.490929907099912</v>
      </c>
      <c r="AQ342">
        <v>0.18223313375247971</v>
      </c>
      <c r="AR342">
        <v>1.0719596103087041</v>
      </c>
    </row>
    <row r="343" spans="1:44" x14ac:dyDescent="0.3">
      <c r="A343" t="s">
        <v>88</v>
      </c>
      <c r="B343">
        <v>35.799999999999997</v>
      </c>
      <c r="C343">
        <v>2</v>
      </c>
      <c r="D343">
        <v>36.4</v>
      </c>
      <c r="E343">
        <v>2.7563734268389184</v>
      </c>
      <c r="F343">
        <v>38</v>
      </c>
      <c r="G343">
        <v>55.9</v>
      </c>
      <c r="H343">
        <v>0.11141006190487932</v>
      </c>
      <c r="I343">
        <v>143.79287698695691</v>
      </c>
      <c r="J343">
        <v>0.6</v>
      </c>
      <c r="K343">
        <v>42.965248228539323</v>
      </c>
      <c r="L343">
        <v>118.01372804983332</v>
      </c>
      <c r="M343">
        <v>0.19</v>
      </c>
      <c r="N343">
        <v>9.7514649841521764E-2</v>
      </c>
      <c r="O343">
        <v>0.51323499916590398</v>
      </c>
      <c r="P343">
        <v>0.10806100229525109</v>
      </c>
      <c r="Q343">
        <v>0.56874211734342683</v>
      </c>
      <c r="R343">
        <v>0.1084705614279344</v>
      </c>
      <c r="S343">
        <v>0.57089769172597049</v>
      </c>
      <c r="T343">
        <v>0.13839687856725483</v>
      </c>
      <c r="U343">
        <v>0.15966626432159536</v>
      </c>
      <c r="V343">
        <v>0.72840462403818329</v>
      </c>
      <c r="W343">
        <v>6.1803121002324789E-2</v>
      </c>
      <c r="X343">
        <v>0.32527958422276204</v>
      </c>
      <c r="Y343">
        <v>0.15674454011519567</v>
      </c>
      <c r="Z343">
        <v>0.82497126376418772</v>
      </c>
      <c r="AA343">
        <v>8.3394318678546339E-2</v>
      </c>
      <c r="AB343">
        <v>0.43891746672919124</v>
      </c>
      <c r="AC343">
        <v>0.11534987410566197</v>
      </c>
      <c r="AD343">
        <v>0.60710460055611559</v>
      </c>
      <c r="AE343">
        <v>0.11663503645628324</v>
      </c>
      <c r="AF343">
        <v>0.61386861292780659</v>
      </c>
      <c r="AG343">
        <v>0.146565134130969</v>
      </c>
      <c r="AH343">
        <v>0.77139544279457362</v>
      </c>
      <c r="AI343">
        <v>0.10806100229525109</v>
      </c>
      <c r="AJ343">
        <v>0.56874211734342683</v>
      </c>
      <c r="AK343">
        <v>0.12589239016704559</v>
      </c>
      <c r="AL343">
        <v>0.66259152719497683</v>
      </c>
      <c r="AM343">
        <v>0.10806100229525109</v>
      </c>
      <c r="AN343">
        <v>0.56874211734342683</v>
      </c>
      <c r="AO343">
        <v>0.17012779655856874</v>
      </c>
      <c r="AP343">
        <v>0.89540945557141438</v>
      </c>
      <c r="AQ343">
        <v>0.12257851102066773</v>
      </c>
      <c r="AR343">
        <v>0.64515005800351433</v>
      </c>
    </row>
    <row r="344" spans="1:44" x14ac:dyDescent="0.3">
      <c r="B344">
        <v>35.799999999999997</v>
      </c>
      <c r="C344">
        <v>2</v>
      </c>
      <c r="D344">
        <v>36.4</v>
      </c>
      <c r="E344">
        <v>2.7563734268389184</v>
      </c>
      <c r="F344">
        <v>38</v>
      </c>
      <c r="G344">
        <v>55.9</v>
      </c>
      <c r="H344">
        <v>0.11141006190487932</v>
      </c>
      <c r="I344">
        <v>183.6429902945176</v>
      </c>
      <c r="J344">
        <v>0.6</v>
      </c>
      <c r="K344">
        <v>42.965248228539323</v>
      </c>
      <c r="L344">
        <v>157.86384135739399</v>
      </c>
      <c r="M344">
        <v>0.25</v>
      </c>
      <c r="N344">
        <v>0.13044276684576409</v>
      </c>
      <c r="O344">
        <v>0.52177106738305634</v>
      </c>
      <c r="P344">
        <v>0.14780512821168459</v>
      </c>
      <c r="Q344">
        <v>0.59122051284673838</v>
      </c>
      <c r="R344">
        <v>0.14509819988040862</v>
      </c>
      <c r="S344">
        <v>0.58039279952163447</v>
      </c>
      <c r="T344">
        <v>0.17675156906293271</v>
      </c>
      <c r="U344">
        <v>0.26042767264874395</v>
      </c>
      <c r="V344">
        <v>0.70700627625173085</v>
      </c>
      <c r="W344">
        <v>8.1495536285087031E-2</v>
      </c>
      <c r="X344">
        <v>0.32598214514034812</v>
      </c>
      <c r="Y344">
        <v>0.20664765718417702</v>
      </c>
      <c r="Z344">
        <v>0.82659062873670808</v>
      </c>
      <c r="AA344">
        <v>0.10650584630204846</v>
      </c>
      <c r="AB344">
        <v>0.42602338520819383</v>
      </c>
      <c r="AC344">
        <v>0.15963716709303272</v>
      </c>
      <c r="AD344">
        <v>0.63854866837213087</v>
      </c>
      <c r="AE344">
        <v>0.15406783363573717</v>
      </c>
      <c r="AF344">
        <v>0.61627133454294869</v>
      </c>
      <c r="AG344">
        <v>0.18718353835544763</v>
      </c>
      <c r="AH344">
        <v>0.7487341534217905</v>
      </c>
      <c r="AI344">
        <v>0.14780512821168459</v>
      </c>
      <c r="AJ344">
        <v>0.59122051284673838</v>
      </c>
      <c r="AK344">
        <v>0.16397439600647354</v>
      </c>
      <c r="AL344">
        <v>0.65589758402589415</v>
      </c>
      <c r="AM344">
        <v>0.15275482844556262</v>
      </c>
      <c r="AN344">
        <v>0.61101931378225049</v>
      </c>
      <c r="AO344">
        <v>0.24278325344953339</v>
      </c>
      <c r="AP344">
        <v>0.97113301379813355</v>
      </c>
      <c r="AQ344">
        <v>0.17648036556212807</v>
      </c>
      <c r="AR344">
        <v>0.70592146224851227</v>
      </c>
    </row>
    <row r="345" spans="1:44" x14ac:dyDescent="0.3">
      <c r="A345" t="s">
        <v>132</v>
      </c>
      <c r="O345">
        <v>0.8606959846646941</v>
      </c>
      <c r="Q345">
        <v>0.85273569762290735</v>
      </c>
      <c r="S345">
        <v>0.91111250293516799</v>
      </c>
      <c r="V345">
        <v>0.93700381002513333</v>
      </c>
      <c r="X345">
        <v>0.93715147754732708</v>
      </c>
      <c r="Z345">
        <v>1.3565189441015106</v>
      </c>
      <c r="AB345">
        <v>1.1601313226796788</v>
      </c>
      <c r="AD345">
        <v>0.87987760100674106</v>
      </c>
      <c r="AF345">
        <v>0.81143682846112453</v>
      </c>
      <c r="AH345">
        <v>1.1558372305848896</v>
      </c>
      <c r="AJ345">
        <v>1.0484972993642814</v>
      </c>
      <c r="AL345">
        <v>1.110388740494203</v>
      </c>
      <c r="AN345">
        <v>1.0800322420124382</v>
      </c>
      <c r="AP345">
        <v>1.0841259251671753</v>
      </c>
      <c r="AR345">
        <v>0.94384907940629925</v>
      </c>
    </row>
    <row r="346" spans="1:44" x14ac:dyDescent="0.3">
      <c r="A346" t="s">
        <v>133</v>
      </c>
      <c r="O346">
        <v>0.2751841659283043</v>
      </c>
      <c r="Q346">
        <v>0.25470175354146929</v>
      </c>
      <c r="S346">
        <v>0.31295306977663406</v>
      </c>
      <c r="V346">
        <v>0.29618678980362889</v>
      </c>
      <c r="X346">
        <v>0.44293836852507484</v>
      </c>
      <c r="Z346">
        <v>0.430546033038472</v>
      </c>
      <c r="AB346">
        <v>0.44900007939680936</v>
      </c>
      <c r="AD346">
        <v>0.29666539183014606</v>
      </c>
      <c r="AF346">
        <v>0.21636331326295327</v>
      </c>
      <c r="AH346">
        <v>0.33346961858263735</v>
      </c>
      <c r="AJ346">
        <v>0.37417837248523894</v>
      </c>
      <c r="AL346">
        <v>0.35156377338871941</v>
      </c>
      <c r="AN346">
        <v>0.37577545183313343</v>
      </c>
      <c r="AP346">
        <v>0.37160177785997994</v>
      </c>
      <c r="AR346">
        <v>0.31936813547842158</v>
      </c>
    </row>
    <row r="347" spans="1:44" x14ac:dyDescent="0.3">
      <c r="A347" t="s">
        <v>134</v>
      </c>
      <c r="O347">
        <v>0.31972284155073555</v>
      </c>
      <c r="Q347">
        <v>0.29868780473419593</v>
      </c>
      <c r="S347">
        <v>0.34348455187306637</v>
      </c>
      <c r="V347">
        <v>0.31609987775362863</v>
      </c>
      <c r="X347">
        <v>0.47264330168300461</v>
      </c>
      <c r="Z347">
        <v>0.31739035780561387</v>
      </c>
      <c r="AB347">
        <v>0.38702521914476551</v>
      </c>
      <c r="AD347">
        <v>0.33716665987485822</v>
      </c>
      <c r="AF347">
        <v>0.26664221498706492</v>
      </c>
      <c r="AH347">
        <v>0.28850915142601119</v>
      </c>
      <c r="AJ347">
        <v>0.35687108847310195</v>
      </c>
      <c r="AL347">
        <v>0.31661323693920762</v>
      </c>
      <c r="AN347">
        <v>0.34792984618028266</v>
      </c>
      <c r="AP347">
        <v>0.34276624996554517</v>
      </c>
      <c r="AR347">
        <v>0.33836779888508317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Dataset com TS variável MC2010</vt:lpstr>
      <vt:lpstr>Dataset sem TS MC2010</vt:lpstr>
      <vt:lpstr>Dataset com TS variável MC2020</vt:lpstr>
      <vt:lpstr>Dataset sem TS MC2020</vt:lpstr>
      <vt:lpstr>Modelos normativos e empíricos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Daniel Lima Araujo</cp:lastModifiedBy>
  <dcterms:created xsi:type="dcterms:W3CDTF">2025-09-13T23:04:03Z</dcterms:created>
  <dcterms:modified xsi:type="dcterms:W3CDTF">2025-10-16T18:55:15Z</dcterms:modified>
</cp:coreProperties>
</file>